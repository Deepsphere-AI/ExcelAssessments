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A44503E6-5700-4663-AA98-F27BD184905F}" xr6:coauthVersionLast="47" xr6:coauthVersionMax="47" xr10:uidLastSave="{00000000-0000-0000-0000-000000000000}"/>
  <bookViews>
    <workbookView xWindow="-108" yWindow="-108" windowWidth="23256" windowHeight="12576" activeTab="1" xr2:uid="{2D113736-3669-4C87-A67B-A61D9005D41D}"/>
  </bookViews>
  <sheets>
    <sheet name="Data Dump" sheetId="3" r:id="rId1"/>
    <sheet name="Vlook-UP" sheetId="2" r:id="rId2"/>
  </sheets>
  <definedNames>
    <definedName name="_xlnm._FilterDatabase" localSheetId="0" hidden="1">'Data Dump'!$A$1:$FK$1271</definedName>
    <definedName name="OLE_LINK1" localSheetId="0">'Data Dump'!#REF!</definedName>
    <definedName name="_xlnm.Print_Area" localSheetId="0">'Data Dump'!$B$2:$C$366</definedName>
    <definedName name="Z_19C1FB66_3C02_4CEF_A109_D7F9E6210783_.wvu.FilterData" localSheetId="0" hidden="1">'Data Dump'!$A$1:$R$233</definedName>
    <definedName name="Z_2FBF9C19_BBAF_471C_87E8_3DA312CF74E2_.wvu.FilterData" localSheetId="0" hidden="1">'Data Dump'!$A$1:$R$235</definedName>
    <definedName name="Z_33DADC34_759A_48BD_86A5_299DADF3ED30_.wvu.FilterData" localSheetId="0" hidden="1">'Data Dump'!$A$1:$R$231</definedName>
    <definedName name="Z_39632D58_69FF_4610_B15F_BC829539BEEB_.wvu.FilterData" localSheetId="0" hidden="1">'Data Dump'!$A$1:$R$233</definedName>
    <definedName name="Z_4E0FD775_057E_43AD_872F_5B6432A8CBA1_.wvu.FilterData" localSheetId="0" hidden="1">'Data Dump'!$A$1:$R$235</definedName>
    <definedName name="Z_6511D9B3_1359_4E45_ABB0_B7F023D1D2F5_.wvu.FilterData" localSheetId="0" hidden="1">'Data Dump'!$A$1:$R$235</definedName>
    <definedName name="Z_9460C4F2_4696_4F49_A0EC_5B3A78D21584_.wvu.FilterData" localSheetId="0" hidden="1">'Data Dump'!$A$1:$R$233</definedName>
    <definedName name="Z_D182571A_F2D0_4CC4_9146_E868664A970F_.wvu.FilterData" localSheetId="0" hidden="1">'Data Dump'!$A$1:$R$233</definedName>
    <definedName name="Z_D7659835_1B99_473D_914D_70D270159432_.wvu.FilterData" localSheetId="0" hidden="1">'Data Dump'!$A$1:$R$233</definedName>
    <definedName name="Z_E00C09C2_087A_482E_8A95_AFFF6C5A1987_.wvu.FilterData" localSheetId="0" hidden="1">'Data Dump'!$A$1:$R$233</definedName>
    <definedName name="Z_F623EBEF_0232_4C79_893D_DFE75D9AC2DC_.wvu.FilterData" localSheetId="0" hidden="1">'Data Dump'!$A$1:$R$234</definedName>
    <definedName name="Z_FF178A1B_146B_46E7_86FA_822B55DDBDE0_.wvu.FilterData" localSheetId="0" hidden="1">'Data Dump'!$A$1:$R$233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1" i="3" l="1"/>
  <c r="G1271" i="3"/>
  <c r="F1271" i="3"/>
  <c r="P1270" i="3"/>
  <c r="H1270" i="3"/>
  <c r="G1270" i="3"/>
  <c r="F1270" i="3"/>
  <c r="H1269" i="3"/>
  <c r="G1269" i="3"/>
  <c r="F1269" i="3"/>
  <c r="P1268" i="3"/>
  <c r="H1268" i="3"/>
  <c r="G1268" i="3"/>
  <c r="F1268" i="3"/>
  <c r="P1267" i="3"/>
  <c r="H1267" i="3"/>
  <c r="G1267" i="3"/>
  <c r="F1267" i="3"/>
  <c r="P1266" i="3"/>
  <c r="H1266" i="3"/>
  <c r="G1266" i="3"/>
  <c r="F1266" i="3"/>
  <c r="P1265" i="3"/>
  <c r="H1265" i="3"/>
  <c r="G1265" i="3"/>
  <c r="F1265" i="3"/>
  <c r="P1264" i="3"/>
  <c r="H1264" i="3"/>
  <c r="G1264" i="3"/>
  <c r="F1264" i="3"/>
  <c r="P1263" i="3"/>
  <c r="H1263" i="3"/>
  <c r="G1263" i="3"/>
  <c r="F1263" i="3"/>
  <c r="P1262" i="3"/>
  <c r="H1262" i="3"/>
  <c r="G1262" i="3"/>
  <c r="F1262" i="3"/>
  <c r="P1261" i="3"/>
  <c r="H1261" i="3"/>
  <c r="G1261" i="3"/>
  <c r="F1261" i="3"/>
  <c r="P1260" i="3"/>
  <c r="H1260" i="3"/>
  <c r="G1260" i="3"/>
  <c r="F1260" i="3"/>
  <c r="P1259" i="3"/>
  <c r="H1259" i="3"/>
  <c r="G1259" i="3"/>
  <c r="F1259" i="3"/>
  <c r="P1258" i="3"/>
  <c r="H1258" i="3"/>
  <c r="G1258" i="3"/>
  <c r="F1258" i="3"/>
  <c r="P1257" i="3"/>
  <c r="H1257" i="3"/>
  <c r="G1257" i="3"/>
  <c r="F1257" i="3"/>
  <c r="P1256" i="3"/>
  <c r="H1256" i="3"/>
  <c r="G1256" i="3"/>
  <c r="F1256" i="3"/>
  <c r="P1255" i="3"/>
  <c r="H1255" i="3"/>
  <c r="G1255" i="3"/>
  <c r="F1255" i="3"/>
  <c r="P1254" i="3"/>
  <c r="H1254" i="3"/>
  <c r="G1254" i="3"/>
  <c r="F1254" i="3"/>
  <c r="P1253" i="3"/>
  <c r="H1253" i="3"/>
  <c r="G1253" i="3"/>
  <c r="F1253" i="3"/>
  <c r="P1252" i="3"/>
  <c r="H1252" i="3"/>
  <c r="G1252" i="3"/>
  <c r="F1252" i="3"/>
  <c r="P1251" i="3"/>
  <c r="H1251" i="3"/>
  <c r="G1251" i="3"/>
  <c r="F1251" i="3"/>
  <c r="P1250" i="3"/>
  <c r="H1250" i="3"/>
  <c r="G1250" i="3"/>
  <c r="F1250" i="3"/>
  <c r="P1249" i="3"/>
  <c r="H1249" i="3"/>
  <c r="G1249" i="3"/>
  <c r="F1249" i="3"/>
  <c r="P1248" i="3"/>
  <c r="H1248" i="3"/>
  <c r="G1248" i="3"/>
  <c r="F1248" i="3"/>
  <c r="P1247" i="3"/>
  <c r="H1247" i="3"/>
  <c r="G1247" i="3"/>
  <c r="F1247" i="3"/>
  <c r="P1246" i="3"/>
  <c r="H1246" i="3"/>
  <c r="G1246" i="3"/>
  <c r="F1246" i="3"/>
  <c r="P1245" i="3"/>
  <c r="H1245" i="3"/>
  <c r="G1245" i="3"/>
  <c r="F1245" i="3"/>
  <c r="P1244" i="3"/>
  <c r="H1244" i="3"/>
  <c r="G1244" i="3"/>
  <c r="F1244" i="3"/>
  <c r="P1243" i="3"/>
  <c r="H1243" i="3"/>
  <c r="G1243" i="3"/>
  <c r="F1243" i="3"/>
  <c r="P1242" i="3"/>
  <c r="H1242" i="3"/>
  <c r="G1242" i="3"/>
  <c r="F1242" i="3"/>
  <c r="P1241" i="3"/>
  <c r="H1241" i="3"/>
  <c r="G1241" i="3"/>
  <c r="F1241" i="3"/>
  <c r="P1240" i="3"/>
  <c r="H1240" i="3"/>
  <c r="G1240" i="3"/>
  <c r="F1240" i="3"/>
  <c r="P1239" i="3"/>
  <c r="H1239" i="3"/>
  <c r="G1239" i="3"/>
  <c r="F1239" i="3"/>
  <c r="P1238" i="3"/>
  <c r="H1238" i="3"/>
  <c r="G1238" i="3"/>
  <c r="F1238" i="3"/>
  <c r="P1237" i="3"/>
  <c r="H1237" i="3"/>
  <c r="G1237" i="3"/>
  <c r="F1237" i="3"/>
  <c r="P1236" i="3"/>
  <c r="H1236" i="3"/>
  <c r="G1236" i="3"/>
  <c r="F1236" i="3"/>
  <c r="P1235" i="3"/>
  <c r="H1235" i="3"/>
  <c r="G1235" i="3"/>
  <c r="F1235" i="3"/>
  <c r="H1234" i="3"/>
  <c r="G1234" i="3"/>
  <c r="F1234" i="3"/>
  <c r="H1233" i="3"/>
  <c r="G1233" i="3"/>
  <c r="F1233" i="3"/>
  <c r="P1232" i="3"/>
  <c r="H1232" i="3"/>
  <c r="G1232" i="3"/>
  <c r="F1232" i="3"/>
  <c r="P1231" i="3"/>
  <c r="H1231" i="3"/>
  <c r="G1231" i="3"/>
  <c r="F1231" i="3"/>
  <c r="P1230" i="3"/>
  <c r="H1230" i="3"/>
  <c r="G1230" i="3"/>
  <c r="F1230" i="3"/>
  <c r="P1229" i="3"/>
  <c r="H1229" i="3"/>
  <c r="G1229" i="3"/>
  <c r="F1229" i="3"/>
  <c r="P1228" i="3"/>
  <c r="H1228" i="3"/>
  <c r="G1228" i="3"/>
  <c r="F1228" i="3"/>
  <c r="P1227" i="3"/>
  <c r="H1227" i="3"/>
  <c r="G1227" i="3"/>
  <c r="F1227" i="3"/>
  <c r="P1226" i="3"/>
  <c r="H1226" i="3"/>
  <c r="G1226" i="3"/>
  <c r="F1226" i="3"/>
  <c r="P1225" i="3"/>
  <c r="H1225" i="3"/>
  <c r="G1225" i="3"/>
  <c r="F1225" i="3"/>
  <c r="P1224" i="3"/>
  <c r="H1224" i="3"/>
  <c r="G1224" i="3"/>
  <c r="F1224" i="3"/>
  <c r="P1223" i="3"/>
  <c r="H1223" i="3"/>
  <c r="G1223" i="3"/>
  <c r="F1223" i="3"/>
  <c r="H1222" i="3"/>
  <c r="G1222" i="3"/>
  <c r="F1222" i="3"/>
  <c r="P1221" i="3"/>
  <c r="H1221" i="3"/>
  <c r="G1221" i="3"/>
  <c r="F1221" i="3"/>
  <c r="P1220" i="3"/>
  <c r="H1220" i="3"/>
  <c r="G1220" i="3"/>
  <c r="F1220" i="3"/>
  <c r="P1219" i="3"/>
  <c r="H1219" i="3"/>
  <c r="G1219" i="3"/>
  <c r="F1219" i="3"/>
  <c r="P1218" i="3"/>
  <c r="H1218" i="3"/>
  <c r="G1218" i="3"/>
  <c r="F1218" i="3"/>
  <c r="P1217" i="3"/>
  <c r="H1217" i="3"/>
  <c r="G1217" i="3"/>
  <c r="F1217" i="3"/>
  <c r="P1216" i="3"/>
  <c r="H1216" i="3"/>
  <c r="G1216" i="3"/>
  <c r="F1216" i="3"/>
  <c r="P1215" i="3"/>
  <c r="H1215" i="3"/>
  <c r="G1215" i="3"/>
  <c r="F1215" i="3"/>
  <c r="P1214" i="3"/>
  <c r="H1214" i="3"/>
  <c r="G1214" i="3"/>
  <c r="F1214" i="3"/>
  <c r="P1213" i="3"/>
  <c r="H1213" i="3"/>
  <c r="G1213" i="3"/>
  <c r="F1213" i="3"/>
  <c r="P1212" i="3"/>
  <c r="H1212" i="3"/>
  <c r="G1212" i="3"/>
  <c r="F1212" i="3"/>
  <c r="P1211" i="3"/>
  <c r="H1211" i="3"/>
  <c r="G1211" i="3"/>
  <c r="F1211" i="3"/>
  <c r="P1210" i="3"/>
  <c r="H1210" i="3"/>
  <c r="G1210" i="3"/>
  <c r="F1210" i="3"/>
  <c r="P1209" i="3"/>
  <c r="H1209" i="3"/>
  <c r="G1209" i="3"/>
  <c r="F1209" i="3"/>
  <c r="P1208" i="3"/>
  <c r="H1208" i="3"/>
  <c r="G1208" i="3"/>
  <c r="F1208" i="3"/>
  <c r="P1207" i="3"/>
  <c r="H1207" i="3"/>
  <c r="G1207" i="3"/>
  <c r="F1207" i="3"/>
  <c r="P1206" i="3"/>
  <c r="H1206" i="3"/>
  <c r="G1206" i="3"/>
  <c r="F1206" i="3"/>
  <c r="P1205" i="3"/>
  <c r="H1205" i="3"/>
  <c r="G1205" i="3"/>
  <c r="F1205" i="3"/>
  <c r="P1204" i="3"/>
  <c r="H1204" i="3"/>
  <c r="G1204" i="3"/>
  <c r="F1204" i="3"/>
  <c r="P1203" i="3"/>
  <c r="H1203" i="3"/>
  <c r="G1203" i="3"/>
  <c r="F1203" i="3"/>
  <c r="P1202" i="3"/>
  <c r="H1202" i="3"/>
  <c r="G1202" i="3"/>
  <c r="F1202" i="3"/>
  <c r="P1201" i="3"/>
  <c r="H1201" i="3"/>
  <c r="G1201" i="3"/>
  <c r="F1201" i="3"/>
  <c r="P1200" i="3"/>
  <c r="H1200" i="3"/>
  <c r="G1200" i="3"/>
  <c r="F1200" i="3"/>
  <c r="P1199" i="3"/>
  <c r="H1199" i="3"/>
  <c r="G1199" i="3"/>
  <c r="F1199" i="3"/>
  <c r="P1198" i="3"/>
  <c r="H1198" i="3"/>
  <c r="G1198" i="3"/>
  <c r="F1198" i="3"/>
  <c r="P1197" i="3"/>
  <c r="H1197" i="3"/>
  <c r="G1197" i="3"/>
  <c r="F1197" i="3"/>
  <c r="P1196" i="3"/>
  <c r="H1196" i="3"/>
  <c r="G1196" i="3"/>
  <c r="F1196" i="3"/>
  <c r="P1195" i="3"/>
  <c r="H1195" i="3"/>
  <c r="G1195" i="3"/>
  <c r="F1195" i="3"/>
  <c r="P1194" i="3"/>
  <c r="H1194" i="3"/>
  <c r="G1194" i="3"/>
  <c r="F1194" i="3"/>
  <c r="P1193" i="3"/>
  <c r="H1193" i="3"/>
  <c r="G1193" i="3"/>
  <c r="F1193" i="3"/>
  <c r="P1192" i="3"/>
  <c r="H1192" i="3"/>
  <c r="G1192" i="3"/>
  <c r="F1192" i="3"/>
  <c r="P1191" i="3"/>
  <c r="H1191" i="3"/>
  <c r="G1191" i="3"/>
  <c r="F1191" i="3"/>
  <c r="P1190" i="3"/>
  <c r="H1190" i="3"/>
  <c r="G1190" i="3"/>
  <c r="F1190" i="3"/>
  <c r="P1189" i="3"/>
  <c r="H1189" i="3"/>
  <c r="G1189" i="3"/>
  <c r="F1189" i="3"/>
  <c r="P1188" i="3"/>
  <c r="H1188" i="3"/>
  <c r="G1188" i="3"/>
  <c r="F1188" i="3"/>
  <c r="P1187" i="3"/>
  <c r="H1187" i="3"/>
  <c r="G1187" i="3"/>
  <c r="F1187" i="3"/>
  <c r="P1186" i="3"/>
  <c r="H1186" i="3"/>
  <c r="G1186" i="3"/>
  <c r="F1186" i="3"/>
  <c r="P1184" i="3"/>
  <c r="H1184" i="3"/>
  <c r="G1184" i="3"/>
  <c r="F1184" i="3"/>
  <c r="P1183" i="3"/>
  <c r="H1183" i="3"/>
  <c r="G1183" i="3"/>
  <c r="F1183" i="3"/>
  <c r="P1182" i="3"/>
  <c r="H1182" i="3"/>
  <c r="G1182" i="3"/>
  <c r="F1182" i="3"/>
  <c r="H1180" i="3"/>
  <c r="G1180" i="3"/>
  <c r="F1180" i="3"/>
  <c r="P1179" i="3"/>
  <c r="H1179" i="3"/>
  <c r="G1179" i="3"/>
  <c r="F1179" i="3"/>
  <c r="P1178" i="3"/>
  <c r="H1178" i="3"/>
  <c r="G1178" i="3"/>
  <c r="F1178" i="3"/>
  <c r="P1177" i="3"/>
  <c r="H1177" i="3"/>
  <c r="G1177" i="3"/>
  <c r="F1177" i="3"/>
  <c r="P1176" i="3"/>
  <c r="H1176" i="3"/>
  <c r="G1176" i="3"/>
  <c r="F1176" i="3"/>
  <c r="P1175" i="3"/>
  <c r="H1175" i="3"/>
  <c r="G1175" i="3"/>
  <c r="F1175" i="3"/>
  <c r="P1174" i="3"/>
  <c r="H1174" i="3"/>
  <c r="G1174" i="3"/>
  <c r="F1174" i="3"/>
  <c r="P1173" i="3"/>
  <c r="H1173" i="3"/>
  <c r="G1173" i="3"/>
  <c r="F1173" i="3"/>
  <c r="P1172" i="3"/>
  <c r="H1172" i="3"/>
  <c r="G1172" i="3"/>
  <c r="F1172" i="3"/>
  <c r="P1171" i="3"/>
  <c r="H1171" i="3"/>
  <c r="G1171" i="3"/>
  <c r="F1171" i="3"/>
  <c r="P1170" i="3"/>
  <c r="H1170" i="3"/>
  <c r="G1170" i="3"/>
  <c r="F1170" i="3"/>
  <c r="P1169" i="3"/>
  <c r="H1169" i="3"/>
  <c r="G1169" i="3"/>
  <c r="F1169" i="3"/>
  <c r="P1168" i="3"/>
  <c r="H1168" i="3"/>
  <c r="G1168" i="3"/>
  <c r="F1168" i="3"/>
  <c r="P1167" i="3"/>
  <c r="H1167" i="3"/>
  <c r="G1167" i="3"/>
  <c r="F1167" i="3"/>
  <c r="P1166" i="3"/>
  <c r="H1166" i="3"/>
  <c r="G1166" i="3"/>
  <c r="F1166" i="3"/>
  <c r="P1165" i="3"/>
  <c r="H1165" i="3"/>
  <c r="G1165" i="3"/>
  <c r="F1165" i="3"/>
  <c r="P1163" i="3"/>
  <c r="H1163" i="3"/>
  <c r="G1163" i="3"/>
  <c r="F1163" i="3"/>
  <c r="P1162" i="3"/>
  <c r="H1162" i="3"/>
  <c r="G1162" i="3"/>
  <c r="F1162" i="3"/>
  <c r="P1161" i="3"/>
  <c r="H1161" i="3"/>
  <c r="G1161" i="3"/>
  <c r="F1161" i="3"/>
  <c r="P1160" i="3"/>
  <c r="H1160" i="3"/>
  <c r="G1160" i="3"/>
  <c r="F1160" i="3"/>
  <c r="P1159" i="3"/>
  <c r="H1159" i="3"/>
  <c r="G1159" i="3"/>
  <c r="F1159" i="3"/>
  <c r="P1158" i="3"/>
  <c r="H1158" i="3"/>
  <c r="G1158" i="3"/>
  <c r="F1158" i="3"/>
  <c r="P1157" i="3"/>
  <c r="H1157" i="3"/>
  <c r="G1157" i="3"/>
  <c r="F1157" i="3"/>
  <c r="P1156" i="3"/>
  <c r="H1156" i="3"/>
  <c r="G1156" i="3"/>
  <c r="F1156" i="3"/>
  <c r="P1155" i="3"/>
  <c r="H1155" i="3"/>
  <c r="G1155" i="3"/>
  <c r="F1155" i="3"/>
  <c r="P1154" i="3"/>
  <c r="H1154" i="3"/>
  <c r="G1154" i="3"/>
  <c r="F1154" i="3"/>
  <c r="P1153" i="3"/>
  <c r="H1153" i="3"/>
  <c r="G1153" i="3"/>
  <c r="F1153" i="3"/>
  <c r="P1152" i="3"/>
  <c r="H1152" i="3"/>
  <c r="G1152" i="3"/>
  <c r="F1152" i="3"/>
  <c r="P1151" i="3"/>
  <c r="H1151" i="3"/>
  <c r="G1151" i="3"/>
  <c r="F1151" i="3"/>
  <c r="P1150" i="3"/>
  <c r="H1150" i="3"/>
  <c r="G1150" i="3"/>
  <c r="F1150" i="3"/>
  <c r="P1149" i="3"/>
  <c r="H1149" i="3"/>
  <c r="G1149" i="3"/>
  <c r="F1149" i="3"/>
  <c r="P1148" i="3"/>
  <c r="H1148" i="3"/>
  <c r="G1148" i="3"/>
  <c r="F1148" i="3"/>
  <c r="P1147" i="3"/>
  <c r="H1147" i="3"/>
  <c r="G1147" i="3"/>
  <c r="F1147" i="3"/>
  <c r="P1146" i="3"/>
  <c r="H1146" i="3"/>
  <c r="G1146" i="3"/>
  <c r="F1146" i="3"/>
  <c r="P1145" i="3"/>
  <c r="H1145" i="3"/>
  <c r="G1145" i="3"/>
  <c r="F1145" i="3"/>
  <c r="P1144" i="3"/>
  <c r="H1144" i="3"/>
  <c r="G1144" i="3"/>
  <c r="F1144" i="3"/>
  <c r="P1143" i="3"/>
  <c r="H1143" i="3"/>
  <c r="G1143" i="3"/>
  <c r="F1143" i="3"/>
  <c r="P1142" i="3"/>
  <c r="H1142" i="3"/>
  <c r="G1142" i="3"/>
  <c r="F1142" i="3"/>
  <c r="P1141" i="3"/>
  <c r="H1141" i="3"/>
  <c r="G1141" i="3"/>
  <c r="F1141" i="3"/>
  <c r="P1140" i="3"/>
  <c r="H1140" i="3"/>
  <c r="G1140" i="3"/>
  <c r="F1140" i="3"/>
  <c r="P1139" i="3"/>
  <c r="H1139" i="3"/>
  <c r="G1139" i="3"/>
  <c r="F1139" i="3"/>
  <c r="P1138" i="3"/>
  <c r="H1138" i="3"/>
  <c r="G1138" i="3"/>
  <c r="F1138" i="3"/>
  <c r="P1137" i="3"/>
  <c r="H1137" i="3"/>
  <c r="G1137" i="3"/>
  <c r="F1137" i="3"/>
  <c r="P1136" i="3"/>
  <c r="H1136" i="3"/>
  <c r="G1136" i="3"/>
  <c r="F1136" i="3"/>
  <c r="O1135" i="3"/>
  <c r="P1135" i="3" s="1"/>
  <c r="H1135" i="3"/>
  <c r="G1135" i="3"/>
  <c r="F1135" i="3"/>
  <c r="O1134" i="3"/>
  <c r="P1134" i="3" s="1"/>
  <c r="H1134" i="3"/>
  <c r="G1134" i="3"/>
  <c r="F1134" i="3"/>
  <c r="O1133" i="3"/>
  <c r="P1133" i="3" s="1"/>
  <c r="H1133" i="3"/>
  <c r="G1133" i="3"/>
  <c r="F1133" i="3"/>
  <c r="O1132" i="3"/>
  <c r="P1132" i="3" s="1"/>
  <c r="H1132" i="3"/>
  <c r="G1132" i="3"/>
  <c r="F1132" i="3"/>
  <c r="P1131" i="3"/>
  <c r="H1131" i="3"/>
  <c r="G1131" i="3"/>
  <c r="F1131" i="3"/>
  <c r="O1130" i="3"/>
  <c r="P1130" i="3" s="1"/>
  <c r="H1130" i="3"/>
  <c r="G1130" i="3"/>
  <c r="F1130" i="3"/>
  <c r="O1129" i="3"/>
  <c r="P1129" i="3" s="1"/>
  <c r="H1129" i="3"/>
  <c r="G1129" i="3"/>
  <c r="F1129" i="3"/>
  <c r="O1128" i="3"/>
  <c r="P1128" i="3" s="1"/>
  <c r="H1128" i="3"/>
  <c r="G1128" i="3"/>
  <c r="F1128" i="3"/>
  <c r="O1127" i="3"/>
  <c r="P1127" i="3" s="1"/>
  <c r="H1127" i="3"/>
  <c r="G1127" i="3"/>
  <c r="F1127" i="3"/>
  <c r="O1126" i="3"/>
  <c r="P1126" i="3" s="1"/>
  <c r="H1126" i="3"/>
  <c r="G1126" i="3"/>
  <c r="F1126" i="3"/>
  <c r="O1125" i="3"/>
  <c r="P1125" i="3" s="1"/>
  <c r="H1125" i="3"/>
  <c r="G1125" i="3"/>
  <c r="F1125" i="3"/>
  <c r="O1124" i="3"/>
  <c r="P1124" i="3" s="1"/>
  <c r="H1124" i="3"/>
  <c r="G1124" i="3"/>
  <c r="F1124" i="3"/>
  <c r="O1123" i="3"/>
  <c r="P1123" i="3" s="1"/>
  <c r="H1123" i="3"/>
  <c r="G1123" i="3"/>
  <c r="F1123" i="3"/>
  <c r="O1122" i="3"/>
  <c r="P1122" i="3" s="1"/>
  <c r="H1122" i="3"/>
  <c r="G1122" i="3"/>
  <c r="F1122" i="3"/>
  <c r="O1121" i="3"/>
  <c r="P1121" i="3" s="1"/>
  <c r="H1121" i="3"/>
  <c r="G1121" i="3"/>
  <c r="F1121" i="3"/>
  <c r="O1120" i="3"/>
  <c r="P1120" i="3" s="1"/>
  <c r="H1120" i="3"/>
  <c r="G1120" i="3"/>
  <c r="F1120" i="3"/>
  <c r="O1119" i="3"/>
  <c r="P1119" i="3" s="1"/>
  <c r="H1119" i="3"/>
  <c r="G1119" i="3"/>
  <c r="F1119" i="3"/>
  <c r="O1118" i="3"/>
  <c r="P1118" i="3" s="1"/>
  <c r="H1118" i="3"/>
  <c r="G1118" i="3"/>
  <c r="F1118" i="3"/>
  <c r="O1117" i="3"/>
  <c r="P1117" i="3" s="1"/>
  <c r="H1117" i="3"/>
  <c r="G1117" i="3"/>
  <c r="F1117" i="3"/>
  <c r="O1116" i="3"/>
  <c r="P1116" i="3" s="1"/>
  <c r="H1116" i="3"/>
  <c r="G1116" i="3"/>
  <c r="F1116" i="3"/>
  <c r="O1115" i="3"/>
  <c r="P1115" i="3" s="1"/>
  <c r="H1115" i="3"/>
  <c r="G1115" i="3"/>
  <c r="F1115" i="3"/>
  <c r="O1114" i="3"/>
  <c r="P1114" i="3" s="1"/>
  <c r="H1114" i="3"/>
  <c r="G1114" i="3"/>
  <c r="F1114" i="3"/>
  <c r="O1113" i="3"/>
  <c r="P1113" i="3" s="1"/>
  <c r="H1113" i="3"/>
  <c r="G1113" i="3"/>
  <c r="F1113" i="3"/>
  <c r="O1112" i="3"/>
  <c r="P1112" i="3" s="1"/>
  <c r="H1112" i="3"/>
  <c r="G1112" i="3"/>
  <c r="F1112" i="3"/>
  <c r="P1111" i="3"/>
  <c r="H1111" i="3"/>
  <c r="G1111" i="3"/>
  <c r="F1111" i="3"/>
  <c r="O1110" i="3"/>
  <c r="P1110" i="3" s="1"/>
  <c r="H1110" i="3"/>
  <c r="G1110" i="3"/>
  <c r="F1110" i="3"/>
  <c r="O1109" i="3"/>
  <c r="P1109" i="3" s="1"/>
  <c r="H1109" i="3"/>
  <c r="G1109" i="3"/>
  <c r="F1109" i="3"/>
  <c r="O1108" i="3"/>
  <c r="P1108" i="3" s="1"/>
  <c r="H1108" i="3"/>
  <c r="G1108" i="3"/>
  <c r="F1108" i="3"/>
  <c r="O1107" i="3"/>
  <c r="P1107" i="3" s="1"/>
  <c r="G1107" i="3"/>
  <c r="F1107" i="3"/>
  <c r="H1107" i="3" s="1"/>
  <c r="O1106" i="3"/>
  <c r="P1106" i="3" s="1"/>
  <c r="G1106" i="3"/>
  <c r="F1106" i="3"/>
  <c r="H1106" i="3" s="1"/>
  <c r="O1105" i="3"/>
  <c r="P1105" i="3" s="1"/>
  <c r="H1105" i="3"/>
  <c r="G1105" i="3"/>
  <c r="F1105" i="3"/>
  <c r="O1104" i="3"/>
  <c r="P1104" i="3" s="1"/>
  <c r="H1104" i="3"/>
  <c r="G1104" i="3"/>
  <c r="F1104" i="3"/>
  <c r="O1103" i="3"/>
  <c r="P1103" i="3" s="1"/>
  <c r="H1103" i="3"/>
  <c r="G1103" i="3"/>
  <c r="F1103" i="3"/>
  <c r="O1102" i="3"/>
  <c r="P1102" i="3" s="1"/>
  <c r="H1102" i="3"/>
  <c r="G1102" i="3"/>
  <c r="F1102" i="3"/>
  <c r="O1101" i="3"/>
  <c r="P1101" i="3" s="1"/>
  <c r="H1101" i="3"/>
  <c r="G1101" i="3"/>
  <c r="F1101" i="3"/>
  <c r="O1100" i="3"/>
  <c r="P1100" i="3" s="1"/>
  <c r="H1100" i="3"/>
  <c r="G1100" i="3"/>
  <c r="F1100" i="3"/>
  <c r="O1099" i="3"/>
  <c r="P1099" i="3" s="1"/>
  <c r="H1099" i="3"/>
  <c r="G1099" i="3"/>
  <c r="F1099" i="3"/>
  <c r="O1098" i="3"/>
  <c r="P1098" i="3" s="1"/>
  <c r="H1098" i="3"/>
  <c r="G1098" i="3"/>
  <c r="F1098" i="3"/>
  <c r="O1097" i="3"/>
  <c r="P1097" i="3" s="1"/>
  <c r="H1097" i="3"/>
  <c r="G1097" i="3"/>
  <c r="F1097" i="3"/>
  <c r="O1096" i="3"/>
  <c r="P1096" i="3" s="1"/>
  <c r="H1096" i="3"/>
  <c r="G1096" i="3"/>
  <c r="F1096" i="3"/>
  <c r="O1095" i="3"/>
  <c r="P1095" i="3" s="1"/>
  <c r="H1095" i="3"/>
  <c r="G1095" i="3"/>
  <c r="F1095" i="3"/>
  <c r="O1094" i="3"/>
  <c r="P1094" i="3" s="1"/>
  <c r="H1094" i="3"/>
  <c r="G1094" i="3"/>
  <c r="F1094" i="3"/>
  <c r="O1093" i="3"/>
  <c r="P1093" i="3" s="1"/>
  <c r="H1093" i="3"/>
  <c r="G1093" i="3"/>
  <c r="F1093" i="3"/>
  <c r="O1092" i="3"/>
  <c r="P1092" i="3" s="1"/>
  <c r="H1092" i="3"/>
  <c r="G1092" i="3"/>
  <c r="F1092" i="3"/>
  <c r="O1091" i="3"/>
  <c r="P1091" i="3" s="1"/>
  <c r="H1091" i="3"/>
  <c r="G1091" i="3"/>
  <c r="F1091" i="3"/>
  <c r="O1090" i="3"/>
  <c r="P1090" i="3" s="1"/>
  <c r="H1090" i="3"/>
  <c r="G1090" i="3"/>
  <c r="F1090" i="3"/>
  <c r="O1089" i="3"/>
  <c r="P1089" i="3" s="1"/>
  <c r="H1089" i="3"/>
  <c r="G1089" i="3"/>
  <c r="F1089" i="3"/>
  <c r="O1088" i="3"/>
  <c r="P1088" i="3" s="1"/>
  <c r="H1088" i="3"/>
  <c r="G1088" i="3"/>
  <c r="F1088" i="3"/>
  <c r="O1087" i="3"/>
  <c r="P1087" i="3" s="1"/>
  <c r="H1087" i="3"/>
  <c r="G1087" i="3"/>
  <c r="F1087" i="3"/>
  <c r="O1086" i="3"/>
  <c r="P1086" i="3" s="1"/>
  <c r="H1086" i="3"/>
  <c r="G1086" i="3"/>
  <c r="F1086" i="3"/>
  <c r="O1085" i="3"/>
  <c r="P1085" i="3" s="1"/>
  <c r="H1085" i="3"/>
  <c r="G1085" i="3"/>
  <c r="F1085" i="3"/>
  <c r="O1084" i="3"/>
  <c r="P1084" i="3" s="1"/>
  <c r="H1084" i="3"/>
  <c r="G1084" i="3"/>
  <c r="F1084" i="3"/>
  <c r="O1083" i="3"/>
  <c r="P1083" i="3" s="1"/>
  <c r="H1083" i="3"/>
  <c r="G1083" i="3"/>
  <c r="F1083" i="3"/>
  <c r="O1082" i="3"/>
  <c r="P1082" i="3" s="1"/>
  <c r="H1082" i="3"/>
  <c r="G1082" i="3"/>
  <c r="F1082" i="3"/>
  <c r="O1081" i="3"/>
  <c r="P1081" i="3" s="1"/>
  <c r="H1081" i="3"/>
  <c r="G1081" i="3"/>
  <c r="F1081" i="3"/>
  <c r="O1080" i="3"/>
  <c r="P1080" i="3" s="1"/>
  <c r="H1080" i="3"/>
  <c r="G1080" i="3"/>
  <c r="F1080" i="3"/>
  <c r="O1079" i="3"/>
  <c r="P1079" i="3" s="1"/>
  <c r="H1079" i="3"/>
  <c r="G1079" i="3"/>
  <c r="F1079" i="3"/>
  <c r="O1078" i="3"/>
  <c r="P1078" i="3" s="1"/>
  <c r="H1078" i="3"/>
  <c r="G1078" i="3"/>
  <c r="F1078" i="3"/>
  <c r="O1077" i="3"/>
  <c r="P1077" i="3" s="1"/>
  <c r="H1077" i="3"/>
  <c r="G1077" i="3"/>
  <c r="F1077" i="3"/>
  <c r="O1076" i="3"/>
  <c r="P1076" i="3" s="1"/>
  <c r="H1076" i="3"/>
  <c r="G1076" i="3"/>
  <c r="F1076" i="3"/>
  <c r="O1075" i="3"/>
  <c r="P1075" i="3" s="1"/>
  <c r="H1075" i="3"/>
  <c r="G1075" i="3"/>
  <c r="F1075" i="3"/>
  <c r="O1074" i="3"/>
  <c r="P1074" i="3" s="1"/>
  <c r="H1074" i="3"/>
  <c r="G1074" i="3"/>
  <c r="F1074" i="3"/>
  <c r="O1073" i="3"/>
  <c r="P1073" i="3" s="1"/>
  <c r="H1073" i="3"/>
  <c r="G1073" i="3"/>
  <c r="F1073" i="3"/>
  <c r="O1072" i="3"/>
  <c r="P1072" i="3" s="1"/>
  <c r="H1072" i="3"/>
  <c r="G1072" i="3"/>
  <c r="F1072" i="3"/>
  <c r="O1071" i="3"/>
  <c r="P1071" i="3" s="1"/>
  <c r="H1071" i="3"/>
  <c r="G1071" i="3"/>
  <c r="F1071" i="3"/>
  <c r="O1070" i="3"/>
  <c r="P1070" i="3" s="1"/>
  <c r="H1070" i="3"/>
  <c r="G1070" i="3"/>
  <c r="F1070" i="3"/>
  <c r="O1069" i="3"/>
  <c r="P1069" i="3" s="1"/>
  <c r="H1069" i="3"/>
  <c r="G1069" i="3"/>
  <c r="F1069" i="3"/>
  <c r="O1068" i="3"/>
  <c r="P1068" i="3" s="1"/>
  <c r="H1068" i="3"/>
  <c r="G1068" i="3"/>
  <c r="F1068" i="3"/>
  <c r="O1067" i="3"/>
  <c r="P1067" i="3" s="1"/>
  <c r="H1067" i="3"/>
  <c r="G1067" i="3"/>
  <c r="F1067" i="3"/>
  <c r="O1066" i="3"/>
  <c r="P1066" i="3" s="1"/>
  <c r="H1066" i="3"/>
  <c r="G1066" i="3"/>
  <c r="F1066" i="3"/>
  <c r="O1065" i="3"/>
  <c r="P1065" i="3" s="1"/>
  <c r="H1065" i="3"/>
  <c r="G1065" i="3"/>
  <c r="F1065" i="3"/>
  <c r="O1064" i="3"/>
  <c r="P1064" i="3" s="1"/>
  <c r="H1064" i="3"/>
  <c r="G1064" i="3"/>
  <c r="F1064" i="3"/>
  <c r="O1063" i="3"/>
  <c r="P1063" i="3" s="1"/>
  <c r="H1063" i="3"/>
  <c r="G1063" i="3"/>
  <c r="F1063" i="3"/>
  <c r="O1062" i="3"/>
  <c r="P1062" i="3" s="1"/>
  <c r="H1062" i="3"/>
  <c r="G1062" i="3"/>
  <c r="F1062" i="3"/>
  <c r="O1061" i="3"/>
  <c r="P1061" i="3" s="1"/>
  <c r="H1061" i="3"/>
  <c r="G1061" i="3"/>
  <c r="F1061" i="3"/>
  <c r="O1060" i="3"/>
  <c r="P1060" i="3" s="1"/>
  <c r="H1060" i="3"/>
  <c r="G1060" i="3"/>
  <c r="F1060" i="3"/>
  <c r="O1059" i="3"/>
  <c r="P1059" i="3" s="1"/>
  <c r="H1059" i="3"/>
  <c r="G1059" i="3"/>
  <c r="F1059" i="3"/>
  <c r="O1058" i="3"/>
  <c r="P1058" i="3" s="1"/>
  <c r="H1058" i="3"/>
  <c r="G1058" i="3"/>
  <c r="F1058" i="3"/>
  <c r="O1057" i="3"/>
  <c r="P1057" i="3" s="1"/>
  <c r="H1057" i="3"/>
  <c r="G1057" i="3"/>
  <c r="F1057" i="3"/>
  <c r="O1056" i="3"/>
  <c r="P1056" i="3" s="1"/>
  <c r="H1056" i="3"/>
  <c r="G1056" i="3"/>
  <c r="F1056" i="3"/>
  <c r="O1055" i="3"/>
  <c r="P1055" i="3" s="1"/>
  <c r="H1055" i="3"/>
  <c r="G1055" i="3"/>
  <c r="F1055" i="3"/>
  <c r="O1054" i="3"/>
  <c r="P1054" i="3" s="1"/>
  <c r="H1054" i="3"/>
  <c r="G1054" i="3"/>
  <c r="F1054" i="3"/>
  <c r="O1053" i="3"/>
  <c r="P1053" i="3" s="1"/>
  <c r="H1053" i="3"/>
  <c r="G1053" i="3"/>
  <c r="F1053" i="3"/>
  <c r="O1052" i="3"/>
  <c r="P1052" i="3" s="1"/>
  <c r="H1052" i="3"/>
  <c r="G1052" i="3"/>
  <c r="F1052" i="3"/>
  <c r="O1051" i="3"/>
  <c r="P1051" i="3" s="1"/>
  <c r="H1051" i="3"/>
  <c r="G1051" i="3"/>
  <c r="F1051" i="3"/>
  <c r="O1050" i="3"/>
  <c r="P1050" i="3" s="1"/>
  <c r="H1050" i="3"/>
  <c r="G1050" i="3"/>
  <c r="F1050" i="3"/>
  <c r="O1049" i="3"/>
  <c r="P1049" i="3" s="1"/>
  <c r="H1049" i="3"/>
  <c r="G1049" i="3"/>
  <c r="F1049" i="3"/>
  <c r="O1048" i="3"/>
  <c r="P1048" i="3" s="1"/>
  <c r="H1048" i="3"/>
  <c r="G1048" i="3"/>
  <c r="F1048" i="3"/>
  <c r="O1047" i="3"/>
  <c r="P1047" i="3" s="1"/>
  <c r="H1047" i="3"/>
  <c r="G1047" i="3"/>
  <c r="F1047" i="3"/>
  <c r="O1046" i="3"/>
  <c r="P1046" i="3" s="1"/>
  <c r="H1046" i="3"/>
  <c r="G1046" i="3"/>
  <c r="F1046" i="3"/>
  <c r="O1045" i="3"/>
  <c r="P1045" i="3" s="1"/>
  <c r="H1045" i="3"/>
  <c r="G1045" i="3"/>
  <c r="F1045" i="3"/>
  <c r="O1044" i="3"/>
  <c r="P1044" i="3" s="1"/>
  <c r="H1044" i="3"/>
  <c r="G1044" i="3"/>
  <c r="F1044" i="3"/>
  <c r="O1043" i="3"/>
  <c r="P1043" i="3" s="1"/>
  <c r="H1043" i="3"/>
  <c r="G1043" i="3"/>
  <c r="F1043" i="3"/>
  <c r="O1042" i="3"/>
  <c r="P1042" i="3" s="1"/>
  <c r="H1042" i="3"/>
  <c r="G1042" i="3"/>
  <c r="F1042" i="3"/>
  <c r="O1041" i="3"/>
  <c r="P1041" i="3" s="1"/>
  <c r="H1041" i="3"/>
  <c r="G1041" i="3"/>
  <c r="F1041" i="3"/>
  <c r="O1040" i="3"/>
  <c r="P1040" i="3" s="1"/>
  <c r="H1040" i="3"/>
  <c r="G1040" i="3"/>
  <c r="F1040" i="3"/>
  <c r="O1039" i="3"/>
  <c r="P1039" i="3" s="1"/>
  <c r="H1039" i="3"/>
  <c r="G1039" i="3"/>
  <c r="F1039" i="3"/>
  <c r="O1038" i="3"/>
  <c r="P1038" i="3" s="1"/>
  <c r="H1038" i="3"/>
  <c r="G1038" i="3"/>
  <c r="F1038" i="3"/>
  <c r="O1037" i="3"/>
  <c r="P1037" i="3" s="1"/>
  <c r="H1037" i="3"/>
  <c r="G1037" i="3"/>
  <c r="F1037" i="3"/>
  <c r="O1036" i="3"/>
  <c r="P1036" i="3" s="1"/>
  <c r="H1036" i="3"/>
  <c r="G1036" i="3"/>
  <c r="F1036" i="3"/>
  <c r="O1035" i="3"/>
  <c r="P1035" i="3" s="1"/>
  <c r="H1035" i="3"/>
  <c r="G1035" i="3"/>
  <c r="F1035" i="3"/>
  <c r="O1034" i="3"/>
  <c r="P1034" i="3" s="1"/>
  <c r="H1034" i="3"/>
  <c r="G1034" i="3"/>
  <c r="F1034" i="3"/>
  <c r="O1033" i="3"/>
  <c r="P1033" i="3" s="1"/>
  <c r="H1033" i="3"/>
  <c r="G1033" i="3"/>
  <c r="F1033" i="3"/>
  <c r="O1032" i="3"/>
  <c r="P1032" i="3" s="1"/>
  <c r="H1032" i="3"/>
  <c r="G1032" i="3"/>
  <c r="F1032" i="3"/>
  <c r="O1031" i="3"/>
  <c r="P1031" i="3" s="1"/>
  <c r="H1031" i="3"/>
  <c r="G1031" i="3"/>
  <c r="F1031" i="3"/>
  <c r="O1030" i="3"/>
  <c r="P1030" i="3" s="1"/>
  <c r="H1030" i="3"/>
  <c r="G1030" i="3"/>
  <c r="F1030" i="3"/>
  <c r="O1029" i="3"/>
  <c r="P1029" i="3" s="1"/>
  <c r="H1029" i="3"/>
  <c r="G1029" i="3"/>
  <c r="F1029" i="3"/>
  <c r="O1028" i="3"/>
  <c r="P1028" i="3" s="1"/>
  <c r="H1028" i="3"/>
  <c r="G1028" i="3"/>
  <c r="F1028" i="3"/>
  <c r="O1027" i="3"/>
  <c r="P1027" i="3" s="1"/>
  <c r="H1027" i="3"/>
  <c r="G1027" i="3"/>
  <c r="F1027" i="3"/>
  <c r="O1026" i="3"/>
  <c r="P1026" i="3" s="1"/>
  <c r="H1026" i="3"/>
  <c r="G1026" i="3"/>
  <c r="F1026" i="3"/>
  <c r="O1025" i="3"/>
  <c r="P1025" i="3" s="1"/>
  <c r="H1025" i="3"/>
  <c r="G1025" i="3"/>
  <c r="F1025" i="3"/>
  <c r="O1024" i="3"/>
  <c r="P1024" i="3" s="1"/>
  <c r="H1024" i="3"/>
  <c r="G1024" i="3"/>
  <c r="F1024" i="3"/>
  <c r="O1023" i="3"/>
  <c r="P1023" i="3" s="1"/>
  <c r="H1023" i="3"/>
  <c r="G1023" i="3"/>
  <c r="F1023" i="3"/>
  <c r="O1022" i="3"/>
  <c r="P1022" i="3" s="1"/>
  <c r="H1022" i="3"/>
  <c r="G1022" i="3"/>
  <c r="F1022" i="3"/>
  <c r="O1021" i="3"/>
  <c r="P1021" i="3" s="1"/>
  <c r="H1021" i="3"/>
  <c r="G1021" i="3"/>
  <c r="F1021" i="3"/>
  <c r="O1020" i="3"/>
  <c r="P1020" i="3" s="1"/>
  <c r="H1020" i="3"/>
  <c r="G1020" i="3"/>
  <c r="F1020" i="3"/>
  <c r="O1019" i="3"/>
  <c r="P1019" i="3" s="1"/>
  <c r="H1019" i="3"/>
  <c r="G1019" i="3"/>
  <c r="F1019" i="3"/>
  <c r="O1018" i="3"/>
  <c r="P1018" i="3" s="1"/>
  <c r="H1018" i="3"/>
  <c r="G1018" i="3"/>
  <c r="F1018" i="3"/>
  <c r="O1017" i="3"/>
  <c r="P1017" i="3" s="1"/>
  <c r="H1017" i="3"/>
  <c r="G1017" i="3"/>
  <c r="F1017" i="3"/>
  <c r="O1016" i="3"/>
  <c r="P1016" i="3" s="1"/>
  <c r="H1016" i="3"/>
  <c r="G1016" i="3"/>
  <c r="F1016" i="3"/>
  <c r="O1015" i="3"/>
  <c r="P1015" i="3" s="1"/>
  <c r="H1015" i="3"/>
  <c r="G1015" i="3"/>
  <c r="F1015" i="3"/>
  <c r="O1014" i="3"/>
  <c r="P1014" i="3" s="1"/>
  <c r="H1014" i="3"/>
  <c r="G1014" i="3"/>
  <c r="F1014" i="3"/>
  <c r="O1013" i="3"/>
  <c r="P1013" i="3" s="1"/>
  <c r="H1013" i="3"/>
  <c r="G1013" i="3"/>
  <c r="F1013" i="3"/>
  <c r="O1012" i="3"/>
  <c r="P1012" i="3" s="1"/>
  <c r="H1012" i="3"/>
  <c r="G1012" i="3"/>
  <c r="F1012" i="3"/>
  <c r="O1011" i="3"/>
  <c r="P1011" i="3" s="1"/>
  <c r="H1011" i="3"/>
  <c r="G1011" i="3"/>
  <c r="F1011" i="3"/>
  <c r="O1010" i="3"/>
  <c r="P1010" i="3" s="1"/>
  <c r="H1010" i="3"/>
  <c r="G1010" i="3"/>
  <c r="F1010" i="3"/>
  <c r="O1009" i="3"/>
  <c r="P1009" i="3" s="1"/>
  <c r="H1009" i="3"/>
  <c r="G1009" i="3"/>
  <c r="F1009" i="3"/>
  <c r="O1008" i="3"/>
  <c r="P1008" i="3" s="1"/>
  <c r="H1008" i="3"/>
  <c r="G1008" i="3"/>
  <c r="F1008" i="3"/>
  <c r="O1007" i="3"/>
  <c r="P1007" i="3" s="1"/>
  <c r="H1007" i="3"/>
  <c r="G1007" i="3"/>
  <c r="F1007" i="3"/>
  <c r="O1006" i="3"/>
  <c r="P1006" i="3" s="1"/>
  <c r="H1006" i="3"/>
  <c r="G1006" i="3"/>
  <c r="F1006" i="3"/>
  <c r="O1005" i="3"/>
  <c r="P1005" i="3" s="1"/>
  <c r="H1005" i="3"/>
  <c r="G1005" i="3"/>
  <c r="F1005" i="3"/>
  <c r="O1004" i="3"/>
  <c r="P1004" i="3" s="1"/>
  <c r="H1004" i="3"/>
  <c r="G1004" i="3"/>
  <c r="F1004" i="3"/>
  <c r="O1003" i="3"/>
  <c r="P1003" i="3" s="1"/>
  <c r="H1003" i="3"/>
  <c r="G1003" i="3"/>
  <c r="F1003" i="3"/>
  <c r="O1002" i="3"/>
  <c r="P1002" i="3" s="1"/>
  <c r="H1002" i="3"/>
  <c r="G1002" i="3"/>
  <c r="F1002" i="3"/>
  <c r="O1001" i="3"/>
  <c r="P1001" i="3" s="1"/>
  <c r="H1001" i="3"/>
  <c r="G1001" i="3"/>
  <c r="F1001" i="3"/>
  <c r="O1000" i="3"/>
  <c r="P1000" i="3" s="1"/>
  <c r="H1000" i="3"/>
  <c r="G1000" i="3"/>
  <c r="F1000" i="3"/>
  <c r="O999" i="3"/>
  <c r="P999" i="3" s="1"/>
  <c r="H999" i="3"/>
  <c r="G999" i="3"/>
  <c r="F999" i="3"/>
  <c r="O998" i="3"/>
  <c r="P998" i="3" s="1"/>
  <c r="H998" i="3"/>
  <c r="G998" i="3"/>
  <c r="F998" i="3"/>
  <c r="O997" i="3"/>
  <c r="P997" i="3" s="1"/>
  <c r="H997" i="3"/>
  <c r="G997" i="3"/>
  <c r="F997" i="3"/>
  <c r="O996" i="3"/>
  <c r="P996" i="3" s="1"/>
  <c r="H996" i="3"/>
  <c r="G996" i="3"/>
  <c r="F996" i="3"/>
  <c r="O995" i="3"/>
  <c r="P995" i="3" s="1"/>
  <c r="H995" i="3"/>
  <c r="G995" i="3"/>
  <c r="F995" i="3"/>
  <c r="O994" i="3"/>
  <c r="P994" i="3" s="1"/>
  <c r="H994" i="3"/>
  <c r="G994" i="3"/>
  <c r="F994" i="3"/>
  <c r="O993" i="3"/>
  <c r="P993" i="3" s="1"/>
  <c r="H993" i="3"/>
  <c r="G993" i="3"/>
  <c r="F993" i="3"/>
  <c r="O992" i="3"/>
  <c r="P992" i="3" s="1"/>
  <c r="H992" i="3"/>
  <c r="G992" i="3"/>
  <c r="F992" i="3"/>
  <c r="O991" i="3"/>
  <c r="P991" i="3" s="1"/>
  <c r="H991" i="3"/>
  <c r="G991" i="3"/>
  <c r="F991" i="3"/>
  <c r="O990" i="3"/>
  <c r="P990" i="3" s="1"/>
  <c r="H990" i="3"/>
  <c r="G990" i="3"/>
  <c r="F990" i="3"/>
  <c r="O989" i="3"/>
  <c r="P989" i="3" s="1"/>
  <c r="H989" i="3"/>
  <c r="G989" i="3"/>
  <c r="F989" i="3"/>
  <c r="O988" i="3"/>
  <c r="P988" i="3" s="1"/>
  <c r="H988" i="3"/>
  <c r="G988" i="3"/>
  <c r="F988" i="3"/>
  <c r="O987" i="3"/>
  <c r="P987" i="3" s="1"/>
  <c r="H987" i="3"/>
  <c r="G987" i="3"/>
  <c r="F987" i="3"/>
  <c r="O986" i="3"/>
  <c r="P986" i="3" s="1"/>
  <c r="H986" i="3"/>
  <c r="G986" i="3"/>
  <c r="F986" i="3"/>
  <c r="O985" i="3"/>
  <c r="P985" i="3" s="1"/>
  <c r="H985" i="3"/>
  <c r="G985" i="3"/>
  <c r="F985" i="3"/>
  <c r="O984" i="3"/>
  <c r="P984" i="3" s="1"/>
  <c r="H984" i="3"/>
  <c r="G984" i="3"/>
  <c r="F984" i="3"/>
  <c r="O983" i="3"/>
  <c r="P983" i="3" s="1"/>
  <c r="H983" i="3"/>
  <c r="G983" i="3"/>
  <c r="F983" i="3"/>
  <c r="O982" i="3"/>
  <c r="P982" i="3" s="1"/>
  <c r="H982" i="3"/>
  <c r="G982" i="3"/>
  <c r="F982" i="3"/>
  <c r="O981" i="3"/>
  <c r="P981" i="3" s="1"/>
  <c r="H981" i="3"/>
  <c r="G981" i="3"/>
  <c r="F981" i="3"/>
  <c r="H980" i="3"/>
  <c r="G980" i="3"/>
  <c r="F980" i="3"/>
  <c r="O979" i="3"/>
  <c r="P979" i="3" s="1"/>
  <c r="H979" i="3"/>
  <c r="G979" i="3"/>
  <c r="F979" i="3"/>
  <c r="O978" i="3"/>
  <c r="P978" i="3" s="1"/>
  <c r="H978" i="3"/>
  <c r="G978" i="3"/>
  <c r="F978" i="3"/>
  <c r="O977" i="3"/>
  <c r="P977" i="3" s="1"/>
  <c r="H977" i="3"/>
  <c r="G977" i="3"/>
  <c r="F977" i="3"/>
  <c r="O976" i="3"/>
  <c r="P976" i="3" s="1"/>
  <c r="H976" i="3"/>
  <c r="G976" i="3"/>
  <c r="F976" i="3"/>
  <c r="O975" i="3"/>
  <c r="P975" i="3" s="1"/>
  <c r="H975" i="3"/>
  <c r="G975" i="3"/>
  <c r="F975" i="3"/>
  <c r="O974" i="3"/>
  <c r="P974" i="3" s="1"/>
  <c r="H974" i="3"/>
  <c r="G974" i="3"/>
  <c r="F974" i="3"/>
  <c r="O973" i="3"/>
  <c r="P973" i="3" s="1"/>
  <c r="H973" i="3"/>
  <c r="G973" i="3"/>
  <c r="F973" i="3"/>
  <c r="O972" i="3"/>
  <c r="P972" i="3" s="1"/>
  <c r="H972" i="3"/>
  <c r="G972" i="3"/>
  <c r="F972" i="3"/>
  <c r="O971" i="3"/>
  <c r="P971" i="3" s="1"/>
  <c r="H971" i="3"/>
  <c r="G971" i="3"/>
  <c r="F971" i="3"/>
  <c r="O970" i="3"/>
  <c r="P970" i="3" s="1"/>
  <c r="H970" i="3"/>
  <c r="G970" i="3"/>
  <c r="F970" i="3"/>
  <c r="O969" i="3"/>
  <c r="P969" i="3" s="1"/>
  <c r="H969" i="3"/>
  <c r="G969" i="3"/>
  <c r="F969" i="3"/>
  <c r="O968" i="3"/>
  <c r="P968" i="3" s="1"/>
  <c r="H968" i="3"/>
  <c r="G968" i="3"/>
  <c r="F968" i="3"/>
  <c r="O967" i="3"/>
  <c r="P967" i="3" s="1"/>
  <c r="H967" i="3"/>
  <c r="G967" i="3"/>
  <c r="F967" i="3"/>
  <c r="O966" i="3"/>
  <c r="P966" i="3" s="1"/>
  <c r="H966" i="3"/>
  <c r="G966" i="3"/>
  <c r="F966" i="3"/>
  <c r="O965" i="3"/>
  <c r="P965" i="3" s="1"/>
  <c r="H965" i="3"/>
  <c r="G965" i="3"/>
  <c r="F965" i="3"/>
  <c r="O964" i="3"/>
  <c r="P964" i="3" s="1"/>
  <c r="H964" i="3"/>
  <c r="G964" i="3"/>
  <c r="F964" i="3"/>
  <c r="O963" i="3"/>
  <c r="P963" i="3" s="1"/>
  <c r="H963" i="3"/>
  <c r="G963" i="3"/>
  <c r="F963" i="3"/>
  <c r="O962" i="3"/>
  <c r="P962" i="3" s="1"/>
  <c r="H962" i="3"/>
  <c r="G962" i="3"/>
  <c r="F962" i="3"/>
  <c r="O961" i="3"/>
  <c r="P961" i="3" s="1"/>
  <c r="H961" i="3"/>
  <c r="G961" i="3"/>
  <c r="F961" i="3"/>
  <c r="O960" i="3"/>
  <c r="P960" i="3" s="1"/>
  <c r="H960" i="3"/>
  <c r="G960" i="3"/>
  <c r="F960" i="3"/>
  <c r="O959" i="3"/>
  <c r="P959" i="3" s="1"/>
  <c r="H959" i="3"/>
  <c r="G959" i="3"/>
  <c r="F959" i="3"/>
  <c r="O958" i="3"/>
  <c r="P958" i="3" s="1"/>
  <c r="H958" i="3"/>
  <c r="G958" i="3"/>
  <c r="F958" i="3"/>
  <c r="O957" i="3"/>
  <c r="P957" i="3" s="1"/>
  <c r="H957" i="3"/>
  <c r="G957" i="3"/>
  <c r="F957" i="3"/>
  <c r="O956" i="3"/>
  <c r="P956" i="3" s="1"/>
  <c r="H956" i="3"/>
  <c r="G956" i="3"/>
  <c r="F956" i="3"/>
  <c r="O955" i="3"/>
  <c r="P955" i="3" s="1"/>
  <c r="H955" i="3"/>
  <c r="G955" i="3"/>
  <c r="F955" i="3"/>
  <c r="O954" i="3"/>
  <c r="P954" i="3" s="1"/>
  <c r="H954" i="3"/>
  <c r="G954" i="3"/>
  <c r="F954" i="3"/>
  <c r="O953" i="3"/>
  <c r="P953" i="3" s="1"/>
  <c r="H953" i="3"/>
  <c r="G953" i="3"/>
  <c r="F953" i="3"/>
  <c r="O952" i="3"/>
  <c r="P952" i="3" s="1"/>
  <c r="H952" i="3"/>
  <c r="G952" i="3"/>
  <c r="F952" i="3"/>
  <c r="O951" i="3"/>
  <c r="P951" i="3" s="1"/>
  <c r="H951" i="3"/>
  <c r="G951" i="3"/>
  <c r="F951" i="3"/>
  <c r="O950" i="3"/>
  <c r="P950" i="3" s="1"/>
  <c r="H950" i="3"/>
  <c r="G950" i="3"/>
  <c r="F950" i="3"/>
  <c r="O949" i="3"/>
  <c r="P949" i="3" s="1"/>
  <c r="H949" i="3"/>
  <c r="G949" i="3"/>
  <c r="F949" i="3"/>
  <c r="O948" i="3"/>
  <c r="P948" i="3" s="1"/>
  <c r="H948" i="3"/>
  <c r="G948" i="3"/>
  <c r="F948" i="3"/>
  <c r="O947" i="3"/>
  <c r="P947" i="3" s="1"/>
  <c r="H947" i="3"/>
  <c r="G947" i="3"/>
  <c r="F947" i="3"/>
  <c r="O946" i="3"/>
  <c r="P946" i="3" s="1"/>
  <c r="H946" i="3"/>
  <c r="G946" i="3"/>
  <c r="F946" i="3"/>
  <c r="O945" i="3"/>
  <c r="P945" i="3" s="1"/>
  <c r="H945" i="3"/>
  <c r="G945" i="3"/>
  <c r="F945" i="3"/>
  <c r="O944" i="3"/>
  <c r="P944" i="3" s="1"/>
  <c r="H944" i="3"/>
  <c r="G944" i="3"/>
  <c r="F944" i="3"/>
  <c r="O943" i="3"/>
  <c r="P943" i="3" s="1"/>
  <c r="H943" i="3"/>
  <c r="G943" i="3"/>
  <c r="F943" i="3"/>
  <c r="O942" i="3"/>
  <c r="P942" i="3" s="1"/>
  <c r="H942" i="3"/>
  <c r="G942" i="3"/>
  <c r="F942" i="3"/>
  <c r="O941" i="3"/>
  <c r="P941" i="3" s="1"/>
  <c r="H941" i="3"/>
  <c r="G941" i="3"/>
  <c r="F941" i="3"/>
  <c r="O940" i="3"/>
  <c r="P940" i="3" s="1"/>
  <c r="H940" i="3"/>
  <c r="G940" i="3"/>
  <c r="F940" i="3"/>
  <c r="O939" i="3"/>
  <c r="P939" i="3" s="1"/>
  <c r="H939" i="3"/>
  <c r="G939" i="3"/>
  <c r="F939" i="3"/>
  <c r="O938" i="3"/>
  <c r="P938" i="3" s="1"/>
  <c r="H938" i="3"/>
  <c r="G938" i="3"/>
  <c r="F938" i="3"/>
  <c r="O937" i="3"/>
  <c r="P937" i="3" s="1"/>
  <c r="H937" i="3"/>
  <c r="G937" i="3"/>
  <c r="F937" i="3"/>
  <c r="O936" i="3"/>
  <c r="P936" i="3" s="1"/>
  <c r="H936" i="3"/>
  <c r="G936" i="3"/>
  <c r="F936" i="3"/>
  <c r="O935" i="3"/>
  <c r="P935" i="3" s="1"/>
  <c r="H935" i="3"/>
  <c r="G935" i="3"/>
  <c r="F935" i="3"/>
  <c r="O934" i="3"/>
  <c r="P934" i="3" s="1"/>
  <c r="H934" i="3"/>
  <c r="G934" i="3"/>
  <c r="F934" i="3"/>
  <c r="O933" i="3"/>
  <c r="P933" i="3" s="1"/>
  <c r="H933" i="3"/>
  <c r="G933" i="3"/>
  <c r="F933" i="3"/>
  <c r="O932" i="3"/>
  <c r="P932" i="3" s="1"/>
  <c r="H932" i="3"/>
  <c r="G932" i="3"/>
  <c r="F932" i="3"/>
  <c r="O931" i="3"/>
  <c r="P931" i="3" s="1"/>
  <c r="H931" i="3"/>
  <c r="G931" i="3"/>
  <c r="F931" i="3"/>
  <c r="O930" i="3"/>
  <c r="P930" i="3" s="1"/>
  <c r="H930" i="3"/>
  <c r="G930" i="3"/>
  <c r="F930" i="3"/>
  <c r="O929" i="3"/>
  <c r="P929" i="3" s="1"/>
  <c r="H929" i="3"/>
  <c r="G929" i="3"/>
  <c r="F929" i="3"/>
  <c r="O928" i="3"/>
  <c r="P928" i="3" s="1"/>
  <c r="H928" i="3"/>
  <c r="G928" i="3"/>
  <c r="F928" i="3"/>
  <c r="O927" i="3"/>
  <c r="P927" i="3" s="1"/>
  <c r="H927" i="3"/>
  <c r="G927" i="3"/>
  <c r="F927" i="3"/>
  <c r="O926" i="3"/>
  <c r="P926" i="3" s="1"/>
  <c r="H926" i="3"/>
  <c r="G926" i="3"/>
  <c r="F926" i="3"/>
  <c r="O925" i="3"/>
  <c r="P925" i="3" s="1"/>
  <c r="H925" i="3"/>
  <c r="G925" i="3"/>
  <c r="F925" i="3"/>
  <c r="O924" i="3"/>
  <c r="P924" i="3" s="1"/>
  <c r="H924" i="3"/>
  <c r="G924" i="3"/>
  <c r="F924" i="3"/>
  <c r="O923" i="3"/>
  <c r="P923" i="3" s="1"/>
  <c r="H923" i="3"/>
  <c r="G923" i="3"/>
  <c r="F923" i="3"/>
  <c r="O922" i="3"/>
  <c r="P922" i="3" s="1"/>
  <c r="H922" i="3"/>
  <c r="G922" i="3"/>
  <c r="F922" i="3"/>
  <c r="O921" i="3"/>
  <c r="P921" i="3" s="1"/>
  <c r="H921" i="3"/>
  <c r="G921" i="3"/>
  <c r="F921" i="3"/>
  <c r="O920" i="3"/>
  <c r="P920" i="3" s="1"/>
  <c r="H920" i="3"/>
  <c r="G920" i="3"/>
  <c r="F920" i="3"/>
  <c r="O919" i="3"/>
  <c r="P919" i="3" s="1"/>
  <c r="H919" i="3"/>
  <c r="G919" i="3"/>
  <c r="F919" i="3"/>
  <c r="O918" i="3"/>
  <c r="P918" i="3" s="1"/>
  <c r="H918" i="3"/>
  <c r="G918" i="3"/>
  <c r="F918" i="3"/>
  <c r="O917" i="3"/>
  <c r="P917" i="3" s="1"/>
  <c r="H917" i="3"/>
  <c r="G917" i="3"/>
  <c r="F917" i="3"/>
  <c r="O916" i="3"/>
  <c r="P916" i="3" s="1"/>
  <c r="H916" i="3"/>
  <c r="G916" i="3"/>
  <c r="F916" i="3"/>
  <c r="O915" i="3"/>
  <c r="P915" i="3" s="1"/>
  <c r="H915" i="3"/>
  <c r="G915" i="3"/>
  <c r="F915" i="3"/>
  <c r="O914" i="3"/>
  <c r="P914" i="3" s="1"/>
  <c r="H914" i="3"/>
  <c r="G914" i="3"/>
  <c r="F914" i="3"/>
  <c r="O913" i="3"/>
  <c r="P913" i="3" s="1"/>
  <c r="H913" i="3"/>
  <c r="G913" i="3"/>
  <c r="F913" i="3"/>
  <c r="O912" i="3"/>
  <c r="P912" i="3" s="1"/>
  <c r="H912" i="3"/>
  <c r="G912" i="3"/>
  <c r="F912" i="3"/>
  <c r="O911" i="3"/>
  <c r="P911" i="3" s="1"/>
  <c r="H911" i="3"/>
  <c r="G911" i="3"/>
  <c r="F911" i="3"/>
  <c r="O910" i="3"/>
  <c r="P910" i="3" s="1"/>
  <c r="H910" i="3"/>
  <c r="G910" i="3"/>
  <c r="F910" i="3"/>
  <c r="O909" i="3"/>
  <c r="P909" i="3" s="1"/>
  <c r="H909" i="3"/>
  <c r="G909" i="3"/>
  <c r="F909" i="3"/>
  <c r="O908" i="3"/>
  <c r="P908" i="3" s="1"/>
  <c r="H908" i="3"/>
  <c r="G908" i="3"/>
  <c r="F908" i="3"/>
  <c r="O907" i="3"/>
  <c r="P907" i="3" s="1"/>
  <c r="H907" i="3"/>
  <c r="G907" i="3"/>
  <c r="F907" i="3"/>
  <c r="O906" i="3"/>
  <c r="P906" i="3" s="1"/>
  <c r="H906" i="3"/>
  <c r="G906" i="3"/>
  <c r="F906" i="3"/>
  <c r="O905" i="3"/>
  <c r="P905" i="3" s="1"/>
  <c r="H905" i="3"/>
  <c r="G905" i="3"/>
  <c r="F905" i="3"/>
  <c r="O903" i="3"/>
  <c r="P903" i="3" s="1"/>
  <c r="H903" i="3"/>
  <c r="G903" i="3"/>
  <c r="F903" i="3"/>
  <c r="O902" i="3"/>
  <c r="P902" i="3" s="1"/>
  <c r="H902" i="3"/>
  <c r="G902" i="3"/>
  <c r="F902" i="3"/>
  <c r="O901" i="3"/>
  <c r="P901" i="3" s="1"/>
  <c r="H901" i="3"/>
  <c r="G901" i="3"/>
  <c r="F901" i="3"/>
  <c r="O900" i="3"/>
  <c r="P900" i="3" s="1"/>
  <c r="H900" i="3"/>
  <c r="G900" i="3"/>
  <c r="F900" i="3"/>
  <c r="O899" i="3"/>
  <c r="P899" i="3" s="1"/>
  <c r="H899" i="3"/>
  <c r="G899" i="3"/>
  <c r="F899" i="3"/>
  <c r="O898" i="3"/>
  <c r="P898" i="3" s="1"/>
  <c r="H898" i="3"/>
  <c r="G898" i="3"/>
  <c r="F898" i="3"/>
  <c r="O897" i="3"/>
  <c r="P897" i="3" s="1"/>
  <c r="H897" i="3"/>
  <c r="G897" i="3"/>
  <c r="F897" i="3"/>
  <c r="O896" i="3"/>
  <c r="P896" i="3" s="1"/>
  <c r="H896" i="3"/>
  <c r="G896" i="3"/>
  <c r="F896" i="3"/>
  <c r="O895" i="3"/>
  <c r="P895" i="3" s="1"/>
  <c r="H895" i="3"/>
  <c r="G895" i="3"/>
  <c r="F895" i="3"/>
  <c r="O894" i="3"/>
  <c r="P894" i="3" s="1"/>
  <c r="H894" i="3"/>
  <c r="G894" i="3"/>
  <c r="F894" i="3"/>
  <c r="O893" i="3"/>
  <c r="P893" i="3" s="1"/>
  <c r="H893" i="3"/>
  <c r="G893" i="3"/>
  <c r="F893" i="3"/>
  <c r="O892" i="3"/>
  <c r="P892" i="3" s="1"/>
  <c r="H892" i="3"/>
  <c r="G892" i="3"/>
  <c r="F892" i="3"/>
  <c r="O891" i="3"/>
  <c r="P891" i="3" s="1"/>
  <c r="H891" i="3"/>
  <c r="G891" i="3"/>
  <c r="F891" i="3"/>
  <c r="O890" i="3"/>
  <c r="P890" i="3" s="1"/>
  <c r="H890" i="3"/>
  <c r="G890" i="3"/>
  <c r="F890" i="3"/>
  <c r="O889" i="3"/>
  <c r="P889" i="3" s="1"/>
  <c r="H889" i="3"/>
  <c r="G889" i="3"/>
  <c r="F889" i="3"/>
  <c r="O888" i="3"/>
  <c r="P888" i="3" s="1"/>
  <c r="H888" i="3"/>
  <c r="G888" i="3"/>
  <c r="F888" i="3"/>
  <c r="O887" i="3"/>
  <c r="P887" i="3" s="1"/>
  <c r="H887" i="3"/>
  <c r="G887" i="3"/>
  <c r="F887" i="3"/>
  <c r="O886" i="3"/>
  <c r="P886" i="3" s="1"/>
  <c r="H886" i="3"/>
  <c r="G886" i="3"/>
  <c r="F886" i="3"/>
  <c r="O885" i="3"/>
  <c r="P885" i="3" s="1"/>
  <c r="H885" i="3"/>
  <c r="G885" i="3"/>
  <c r="F885" i="3"/>
  <c r="O884" i="3"/>
  <c r="P884" i="3" s="1"/>
  <c r="H884" i="3"/>
  <c r="G884" i="3"/>
  <c r="F884" i="3"/>
  <c r="O883" i="3"/>
  <c r="P883" i="3" s="1"/>
  <c r="H883" i="3"/>
  <c r="G883" i="3"/>
  <c r="F883" i="3"/>
  <c r="O882" i="3"/>
  <c r="P882" i="3" s="1"/>
  <c r="H882" i="3"/>
  <c r="G882" i="3"/>
  <c r="F882" i="3"/>
  <c r="O881" i="3"/>
  <c r="P881" i="3" s="1"/>
  <c r="H881" i="3"/>
  <c r="G881" i="3"/>
  <c r="F881" i="3"/>
  <c r="O880" i="3"/>
  <c r="P880" i="3" s="1"/>
  <c r="H880" i="3"/>
  <c r="G880" i="3"/>
  <c r="F880" i="3"/>
  <c r="O879" i="3"/>
  <c r="P879" i="3" s="1"/>
  <c r="H879" i="3"/>
  <c r="G879" i="3"/>
  <c r="F879" i="3"/>
  <c r="O878" i="3"/>
  <c r="P878" i="3" s="1"/>
  <c r="H878" i="3"/>
  <c r="G878" i="3"/>
  <c r="F878" i="3"/>
  <c r="O877" i="3"/>
  <c r="P877" i="3" s="1"/>
  <c r="H877" i="3"/>
  <c r="G877" i="3"/>
  <c r="F877" i="3"/>
  <c r="O876" i="3"/>
  <c r="P876" i="3" s="1"/>
  <c r="H876" i="3"/>
  <c r="G876" i="3"/>
  <c r="F876" i="3"/>
  <c r="O875" i="3"/>
  <c r="P875" i="3" s="1"/>
  <c r="H875" i="3"/>
  <c r="G875" i="3"/>
  <c r="F875" i="3"/>
  <c r="O874" i="3"/>
  <c r="P874" i="3" s="1"/>
  <c r="H874" i="3"/>
  <c r="G874" i="3"/>
  <c r="F874" i="3"/>
  <c r="O873" i="3"/>
  <c r="P873" i="3" s="1"/>
  <c r="H873" i="3"/>
  <c r="G873" i="3"/>
  <c r="F873" i="3"/>
  <c r="O872" i="3"/>
  <c r="P872" i="3" s="1"/>
  <c r="H872" i="3"/>
  <c r="G872" i="3"/>
  <c r="F872" i="3"/>
  <c r="O871" i="3"/>
  <c r="P871" i="3" s="1"/>
  <c r="H871" i="3"/>
  <c r="G871" i="3"/>
  <c r="F871" i="3"/>
  <c r="O870" i="3"/>
  <c r="P870" i="3" s="1"/>
  <c r="H870" i="3"/>
  <c r="G870" i="3"/>
  <c r="F870" i="3"/>
  <c r="O869" i="3"/>
  <c r="P869" i="3" s="1"/>
  <c r="H869" i="3"/>
  <c r="G869" i="3"/>
  <c r="F869" i="3"/>
  <c r="O868" i="3"/>
  <c r="P868" i="3" s="1"/>
  <c r="H868" i="3"/>
  <c r="G868" i="3"/>
  <c r="F868" i="3"/>
  <c r="O867" i="3"/>
  <c r="P867" i="3" s="1"/>
  <c r="H867" i="3"/>
  <c r="G867" i="3"/>
  <c r="F867" i="3"/>
  <c r="O866" i="3"/>
  <c r="P866" i="3" s="1"/>
  <c r="H866" i="3"/>
  <c r="G866" i="3"/>
  <c r="F866" i="3"/>
  <c r="O865" i="3"/>
  <c r="P865" i="3" s="1"/>
  <c r="H865" i="3"/>
  <c r="G865" i="3"/>
  <c r="F865" i="3"/>
  <c r="O864" i="3"/>
  <c r="P864" i="3" s="1"/>
  <c r="H864" i="3"/>
  <c r="G864" i="3"/>
  <c r="F864" i="3"/>
  <c r="O863" i="3"/>
  <c r="P863" i="3" s="1"/>
  <c r="H863" i="3"/>
  <c r="G863" i="3"/>
  <c r="F863" i="3"/>
  <c r="O862" i="3"/>
  <c r="P862" i="3" s="1"/>
  <c r="H862" i="3"/>
  <c r="G862" i="3"/>
  <c r="F862" i="3"/>
  <c r="O861" i="3"/>
  <c r="P861" i="3" s="1"/>
  <c r="H861" i="3"/>
  <c r="G861" i="3"/>
  <c r="F861" i="3"/>
  <c r="O860" i="3"/>
  <c r="P860" i="3" s="1"/>
  <c r="H860" i="3"/>
  <c r="G860" i="3"/>
  <c r="F860" i="3"/>
  <c r="O859" i="3"/>
  <c r="P859" i="3" s="1"/>
  <c r="H859" i="3"/>
  <c r="G859" i="3"/>
  <c r="F859" i="3"/>
  <c r="O858" i="3"/>
  <c r="P858" i="3" s="1"/>
  <c r="H858" i="3"/>
  <c r="G858" i="3"/>
  <c r="F858" i="3"/>
  <c r="O857" i="3"/>
  <c r="P857" i="3" s="1"/>
  <c r="H857" i="3"/>
  <c r="G857" i="3"/>
  <c r="F857" i="3"/>
  <c r="O856" i="3"/>
  <c r="P856" i="3" s="1"/>
  <c r="H856" i="3"/>
  <c r="G856" i="3"/>
  <c r="F856" i="3"/>
  <c r="O855" i="3"/>
  <c r="P855" i="3" s="1"/>
  <c r="H855" i="3"/>
  <c r="G855" i="3"/>
  <c r="F855" i="3"/>
  <c r="O854" i="3"/>
  <c r="P854" i="3" s="1"/>
  <c r="H854" i="3"/>
  <c r="G854" i="3"/>
  <c r="F854" i="3"/>
  <c r="O853" i="3"/>
  <c r="P853" i="3" s="1"/>
  <c r="H853" i="3"/>
  <c r="G853" i="3"/>
  <c r="F853" i="3"/>
  <c r="O852" i="3"/>
  <c r="P852" i="3" s="1"/>
  <c r="H852" i="3"/>
  <c r="G852" i="3"/>
  <c r="F852" i="3"/>
  <c r="O851" i="3"/>
  <c r="P851" i="3" s="1"/>
  <c r="H851" i="3"/>
  <c r="G851" i="3"/>
  <c r="F851" i="3"/>
  <c r="O850" i="3"/>
  <c r="P850" i="3" s="1"/>
  <c r="H850" i="3"/>
  <c r="G850" i="3"/>
  <c r="F850" i="3"/>
  <c r="O849" i="3"/>
  <c r="P849" i="3" s="1"/>
  <c r="H849" i="3"/>
  <c r="G849" i="3"/>
  <c r="F849" i="3"/>
  <c r="O848" i="3"/>
  <c r="P848" i="3" s="1"/>
  <c r="H848" i="3"/>
  <c r="G848" i="3"/>
  <c r="F848" i="3"/>
  <c r="O847" i="3"/>
  <c r="P847" i="3" s="1"/>
  <c r="H847" i="3"/>
  <c r="G847" i="3"/>
  <c r="F847" i="3"/>
  <c r="O846" i="3"/>
  <c r="P846" i="3" s="1"/>
  <c r="H846" i="3"/>
  <c r="G846" i="3"/>
  <c r="F846" i="3"/>
  <c r="O845" i="3"/>
  <c r="P845" i="3" s="1"/>
  <c r="H845" i="3"/>
  <c r="G845" i="3"/>
  <c r="F845" i="3"/>
  <c r="O844" i="3"/>
  <c r="P844" i="3" s="1"/>
  <c r="H844" i="3"/>
  <c r="G844" i="3"/>
  <c r="F844" i="3"/>
  <c r="O843" i="3"/>
  <c r="P843" i="3" s="1"/>
  <c r="H843" i="3"/>
  <c r="G843" i="3"/>
  <c r="F843" i="3"/>
  <c r="O842" i="3"/>
  <c r="P842" i="3" s="1"/>
  <c r="H842" i="3"/>
  <c r="G842" i="3"/>
  <c r="F842" i="3"/>
  <c r="O841" i="3"/>
  <c r="P841" i="3" s="1"/>
  <c r="H841" i="3"/>
  <c r="G841" i="3"/>
  <c r="F841" i="3"/>
  <c r="O840" i="3"/>
  <c r="P840" i="3" s="1"/>
  <c r="H840" i="3"/>
  <c r="G840" i="3"/>
  <c r="F840" i="3"/>
  <c r="O839" i="3"/>
  <c r="P839" i="3" s="1"/>
  <c r="H839" i="3"/>
  <c r="G839" i="3"/>
  <c r="F839" i="3"/>
  <c r="O838" i="3"/>
  <c r="P838" i="3" s="1"/>
  <c r="H838" i="3"/>
  <c r="G838" i="3"/>
  <c r="F838" i="3"/>
  <c r="O837" i="3"/>
  <c r="P837" i="3" s="1"/>
  <c r="H837" i="3"/>
  <c r="G837" i="3"/>
  <c r="F837" i="3"/>
  <c r="O836" i="3"/>
  <c r="P836" i="3" s="1"/>
  <c r="H836" i="3"/>
  <c r="G836" i="3"/>
  <c r="F836" i="3"/>
  <c r="O835" i="3"/>
  <c r="P835" i="3" s="1"/>
  <c r="H835" i="3"/>
  <c r="G835" i="3"/>
  <c r="F835" i="3"/>
  <c r="O834" i="3"/>
  <c r="P834" i="3" s="1"/>
  <c r="H834" i="3"/>
  <c r="G834" i="3"/>
  <c r="F834" i="3"/>
  <c r="O833" i="3"/>
  <c r="P833" i="3" s="1"/>
  <c r="H833" i="3"/>
  <c r="G833" i="3"/>
  <c r="F833" i="3"/>
  <c r="O832" i="3"/>
  <c r="P832" i="3" s="1"/>
  <c r="H832" i="3"/>
  <c r="G832" i="3"/>
  <c r="F832" i="3"/>
  <c r="O831" i="3"/>
  <c r="P831" i="3" s="1"/>
  <c r="H831" i="3"/>
  <c r="G831" i="3"/>
  <c r="F831" i="3"/>
  <c r="O830" i="3"/>
  <c r="P830" i="3" s="1"/>
  <c r="H830" i="3"/>
  <c r="G830" i="3"/>
  <c r="F830" i="3"/>
  <c r="O829" i="3"/>
  <c r="P829" i="3" s="1"/>
  <c r="H829" i="3"/>
  <c r="G829" i="3"/>
  <c r="F829" i="3"/>
  <c r="O828" i="3"/>
  <c r="P828" i="3" s="1"/>
  <c r="H828" i="3"/>
  <c r="G828" i="3"/>
  <c r="F828" i="3"/>
  <c r="O827" i="3"/>
  <c r="P827" i="3" s="1"/>
  <c r="H827" i="3"/>
  <c r="G827" i="3"/>
  <c r="F827" i="3"/>
  <c r="O826" i="3"/>
  <c r="P826" i="3" s="1"/>
  <c r="H826" i="3"/>
  <c r="G826" i="3"/>
  <c r="F826" i="3"/>
  <c r="O825" i="3"/>
  <c r="P825" i="3" s="1"/>
  <c r="H825" i="3"/>
  <c r="G825" i="3"/>
  <c r="F825" i="3"/>
  <c r="O824" i="3"/>
  <c r="P824" i="3" s="1"/>
  <c r="H824" i="3"/>
  <c r="G824" i="3"/>
  <c r="F824" i="3"/>
  <c r="O823" i="3"/>
  <c r="P823" i="3" s="1"/>
  <c r="H823" i="3"/>
  <c r="G823" i="3"/>
  <c r="F823" i="3"/>
  <c r="O822" i="3"/>
  <c r="P822" i="3" s="1"/>
  <c r="H822" i="3"/>
  <c r="G822" i="3"/>
  <c r="F822" i="3"/>
  <c r="O821" i="3"/>
  <c r="P821" i="3" s="1"/>
  <c r="H821" i="3"/>
  <c r="G821" i="3"/>
  <c r="F821" i="3"/>
  <c r="O820" i="3"/>
  <c r="P820" i="3" s="1"/>
  <c r="H820" i="3"/>
  <c r="G820" i="3"/>
  <c r="F820" i="3"/>
  <c r="O819" i="3"/>
  <c r="P819" i="3" s="1"/>
  <c r="H819" i="3"/>
  <c r="G819" i="3"/>
  <c r="F819" i="3"/>
  <c r="O818" i="3"/>
  <c r="P818" i="3" s="1"/>
  <c r="H818" i="3"/>
  <c r="G818" i="3"/>
  <c r="F818" i="3"/>
  <c r="O817" i="3"/>
  <c r="P817" i="3" s="1"/>
  <c r="H817" i="3"/>
  <c r="G817" i="3"/>
  <c r="F817" i="3"/>
  <c r="O816" i="3"/>
  <c r="P816" i="3" s="1"/>
  <c r="H816" i="3"/>
  <c r="G816" i="3"/>
  <c r="F816" i="3"/>
  <c r="O815" i="3"/>
  <c r="P815" i="3" s="1"/>
  <c r="H815" i="3"/>
  <c r="G815" i="3"/>
  <c r="F815" i="3"/>
  <c r="O814" i="3"/>
  <c r="P814" i="3" s="1"/>
  <c r="H814" i="3"/>
  <c r="G814" i="3"/>
  <c r="F814" i="3"/>
  <c r="O813" i="3"/>
  <c r="P813" i="3" s="1"/>
  <c r="H813" i="3"/>
  <c r="G813" i="3"/>
  <c r="F813" i="3"/>
  <c r="O812" i="3"/>
  <c r="P812" i="3" s="1"/>
  <c r="H812" i="3"/>
  <c r="G812" i="3"/>
  <c r="F812" i="3"/>
  <c r="O811" i="3"/>
  <c r="P811" i="3" s="1"/>
  <c r="H811" i="3"/>
  <c r="G811" i="3"/>
  <c r="F811" i="3"/>
  <c r="O810" i="3"/>
  <c r="P810" i="3" s="1"/>
  <c r="H810" i="3"/>
  <c r="G810" i="3"/>
  <c r="F810" i="3"/>
  <c r="O809" i="3"/>
  <c r="P809" i="3" s="1"/>
  <c r="H809" i="3"/>
  <c r="G809" i="3"/>
  <c r="F809" i="3"/>
  <c r="O808" i="3"/>
  <c r="P808" i="3" s="1"/>
  <c r="H808" i="3"/>
  <c r="G808" i="3"/>
  <c r="F808" i="3"/>
  <c r="O807" i="3"/>
  <c r="P807" i="3" s="1"/>
  <c r="H807" i="3"/>
  <c r="G807" i="3"/>
  <c r="F807" i="3"/>
  <c r="O806" i="3"/>
  <c r="P806" i="3" s="1"/>
  <c r="H806" i="3"/>
  <c r="G806" i="3"/>
  <c r="F806" i="3"/>
  <c r="O805" i="3"/>
  <c r="P805" i="3" s="1"/>
  <c r="H805" i="3"/>
  <c r="G805" i="3"/>
  <c r="F805" i="3"/>
  <c r="O804" i="3"/>
  <c r="P804" i="3" s="1"/>
  <c r="H804" i="3"/>
  <c r="G804" i="3"/>
  <c r="F804" i="3"/>
  <c r="O803" i="3"/>
  <c r="P803" i="3" s="1"/>
  <c r="H803" i="3"/>
  <c r="G803" i="3"/>
  <c r="F803" i="3"/>
  <c r="O802" i="3"/>
  <c r="P802" i="3" s="1"/>
  <c r="H802" i="3"/>
  <c r="G802" i="3"/>
  <c r="F802" i="3"/>
  <c r="O801" i="3"/>
  <c r="P801" i="3" s="1"/>
  <c r="H801" i="3"/>
  <c r="G801" i="3"/>
  <c r="F801" i="3"/>
  <c r="O800" i="3"/>
  <c r="P800" i="3" s="1"/>
  <c r="H800" i="3"/>
  <c r="G800" i="3"/>
  <c r="F800" i="3"/>
  <c r="O799" i="3"/>
  <c r="P799" i="3" s="1"/>
  <c r="H799" i="3"/>
  <c r="G799" i="3"/>
  <c r="F799" i="3"/>
  <c r="O798" i="3"/>
  <c r="P798" i="3" s="1"/>
  <c r="H798" i="3"/>
  <c r="G798" i="3"/>
  <c r="F798" i="3"/>
  <c r="O797" i="3"/>
  <c r="P797" i="3" s="1"/>
  <c r="H797" i="3"/>
  <c r="G797" i="3"/>
  <c r="F797" i="3"/>
  <c r="O796" i="3"/>
  <c r="P796" i="3" s="1"/>
  <c r="H796" i="3"/>
  <c r="G796" i="3"/>
  <c r="F796" i="3"/>
  <c r="O795" i="3"/>
  <c r="P795" i="3" s="1"/>
  <c r="H795" i="3"/>
  <c r="G795" i="3"/>
  <c r="F795" i="3"/>
  <c r="O794" i="3"/>
  <c r="P794" i="3" s="1"/>
  <c r="H794" i="3"/>
  <c r="G794" i="3"/>
  <c r="F794" i="3"/>
  <c r="O793" i="3"/>
  <c r="P793" i="3" s="1"/>
  <c r="H793" i="3"/>
  <c r="G793" i="3"/>
  <c r="F793" i="3"/>
  <c r="O792" i="3"/>
  <c r="P792" i="3" s="1"/>
  <c r="H792" i="3"/>
  <c r="G792" i="3"/>
  <c r="F792" i="3"/>
  <c r="O791" i="3"/>
  <c r="P791" i="3" s="1"/>
  <c r="H791" i="3"/>
  <c r="G791" i="3"/>
  <c r="F791" i="3"/>
  <c r="O790" i="3"/>
  <c r="P790" i="3" s="1"/>
  <c r="H790" i="3"/>
  <c r="G790" i="3"/>
  <c r="F790" i="3"/>
  <c r="O789" i="3"/>
  <c r="P789" i="3" s="1"/>
  <c r="H789" i="3"/>
  <c r="G789" i="3"/>
  <c r="F789" i="3"/>
  <c r="O788" i="3"/>
  <c r="P788" i="3" s="1"/>
  <c r="H788" i="3"/>
  <c r="G788" i="3"/>
  <c r="F788" i="3"/>
  <c r="O787" i="3"/>
  <c r="P787" i="3" s="1"/>
  <c r="H787" i="3"/>
  <c r="G787" i="3"/>
  <c r="F787" i="3"/>
  <c r="O786" i="3"/>
  <c r="P786" i="3" s="1"/>
  <c r="H786" i="3"/>
  <c r="G786" i="3"/>
  <c r="F786" i="3"/>
  <c r="O785" i="3"/>
  <c r="P785" i="3" s="1"/>
  <c r="H785" i="3"/>
  <c r="G785" i="3"/>
  <c r="F785" i="3"/>
  <c r="O784" i="3"/>
  <c r="P784" i="3" s="1"/>
  <c r="H784" i="3"/>
  <c r="G784" i="3"/>
  <c r="F784" i="3"/>
  <c r="O783" i="3"/>
  <c r="P783" i="3" s="1"/>
  <c r="H783" i="3"/>
  <c r="G783" i="3"/>
  <c r="F783" i="3"/>
  <c r="O782" i="3"/>
  <c r="P782" i="3" s="1"/>
  <c r="H782" i="3"/>
  <c r="G782" i="3"/>
  <c r="F782" i="3"/>
  <c r="O781" i="3"/>
  <c r="P781" i="3" s="1"/>
  <c r="H781" i="3"/>
  <c r="G781" i="3"/>
  <c r="F781" i="3"/>
  <c r="O780" i="3"/>
  <c r="P780" i="3" s="1"/>
  <c r="H780" i="3"/>
  <c r="G780" i="3"/>
  <c r="F780" i="3"/>
  <c r="O779" i="3"/>
  <c r="P779" i="3" s="1"/>
  <c r="H779" i="3"/>
  <c r="G779" i="3"/>
  <c r="F779" i="3"/>
  <c r="O778" i="3"/>
  <c r="P778" i="3" s="1"/>
  <c r="H778" i="3"/>
  <c r="G778" i="3"/>
  <c r="F778" i="3"/>
  <c r="O777" i="3"/>
  <c r="P777" i="3" s="1"/>
  <c r="H777" i="3"/>
  <c r="G777" i="3"/>
  <c r="F777" i="3"/>
  <c r="O776" i="3"/>
  <c r="P776" i="3" s="1"/>
  <c r="H776" i="3"/>
  <c r="G776" i="3"/>
  <c r="F776" i="3"/>
  <c r="O775" i="3"/>
  <c r="P775" i="3" s="1"/>
  <c r="H775" i="3"/>
  <c r="G775" i="3"/>
  <c r="F775" i="3"/>
  <c r="O774" i="3"/>
  <c r="P774" i="3" s="1"/>
  <c r="H774" i="3"/>
  <c r="G774" i="3"/>
  <c r="F774" i="3"/>
  <c r="O773" i="3"/>
  <c r="P773" i="3" s="1"/>
  <c r="H773" i="3"/>
  <c r="G773" i="3"/>
  <c r="F773" i="3"/>
  <c r="O772" i="3"/>
  <c r="P772" i="3" s="1"/>
  <c r="H772" i="3"/>
  <c r="G772" i="3"/>
  <c r="F772" i="3"/>
  <c r="O771" i="3"/>
  <c r="P771" i="3" s="1"/>
  <c r="H771" i="3"/>
  <c r="G771" i="3"/>
  <c r="F771" i="3"/>
  <c r="O770" i="3"/>
  <c r="P770" i="3" s="1"/>
  <c r="H770" i="3"/>
  <c r="G770" i="3"/>
  <c r="F770" i="3"/>
  <c r="O769" i="3"/>
  <c r="P769" i="3" s="1"/>
  <c r="H769" i="3"/>
  <c r="G769" i="3"/>
  <c r="F769" i="3"/>
  <c r="O768" i="3"/>
  <c r="P768" i="3" s="1"/>
  <c r="H768" i="3"/>
  <c r="G768" i="3"/>
  <c r="F768" i="3"/>
  <c r="O767" i="3"/>
  <c r="P767" i="3" s="1"/>
  <c r="H767" i="3"/>
  <c r="G767" i="3"/>
  <c r="F767" i="3"/>
  <c r="O766" i="3"/>
  <c r="P766" i="3" s="1"/>
  <c r="H766" i="3"/>
  <c r="G766" i="3"/>
  <c r="F766" i="3"/>
  <c r="O765" i="3"/>
  <c r="P765" i="3" s="1"/>
  <c r="H765" i="3"/>
  <c r="G765" i="3"/>
  <c r="F765" i="3"/>
  <c r="O764" i="3"/>
  <c r="P764" i="3" s="1"/>
  <c r="H764" i="3"/>
  <c r="G764" i="3"/>
  <c r="F764" i="3"/>
  <c r="O763" i="3"/>
  <c r="P763" i="3" s="1"/>
  <c r="H763" i="3"/>
  <c r="G763" i="3"/>
  <c r="F763" i="3"/>
  <c r="O762" i="3"/>
  <c r="P762" i="3" s="1"/>
  <c r="H762" i="3"/>
  <c r="G762" i="3"/>
  <c r="F762" i="3"/>
  <c r="O761" i="3"/>
  <c r="P761" i="3" s="1"/>
  <c r="H761" i="3"/>
  <c r="G761" i="3"/>
  <c r="F761" i="3"/>
  <c r="O760" i="3"/>
  <c r="P760" i="3" s="1"/>
  <c r="H760" i="3"/>
  <c r="G760" i="3"/>
  <c r="F760" i="3"/>
  <c r="O759" i="3"/>
  <c r="P759" i="3" s="1"/>
  <c r="H759" i="3"/>
  <c r="G759" i="3"/>
  <c r="F759" i="3"/>
  <c r="O758" i="3"/>
  <c r="P758" i="3" s="1"/>
  <c r="H758" i="3"/>
  <c r="G758" i="3"/>
  <c r="F758" i="3"/>
  <c r="O757" i="3"/>
  <c r="P757" i="3" s="1"/>
  <c r="H757" i="3"/>
  <c r="G757" i="3"/>
  <c r="F757" i="3"/>
  <c r="O756" i="3"/>
  <c r="P756" i="3" s="1"/>
  <c r="H756" i="3"/>
  <c r="G756" i="3"/>
  <c r="F756" i="3"/>
  <c r="O755" i="3"/>
  <c r="P755" i="3" s="1"/>
  <c r="H755" i="3"/>
  <c r="G755" i="3"/>
  <c r="F755" i="3"/>
  <c r="R754" i="3"/>
  <c r="O754" i="3"/>
  <c r="P754" i="3" s="1"/>
  <c r="H754" i="3"/>
  <c r="G754" i="3"/>
  <c r="F754" i="3"/>
  <c r="O753" i="3"/>
  <c r="P753" i="3" s="1"/>
  <c r="H753" i="3"/>
  <c r="G753" i="3"/>
  <c r="F753" i="3"/>
  <c r="O752" i="3"/>
  <c r="P752" i="3" s="1"/>
  <c r="H752" i="3"/>
  <c r="G752" i="3"/>
  <c r="F752" i="3"/>
  <c r="O751" i="3"/>
  <c r="P751" i="3" s="1"/>
  <c r="H751" i="3"/>
  <c r="G751" i="3"/>
  <c r="F751" i="3"/>
  <c r="O750" i="3"/>
  <c r="P750" i="3" s="1"/>
  <c r="H750" i="3"/>
  <c r="G750" i="3"/>
  <c r="F750" i="3"/>
  <c r="O749" i="3"/>
  <c r="P749" i="3" s="1"/>
  <c r="H749" i="3"/>
  <c r="G749" i="3"/>
  <c r="F749" i="3"/>
  <c r="O748" i="3"/>
  <c r="P748" i="3" s="1"/>
  <c r="H748" i="3"/>
  <c r="G748" i="3"/>
  <c r="F748" i="3"/>
  <c r="O747" i="3"/>
  <c r="P747" i="3" s="1"/>
  <c r="H747" i="3"/>
  <c r="G747" i="3"/>
  <c r="F747" i="3"/>
  <c r="O746" i="3"/>
  <c r="P746" i="3" s="1"/>
  <c r="H746" i="3"/>
  <c r="G746" i="3"/>
  <c r="F746" i="3"/>
  <c r="O745" i="3"/>
  <c r="P745" i="3" s="1"/>
  <c r="H745" i="3"/>
  <c r="G745" i="3"/>
  <c r="F745" i="3"/>
  <c r="O744" i="3"/>
  <c r="P744" i="3" s="1"/>
  <c r="H744" i="3"/>
  <c r="G744" i="3"/>
  <c r="F744" i="3"/>
  <c r="O743" i="3"/>
  <c r="P743" i="3" s="1"/>
  <c r="H743" i="3"/>
  <c r="G743" i="3"/>
  <c r="F743" i="3"/>
  <c r="O742" i="3"/>
  <c r="P742" i="3" s="1"/>
  <c r="H742" i="3"/>
  <c r="G742" i="3"/>
  <c r="F742" i="3"/>
  <c r="O741" i="3"/>
  <c r="P741" i="3" s="1"/>
  <c r="H741" i="3"/>
  <c r="G741" i="3"/>
  <c r="F741" i="3"/>
  <c r="O740" i="3"/>
  <c r="P740" i="3" s="1"/>
  <c r="H740" i="3"/>
  <c r="G740" i="3"/>
  <c r="F740" i="3"/>
  <c r="O739" i="3"/>
  <c r="P739" i="3" s="1"/>
  <c r="H739" i="3"/>
  <c r="G739" i="3"/>
  <c r="F739" i="3"/>
  <c r="O738" i="3"/>
  <c r="P738" i="3" s="1"/>
  <c r="H738" i="3"/>
  <c r="G738" i="3"/>
  <c r="F738" i="3"/>
  <c r="O737" i="3"/>
  <c r="P737" i="3" s="1"/>
  <c r="H737" i="3"/>
  <c r="G737" i="3"/>
  <c r="F737" i="3"/>
  <c r="O736" i="3"/>
  <c r="P736" i="3" s="1"/>
  <c r="H736" i="3"/>
  <c r="G736" i="3"/>
  <c r="F736" i="3"/>
  <c r="O735" i="3"/>
  <c r="P735" i="3" s="1"/>
  <c r="H735" i="3"/>
  <c r="G735" i="3"/>
  <c r="F735" i="3"/>
  <c r="O734" i="3"/>
  <c r="P734" i="3" s="1"/>
  <c r="H734" i="3"/>
  <c r="G734" i="3"/>
  <c r="F734" i="3"/>
  <c r="O733" i="3"/>
  <c r="P733" i="3" s="1"/>
  <c r="H733" i="3"/>
  <c r="G733" i="3"/>
  <c r="F733" i="3"/>
  <c r="O732" i="3"/>
  <c r="P732" i="3" s="1"/>
  <c r="H732" i="3"/>
  <c r="G732" i="3"/>
  <c r="F732" i="3"/>
  <c r="O731" i="3"/>
  <c r="P731" i="3" s="1"/>
  <c r="H731" i="3"/>
  <c r="O730" i="3"/>
  <c r="P730" i="3" s="1"/>
  <c r="H730" i="3"/>
  <c r="G730" i="3"/>
  <c r="F730" i="3"/>
  <c r="O729" i="3"/>
  <c r="P729" i="3" s="1"/>
  <c r="H729" i="3"/>
  <c r="G729" i="3"/>
  <c r="F729" i="3"/>
  <c r="O728" i="3"/>
  <c r="P728" i="3" s="1"/>
  <c r="H728" i="3"/>
  <c r="G728" i="3"/>
  <c r="F728" i="3"/>
  <c r="O727" i="3"/>
  <c r="P727" i="3" s="1"/>
  <c r="H727" i="3"/>
  <c r="G727" i="3"/>
  <c r="F727" i="3"/>
  <c r="O726" i="3"/>
  <c r="P726" i="3" s="1"/>
  <c r="H726" i="3"/>
  <c r="G726" i="3"/>
  <c r="F726" i="3"/>
  <c r="O725" i="3"/>
  <c r="P725" i="3" s="1"/>
  <c r="H725" i="3"/>
  <c r="G725" i="3"/>
  <c r="F725" i="3"/>
  <c r="O724" i="3"/>
  <c r="P724" i="3" s="1"/>
  <c r="H724" i="3"/>
  <c r="G724" i="3"/>
  <c r="F724" i="3"/>
  <c r="O723" i="3"/>
  <c r="P723" i="3" s="1"/>
  <c r="H723" i="3"/>
  <c r="G723" i="3"/>
  <c r="F723" i="3"/>
  <c r="O722" i="3"/>
  <c r="P722" i="3" s="1"/>
  <c r="H722" i="3"/>
  <c r="G722" i="3"/>
  <c r="F722" i="3"/>
  <c r="O721" i="3"/>
  <c r="P721" i="3" s="1"/>
  <c r="H721" i="3"/>
  <c r="G721" i="3"/>
  <c r="F721" i="3"/>
  <c r="O720" i="3"/>
  <c r="P720" i="3" s="1"/>
  <c r="H720" i="3"/>
  <c r="G720" i="3"/>
  <c r="F720" i="3"/>
  <c r="O719" i="3"/>
  <c r="P719" i="3" s="1"/>
  <c r="H719" i="3"/>
  <c r="G719" i="3"/>
  <c r="F719" i="3"/>
  <c r="O718" i="3"/>
  <c r="P718" i="3" s="1"/>
  <c r="H718" i="3"/>
  <c r="G718" i="3"/>
  <c r="F718" i="3"/>
  <c r="O717" i="3"/>
  <c r="P717" i="3" s="1"/>
  <c r="H717" i="3"/>
  <c r="G717" i="3"/>
  <c r="F717" i="3"/>
  <c r="O716" i="3"/>
  <c r="P716" i="3" s="1"/>
  <c r="H716" i="3"/>
  <c r="G716" i="3"/>
  <c r="F716" i="3"/>
  <c r="O715" i="3"/>
  <c r="P715" i="3" s="1"/>
  <c r="H715" i="3"/>
  <c r="G715" i="3"/>
  <c r="F715" i="3"/>
  <c r="O714" i="3"/>
  <c r="P714" i="3" s="1"/>
  <c r="H714" i="3"/>
  <c r="G714" i="3"/>
  <c r="F714" i="3"/>
  <c r="O713" i="3"/>
  <c r="P713" i="3" s="1"/>
  <c r="H713" i="3"/>
  <c r="G713" i="3"/>
  <c r="F713" i="3"/>
  <c r="O712" i="3"/>
  <c r="P712" i="3" s="1"/>
  <c r="H712" i="3"/>
  <c r="G712" i="3"/>
  <c r="F712" i="3"/>
  <c r="O711" i="3"/>
  <c r="P711" i="3" s="1"/>
  <c r="H711" i="3"/>
  <c r="G711" i="3"/>
  <c r="F711" i="3"/>
  <c r="O710" i="3"/>
  <c r="P710" i="3" s="1"/>
  <c r="H710" i="3"/>
  <c r="G710" i="3"/>
  <c r="F710" i="3"/>
  <c r="O709" i="3"/>
  <c r="P709" i="3" s="1"/>
  <c r="H709" i="3"/>
  <c r="G709" i="3"/>
  <c r="F709" i="3"/>
  <c r="O708" i="3"/>
  <c r="P708" i="3" s="1"/>
  <c r="H708" i="3"/>
  <c r="G708" i="3"/>
  <c r="F708" i="3"/>
  <c r="O707" i="3"/>
  <c r="P707" i="3" s="1"/>
  <c r="O706" i="3"/>
  <c r="P706" i="3" s="1"/>
  <c r="H706" i="3"/>
  <c r="G706" i="3"/>
  <c r="F706" i="3"/>
  <c r="O705" i="3"/>
  <c r="P705" i="3" s="1"/>
  <c r="H705" i="3"/>
  <c r="G705" i="3"/>
  <c r="F705" i="3"/>
  <c r="O704" i="3"/>
  <c r="P704" i="3" s="1"/>
  <c r="H704" i="3"/>
  <c r="G704" i="3"/>
  <c r="F704" i="3"/>
  <c r="O703" i="3"/>
  <c r="P703" i="3" s="1"/>
  <c r="H703" i="3"/>
  <c r="G703" i="3"/>
  <c r="F703" i="3"/>
  <c r="O702" i="3"/>
  <c r="P702" i="3" s="1"/>
  <c r="H702" i="3"/>
  <c r="G702" i="3"/>
  <c r="F702" i="3"/>
  <c r="O701" i="3"/>
  <c r="P701" i="3" s="1"/>
  <c r="H701" i="3"/>
  <c r="G701" i="3"/>
  <c r="F701" i="3"/>
  <c r="O700" i="3"/>
  <c r="P700" i="3" s="1"/>
  <c r="H700" i="3"/>
  <c r="G700" i="3"/>
  <c r="F700" i="3"/>
  <c r="O699" i="3"/>
  <c r="P699" i="3" s="1"/>
  <c r="H699" i="3"/>
  <c r="G699" i="3"/>
  <c r="F699" i="3"/>
  <c r="O698" i="3"/>
  <c r="P698" i="3" s="1"/>
  <c r="H698" i="3"/>
  <c r="G698" i="3"/>
  <c r="F698" i="3"/>
  <c r="O697" i="3"/>
  <c r="P697" i="3" s="1"/>
  <c r="H697" i="3"/>
  <c r="G697" i="3"/>
  <c r="F697" i="3"/>
  <c r="O696" i="3"/>
  <c r="P696" i="3" s="1"/>
  <c r="H696" i="3"/>
  <c r="G696" i="3"/>
  <c r="F696" i="3"/>
  <c r="O695" i="3"/>
  <c r="P695" i="3" s="1"/>
  <c r="H695" i="3"/>
  <c r="G695" i="3"/>
  <c r="F695" i="3"/>
  <c r="O694" i="3"/>
  <c r="P694" i="3" s="1"/>
  <c r="H694" i="3"/>
  <c r="G694" i="3"/>
  <c r="F694" i="3"/>
  <c r="O693" i="3"/>
  <c r="P693" i="3" s="1"/>
  <c r="H693" i="3"/>
  <c r="G693" i="3"/>
  <c r="F693" i="3"/>
  <c r="O692" i="3"/>
  <c r="P692" i="3" s="1"/>
  <c r="O691" i="3"/>
  <c r="P691" i="3" s="1"/>
  <c r="H691" i="3"/>
  <c r="G691" i="3"/>
  <c r="F691" i="3"/>
  <c r="O690" i="3"/>
  <c r="P690" i="3" s="1"/>
  <c r="H690" i="3"/>
  <c r="G690" i="3"/>
  <c r="F690" i="3"/>
  <c r="O689" i="3"/>
  <c r="P689" i="3" s="1"/>
  <c r="H689" i="3"/>
  <c r="G689" i="3"/>
  <c r="F689" i="3"/>
  <c r="P688" i="3"/>
  <c r="H688" i="3"/>
  <c r="G688" i="3"/>
  <c r="F688" i="3"/>
  <c r="O687" i="3"/>
  <c r="P687" i="3" s="1"/>
  <c r="H687" i="3"/>
  <c r="G687" i="3"/>
  <c r="F687" i="3"/>
  <c r="O686" i="3"/>
  <c r="P686" i="3" s="1"/>
  <c r="H686" i="3"/>
  <c r="G686" i="3"/>
  <c r="F686" i="3"/>
  <c r="O685" i="3"/>
  <c r="P685" i="3" s="1"/>
  <c r="H685" i="3"/>
  <c r="G685" i="3"/>
  <c r="F685" i="3"/>
  <c r="O684" i="3"/>
  <c r="P684" i="3" s="1"/>
  <c r="H684" i="3"/>
  <c r="G684" i="3"/>
  <c r="F684" i="3"/>
  <c r="O683" i="3"/>
  <c r="P683" i="3" s="1"/>
  <c r="H683" i="3"/>
  <c r="G683" i="3"/>
  <c r="F683" i="3"/>
  <c r="O682" i="3"/>
  <c r="P682" i="3" s="1"/>
  <c r="H682" i="3"/>
  <c r="G682" i="3"/>
  <c r="F682" i="3"/>
  <c r="O681" i="3"/>
  <c r="P681" i="3" s="1"/>
  <c r="H681" i="3"/>
  <c r="G681" i="3"/>
  <c r="F681" i="3"/>
  <c r="O680" i="3"/>
  <c r="P680" i="3" s="1"/>
  <c r="H680" i="3"/>
  <c r="G680" i="3"/>
  <c r="F680" i="3"/>
  <c r="O679" i="3"/>
  <c r="P679" i="3" s="1"/>
  <c r="O678" i="3"/>
  <c r="P678" i="3" s="1"/>
  <c r="H678" i="3"/>
  <c r="G678" i="3"/>
  <c r="F678" i="3"/>
  <c r="O677" i="3"/>
  <c r="P677" i="3" s="1"/>
  <c r="H677" i="3"/>
  <c r="G677" i="3"/>
  <c r="F677" i="3"/>
  <c r="O676" i="3"/>
  <c r="P676" i="3" s="1"/>
  <c r="H676" i="3"/>
  <c r="G676" i="3"/>
  <c r="F676" i="3"/>
  <c r="O675" i="3"/>
  <c r="P675" i="3" s="1"/>
  <c r="H675" i="3"/>
  <c r="G675" i="3"/>
  <c r="F675" i="3"/>
  <c r="O674" i="3"/>
  <c r="P674" i="3" s="1"/>
  <c r="H674" i="3"/>
  <c r="G674" i="3"/>
  <c r="F674" i="3"/>
  <c r="O673" i="3"/>
  <c r="P673" i="3" s="1"/>
  <c r="H673" i="3"/>
  <c r="G673" i="3"/>
  <c r="F673" i="3"/>
  <c r="O672" i="3"/>
  <c r="P672" i="3" s="1"/>
  <c r="H672" i="3"/>
  <c r="G672" i="3"/>
  <c r="F672" i="3"/>
  <c r="O671" i="3"/>
  <c r="P671" i="3" s="1"/>
  <c r="H671" i="3"/>
  <c r="G671" i="3"/>
  <c r="F671" i="3"/>
  <c r="O670" i="3"/>
  <c r="P670" i="3" s="1"/>
  <c r="H670" i="3"/>
  <c r="G670" i="3"/>
  <c r="F670" i="3"/>
  <c r="O669" i="3"/>
  <c r="P669" i="3" s="1"/>
  <c r="H669" i="3"/>
  <c r="G669" i="3"/>
  <c r="F669" i="3"/>
  <c r="O668" i="3"/>
  <c r="P668" i="3" s="1"/>
  <c r="H668" i="3"/>
  <c r="G668" i="3"/>
  <c r="F668" i="3"/>
  <c r="O667" i="3"/>
  <c r="P667" i="3" s="1"/>
  <c r="H667" i="3"/>
  <c r="G667" i="3"/>
  <c r="F667" i="3"/>
  <c r="O666" i="3"/>
  <c r="P666" i="3" s="1"/>
  <c r="H666" i="3"/>
  <c r="G666" i="3"/>
  <c r="F666" i="3"/>
  <c r="O665" i="3"/>
  <c r="P665" i="3" s="1"/>
  <c r="H665" i="3"/>
  <c r="G665" i="3"/>
  <c r="F665" i="3"/>
  <c r="O664" i="3"/>
  <c r="P664" i="3" s="1"/>
  <c r="H664" i="3"/>
  <c r="G664" i="3"/>
  <c r="F664" i="3"/>
  <c r="O663" i="3"/>
  <c r="P663" i="3" s="1"/>
  <c r="H663" i="3"/>
  <c r="G663" i="3"/>
  <c r="F663" i="3"/>
  <c r="O662" i="3"/>
  <c r="P662" i="3" s="1"/>
  <c r="H662" i="3"/>
  <c r="G662" i="3"/>
  <c r="F662" i="3"/>
  <c r="O661" i="3"/>
  <c r="P661" i="3" s="1"/>
  <c r="H661" i="3"/>
  <c r="G661" i="3"/>
  <c r="F661" i="3"/>
  <c r="O660" i="3"/>
  <c r="P660" i="3" s="1"/>
  <c r="O659" i="3"/>
  <c r="P659" i="3" s="1"/>
  <c r="H659" i="3"/>
  <c r="G659" i="3"/>
  <c r="F659" i="3"/>
  <c r="O658" i="3"/>
  <c r="P658" i="3" s="1"/>
  <c r="H658" i="3"/>
  <c r="G658" i="3"/>
  <c r="F658" i="3"/>
  <c r="O657" i="3"/>
  <c r="P657" i="3" s="1"/>
  <c r="H657" i="3"/>
  <c r="G657" i="3"/>
  <c r="F657" i="3"/>
  <c r="O656" i="3"/>
  <c r="P656" i="3" s="1"/>
  <c r="H656" i="3"/>
  <c r="G656" i="3"/>
  <c r="F656" i="3"/>
  <c r="O655" i="3"/>
  <c r="P655" i="3" s="1"/>
  <c r="H655" i="3"/>
  <c r="G655" i="3"/>
  <c r="F655" i="3"/>
  <c r="O654" i="3"/>
  <c r="P654" i="3" s="1"/>
  <c r="H654" i="3"/>
  <c r="G654" i="3"/>
  <c r="F654" i="3"/>
  <c r="O653" i="3"/>
  <c r="P653" i="3" s="1"/>
  <c r="H653" i="3"/>
  <c r="G653" i="3"/>
  <c r="F653" i="3"/>
  <c r="O652" i="3"/>
  <c r="P652" i="3" s="1"/>
  <c r="H652" i="3"/>
  <c r="G652" i="3"/>
  <c r="F652" i="3"/>
  <c r="O651" i="3"/>
  <c r="P651" i="3" s="1"/>
  <c r="H651" i="3"/>
  <c r="G651" i="3"/>
  <c r="F651" i="3"/>
  <c r="O650" i="3"/>
  <c r="P650" i="3" s="1"/>
  <c r="H650" i="3"/>
  <c r="G650" i="3"/>
  <c r="F650" i="3"/>
  <c r="O649" i="3"/>
  <c r="P649" i="3" s="1"/>
  <c r="H649" i="3"/>
  <c r="G649" i="3"/>
  <c r="F649" i="3"/>
  <c r="O648" i="3"/>
  <c r="P648" i="3" s="1"/>
  <c r="H648" i="3"/>
  <c r="G648" i="3"/>
  <c r="F648" i="3"/>
  <c r="O647" i="3"/>
  <c r="P647" i="3" s="1"/>
  <c r="H647" i="3"/>
  <c r="G647" i="3"/>
  <c r="F647" i="3"/>
  <c r="O646" i="3"/>
  <c r="P646" i="3" s="1"/>
  <c r="H646" i="3"/>
  <c r="G646" i="3"/>
  <c r="F646" i="3"/>
  <c r="O645" i="3"/>
  <c r="P645" i="3" s="1"/>
  <c r="H645" i="3"/>
  <c r="G645" i="3"/>
  <c r="F645" i="3"/>
  <c r="O644" i="3"/>
  <c r="P644" i="3" s="1"/>
  <c r="H644" i="3"/>
  <c r="G644" i="3"/>
  <c r="F644" i="3"/>
  <c r="O643" i="3"/>
  <c r="P643" i="3" s="1"/>
  <c r="H643" i="3"/>
  <c r="G643" i="3"/>
  <c r="F643" i="3"/>
  <c r="O642" i="3"/>
  <c r="P642" i="3" s="1"/>
  <c r="H642" i="3"/>
  <c r="G642" i="3"/>
  <c r="F642" i="3"/>
  <c r="O641" i="3"/>
  <c r="P641" i="3" s="1"/>
  <c r="H641" i="3"/>
  <c r="G641" i="3"/>
  <c r="F641" i="3"/>
  <c r="O640" i="3"/>
  <c r="P640" i="3" s="1"/>
  <c r="H640" i="3"/>
  <c r="G640" i="3"/>
  <c r="F640" i="3"/>
  <c r="O639" i="3"/>
  <c r="P639" i="3" s="1"/>
  <c r="H639" i="3"/>
  <c r="G639" i="3"/>
  <c r="F639" i="3"/>
  <c r="O638" i="3"/>
  <c r="P638" i="3" s="1"/>
  <c r="H638" i="3"/>
  <c r="G638" i="3"/>
  <c r="F638" i="3"/>
  <c r="O637" i="3"/>
  <c r="P637" i="3" s="1"/>
  <c r="H637" i="3"/>
  <c r="G637" i="3"/>
  <c r="F637" i="3"/>
  <c r="O636" i="3"/>
  <c r="P636" i="3" s="1"/>
  <c r="H636" i="3"/>
  <c r="G636" i="3"/>
  <c r="F636" i="3"/>
  <c r="O635" i="3"/>
  <c r="P635" i="3" s="1"/>
  <c r="H635" i="3"/>
  <c r="G635" i="3"/>
  <c r="F635" i="3"/>
  <c r="O634" i="3"/>
  <c r="P634" i="3" s="1"/>
  <c r="H634" i="3"/>
  <c r="G634" i="3"/>
  <c r="F634" i="3"/>
  <c r="O633" i="3"/>
  <c r="P633" i="3" s="1"/>
  <c r="H633" i="3"/>
  <c r="G633" i="3"/>
  <c r="F633" i="3"/>
  <c r="O632" i="3"/>
  <c r="P632" i="3" s="1"/>
  <c r="H632" i="3"/>
  <c r="G632" i="3"/>
  <c r="F632" i="3"/>
  <c r="O631" i="3"/>
  <c r="P631" i="3" s="1"/>
  <c r="H631" i="3"/>
  <c r="G631" i="3"/>
  <c r="F631" i="3"/>
  <c r="O630" i="3"/>
  <c r="P630" i="3" s="1"/>
  <c r="H630" i="3"/>
  <c r="G630" i="3"/>
  <c r="F630" i="3"/>
  <c r="O629" i="3"/>
  <c r="P629" i="3" s="1"/>
  <c r="H629" i="3"/>
  <c r="G629" i="3"/>
  <c r="F629" i="3"/>
  <c r="O628" i="3"/>
  <c r="P628" i="3" s="1"/>
  <c r="H628" i="3"/>
  <c r="G628" i="3"/>
  <c r="F628" i="3"/>
  <c r="O627" i="3"/>
  <c r="P627" i="3" s="1"/>
  <c r="H627" i="3"/>
  <c r="G627" i="3"/>
  <c r="F627" i="3"/>
  <c r="O626" i="3"/>
  <c r="P626" i="3" s="1"/>
  <c r="H626" i="3"/>
  <c r="G626" i="3"/>
  <c r="F626" i="3"/>
  <c r="O625" i="3"/>
  <c r="P625" i="3" s="1"/>
  <c r="H625" i="3"/>
  <c r="G625" i="3"/>
  <c r="F625" i="3"/>
  <c r="O624" i="3"/>
  <c r="P624" i="3" s="1"/>
  <c r="H624" i="3"/>
  <c r="G624" i="3"/>
  <c r="F624" i="3"/>
  <c r="O623" i="3"/>
  <c r="P623" i="3" s="1"/>
  <c r="H623" i="3"/>
  <c r="G623" i="3"/>
  <c r="F623" i="3"/>
  <c r="O622" i="3"/>
  <c r="P622" i="3" s="1"/>
  <c r="H622" i="3"/>
  <c r="G622" i="3"/>
  <c r="F622" i="3"/>
  <c r="O621" i="3"/>
  <c r="P621" i="3" s="1"/>
  <c r="H621" i="3"/>
  <c r="G621" i="3"/>
  <c r="F621" i="3"/>
  <c r="O620" i="3"/>
  <c r="P620" i="3" s="1"/>
  <c r="H620" i="3"/>
  <c r="G620" i="3"/>
  <c r="F620" i="3"/>
  <c r="O619" i="3"/>
  <c r="P619" i="3" s="1"/>
  <c r="H619" i="3"/>
  <c r="G619" i="3"/>
  <c r="F619" i="3"/>
  <c r="O618" i="3"/>
  <c r="P618" i="3" s="1"/>
  <c r="H618" i="3"/>
  <c r="G618" i="3"/>
  <c r="F618" i="3"/>
  <c r="O617" i="3"/>
  <c r="P617" i="3" s="1"/>
  <c r="H617" i="3"/>
  <c r="G617" i="3"/>
  <c r="F617" i="3"/>
  <c r="O616" i="3"/>
  <c r="P616" i="3" s="1"/>
  <c r="H616" i="3"/>
  <c r="G616" i="3"/>
  <c r="F616" i="3"/>
  <c r="O615" i="3"/>
  <c r="P615" i="3" s="1"/>
  <c r="H615" i="3"/>
  <c r="G615" i="3"/>
  <c r="F615" i="3"/>
  <c r="O614" i="3"/>
  <c r="P614" i="3" s="1"/>
  <c r="H614" i="3"/>
  <c r="G614" i="3"/>
  <c r="F614" i="3"/>
  <c r="O613" i="3"/>
  <c r="P613" i="3" s="1"/>
  <c r="H613" i="3"/>
  <c r="G613" i="3"/>
  <c r="F613" i="3"/>
  <c r="O612" i="3"/>
  <c r="P612" i="3" s="1"/>
  <c r="H612" i="3"/>
  <c r="G612" i="3"/>
  <c r="F612" i="3"/>
  <c r="O611" i="3"/>
  <c r="P611" i="3" s="1"/>
  <c r="H611" i="3"/>
  <c r="G611" i="3"/>
  <c r="F611" i="3"/>
  <c r="O610" i="3"/>
  <c r="P610" i="3" s="1"/>
  <c r="H610" i="3"/>
  <c r="G610" i="3"/>
  <c r="F610" i="3"/>
  <c r="O609" i="3"/>
  <c r="P609" i="3" s="1"/>
  <c r="H609" i="3"/>
  <c r="G609" i="3"/>
  <c r="F609" i="3"/>
  <c r="O608" i="3"/>
  <c r="P608" i="3" s="1"/>
  <c r="H608" i="3"/>
  <c r="G608" i="3"/>
  <c r="F608" i="3"/>
  <c r="O607" i="3"/>
  <c r="P607" i="3" s="1"/>
  <c r="H607" i="3"/>
  <c r="G607" i="3"/>
  <c r="F607" i="3"/>
  <c r="O606" i="3"/>
  <c r="P606" i="3" s="1"/>
  <c r="H606" i="3"/>
  <c r="G606" i="3"/>
  <c r="F606" i="3"/>
  <c r="O605" i="3"/>
  <c r="P605" i="3" s="1"/>
  <c r="H605" i="3"/>
  <c r="G605" i="3"/>
  <c r="F605" i="3"/>
  <c r="O604" i="3"/>
  <c r="P604" i="3" s="1"/>
  <c r="H604" i="3"/>
  <c r="G604" i="3"/>
  <c r="F604" i="3"/>
  <c r="O603" i="3"/>
  <c r="P603" i="3" s="1"/>
  <c r="H603" i="3"/>
  <c r="G603" i="3"/>
  <c r="F603" i="3"/>
  <c r="O602" i="3"/>
  <c r="P602" i="3" s="1"/>
  <c r="H602" i="3"/>
  <c r="G602" i="3"/>
  <c r="F602" i="3"/>
  <c r="O601" i="3"/>
  <c r="P601" i="3" s="1"/>
  <c r="H601" i="3"/>
  <c r="G601" i="3"/>
  <c r="F601" i="3"/>
  <c r="O600" i="3"/>
  <c r="P600" i="3" s="1"/>
  <c r="O599" i="3"/>
  <c r="P599" i="3" s="1"/>
  <c r="H599" i="3"/>
  <c r="G599" i="3"/>
  <c r="F599" i="3"/>
  <c r="O598" i="3"/>
  <c r="P598" i="3" s="1"/>
  <c r="H598" i="3"/>
  <c r="G598" i="3"/>
  <c r="F598" i="3"/>
  <c r="O597" i="3"/>
  <c r="P597" i="3" s="1"/>
  <c r="H597" i="3"/>
  <c r="G597" i="3"/>
  <c r="F597" i="3"/>
  <c r="O596" i="3"/>
  <c r="P596" i="3" s="1"/>
  <c r="H596" i="3"/>
  <c r="G596" i="3"/>
  <c r="F596" i="3"/>
  <c r="O595" i="3"/>
  <c r="P595" i="3" s="1"/>
  <c r="H595" i="3"/>
  <c r="G595" i="3"/>
  <c r="F595" i="3"/>
  <c r="O594" i="3"/>
  <c r="P594" i="3" s="1"/>
  <c r="H594" i="3"/>
  <c r="G594" i="3"/>
  <c r="F594" i="3"/>
  <c r="O593" i="3"/>
  <c r="P593" i="3" s="1"/>
  <c r="H593" i="3"/>
  <c r="G593" i="3"/>
  <c r="F593" i="3"/>
  <c r="O592" i="3"/>
  <c r="P592" i="3" s="1"/>
  <c r="H592" i="3"/>
  <c r="G592" i="3"/>
  <c r="F592" i="3"/>
  <c r="O591" i="3"/>
  <c r="P591" i="3" s="1"/>
  <c r="H591" i="3"/>
  <c r="G591" i="3"/>
  <c r="F591" i="3"/>
  <c r="O590" i="3"/>
  <c r="P590" i="3" s="1"/>
  <c r="H590" i="3"/>
  <c r="G590" i="3"/>
  <c r="F590" i="3"/>
  <c r="O589" i="3"/>
  <c r="P589" i="3" s="1"/>
  <c r="H589" i="3"/>
  <c r="G589" i="3"/>
  <c r="F589" i="3"/>
  <c r="O588" i="3"/>
  <c r="P588" i="3" s="1"/>
  <c r="H588" i="3"/>
  <c r="G588" i="3"/>
  <c r="F588" i="3"/>
  <c r="O587" i="3"/>
  <c r="P587" i="3" s="1"/>
  <c r="H587" i="3"/>
  <c r="G587" i="3"/>
  <c r="F587" i="3"/>
  <c r="O586" i="3"/>
  <c r="P586" i="3" s="1"/>
  <c r="H586" i="3"/>
  <c r="G586" i="3"/>
  <c r="F586" i="3"/>
  <c r="O585" i="3"/>
  <c r="P585" i="3" s="1"/>
  <c r="H585" i="3"/>
  <c r="G585" i="3"/>
  <c r="F585" i="3"/>
  <c r="O584" i="3"/>
  <c r="P584" i="3" s="1"/>
  <c r="H584" i="3"/>
  <c r="G584" i="3"/>
  <c r="F584" i="3"/>
  <c r="O583" i="3"/>
  <c r="P583" i="3" s="1"/>
  <c r="H583" i="3"/>
  <c r="G583" i="3"/>
  <c r="F583" i="3"/>
  <c r="O582" i="3"/>
  <c r="P582" i="3" s="1"/>
  <c r="H582" i="3"/>
  <c r="G582" i="3"/>
  <c r="F582" i="3"/>
  <c r="O581" i="3"/>
  <c r="P581" i="3" s="1"/>
  <c r="H581" i="3"/>
  <c r="G581" i="3"/>
  <c r="F581" i="3"/>
  <c r="O580" i="3"/>
  <c r="P580" i="3" s="1"/>
  <c r="H580" i="3"/>
  <c r="G580" i="3"/>
  <c r="F580" i="3"/>
  <c r="O579" i="3"/>
  <c r="P579" i="3" s="1"/>
  <c r="H579" i="3"/>
  <c r="G579" i="3"/>
  <c r="F579" i="3"/>
  <c r="O578" i="3"/>
  <c r="P578" i="3" s="1"/>
  <c r="H578" i="3"/>
  <c r="G578" i="3"/>
  <c r="F578" i="3"/>
  <c r="O577" i="3"/>
  <c r="P577" i="3" s="1"/>
  <c r="H577" i="3"/>
  <c r="G577" i="3"/>
  <c r="F577" i="3"/>
  <c r="O576" i="3"/>
  <c r="P576" i="3" s="1"/>
  <c r="H576" i="3"/>
  <c r="G576" i="3"/>
  <c r="F576" i="3"/>
  <c r="O575" i="3"/>
  <c r="P575" i="3" s="1"/>
  <c r="H575" i="3"/>
  <c r="G575" i="3"/>
  <c r="F575" i="3"/>
  <c r="O574" i="3"/>
  <c r="P574" i="3" s="1"/>
  <c r="H574" i="3"/>
  <c r="G574" i="3"/>
  <c r="F574" i="3"/>
  <c r="O573" i="3"/>
  <c r="P573" i="3" s="1"/>
  <c r="O572" i="3"/>
  <c r="P572" i="3" s="1"/>
  <c r="H572" i="3"/>
  <c r="G572" i="3"/>
  <c r="F572" i="3"/>
  <c r="O571" i="3"/>
  <c r="P571" i="3" s="1"/>
  <c r="H571" i="3"/>
  <c r="G571" i="3"/>
  <c r="F571" i="3"/>
  <c r="O570" i="3"/>
  <c r="P570" i="3" s="1"/>
  <c r="H570" i="3"/>
  <c r="G570" i="3"/>
  <c r="F570" i="3"/>
  <c r="O569" i="3"/>
  <c r="P569" i="3" s="1"/>
  <c r="H569" i="3"/>
  <c r="G569" i="3"/>
  <c r="F569" i="3"/>
  <c r="O568" i="3"/>
  <c r="P568" i="3" s="1"/>
  <c r="H568" i="3"/>
  <c r="G568" i="3"/>
  <c r="F568" i="3"/>
  <c r="O567" i="3"/>
  <c r="P567" i="3" s="1"/>
  <c r="H567" i="3"/>
  <c r="G567" i="3"/>
  <c r="F567" i="3"/>
  <c r="O566" i="3"/>
  <c r="P566" i="3" s="1"/>
  <c r="H566" i="3"/>
  <c r="G566" i="3"/>
  <c r="F566" i="3"/>
  <c r="O565" i="3"/>
  <c r="P565" i="3" s="1"/>
  <c r="H565" i="3"/>
  <c r="G565" i="3"/>
  <c r="F565" i="3"/>
  <c r="O564" i="3"/>
  <c r="P564" i="3" s="1"/>
  <c r="H564" i="3"/>
  <c r="G564" i="3"/>
  <c r="F564" i="3"/>
  <c r="O563" i="3"/>
  <c r="P563" i="3" s="1"/>
  <c r="H563" i="3"/>
  <c r="G563" i="3"/>
  <c r="F563" i="3"/>
  <c r="O562" i="3"/>
  <c r="P562" i="3" s="1"/>
  <c r="H562" i="3"/>
  <c r="G562" i="3"/>
  <c r="F562" i="3"/>
  <c r="O561" i="3"/>
  <c r="P561" i="3" s="1"/>
  <c r="H561" i="3"/>
  <c r="G561" i="3"/>
  <c r="F561" i="3"/>
  <c r="O560" i="3"/>
  <c r="P560" i="3" s="1"/>
  <c r="H560" i="3"/>
  <c r="G560" i="3"/>
  <c r="F560" i="3"/>
  <c r="O559" i="3"/>
  <c r="P559" i="3" s="1"/>
  <c r="H559" i="3"/>
  <c r="G559" i="3"/>
  <c r="F559" i="3"/>
  <c r="O558" i="3"/>
  <c r="P558" i="3" s="1"/>
  <c r="H558" i="3"/>
  <c r="G558" i="3"/>
  <c r="F558" i="3"/>
  <c r="O557" i="3"/>
  <c r="P557" i="3" s="1"/>
  <c r="H557" i="3"/>
  <c r="G557" i="3"/>
  <c r="F557" i="3"/>
  <c r="O556" i="3"/>
  <c r="P556" i="3" s="1"/>
  <c r="H556" i="3"/>
  <c r="G556" i="3"/>
  <c r="F556" i="3"/>
  <c r="O555" i="3"/>
  <c r="P555" i="3" s="1"/>
  <c r="H555" i="3"/>
  <c r="G555" i="3"/>
  <c r="F555" i="3"/>
  <c r="O554" i="3"/>
  <c r="P554" i="3" s="1"/>
  <c r="H554" i="3"/>
  <c r="G554" i="3"/>
  <c r="F554" i="3"/>
  <c r="O553" i="3"/>
  <c r="P553" i="3" s="1"/>
  <c r="H553" i="3"/>
  <c r="G553" i="3"/>
  <c r="F553" i="3"/>
  <c r="O552" i="3"/>
  <c r="P552" i="3" s="1"/>
  <c r="H552" i="3"/>
  <c r="G552" i="3"/>
  <c r="F552" i="3"/>
  <c r="O551" i="3"/>
  <c r="P551" i="3" s="1"/>
  <c r="H551" i="3"/>
  <c r="G551" i="3"/>
  <c r="F551" i="3"/>
  <c r="O550" i="3"/>
  <c r="P550" i="3" s="1"/>
  <c r="H550" i="3"/>
  <c r="G550" i="3"/>
  <c r="F550" i="3"/>
  <c r="O549" i="3"/>
  <c r="P549" i="3" s="1"/>
  <c r="H549" i="3"/>
  <c r="G549" i="3"/>
  <c r="F549" i="3"/>
  <c r="O548" i="3"/>
  <c r="P548" i="3" s="1"/>
  <c r="H548" i="3"/>
  <c r="G548" i="3"/>
  <c r="F548" i="3"/>
  <c r="O547" i="3"/>
  <c r="P547" i="3" s="1"/>
  <c r="H547" i="3"/>
  <c r="G547" i="3"/>
  <c r="F547" i="3"/>
  <c r="O546" i="3"/>
  <c r="P546" i="3" s="1"/>
  <c r="H546" i="3"/>
  <c r="G546" i="3"/>
  <c r="F546" i="3"/>
  <c r="O545" i="3"/>
  <c r="P545" i="3" s="1"/>
  <c r="H545" i="3"/>
  <c r="G545" i="3"/>
  <c r="F545" i="3"/>
  <c r="O544" i="3"/>
  <c r="P544" i="3" s="1"/>
  <c r="H544" i="3"/>
  <c r="G544" i="3"/>
  <c r="F544" i="3"/>
  <c r="O543" i="3"/>
  <c r="P543" i="3" s="1"/>
  <c r="H543" i="3"/>
  <c r="G543" i="3"/>
  <c r="F543" i="3"/>
  <c r="O542" i="3"/>
  <c r="P542" i="3" s="1"/>
  <c r="H542" i="3"/>
  <c r="G542" i="3"/>
  <c r="F542" i="3"/>
  <c r="O541" i="3"/>
  <c r="P541" i="3" s="1"/>
  <c r="H541" i="3"/>
  <c r="G541" i="3"/>
  <c r="F541" i="3"/>
  <c r="O540" i="3"/>
  <c r="P540" i="3" s="1"/>
  <c r="H540" i="3"/>
  <c r="G540" i="3"/>
  <c r="F540" i="3"/>
  <c r="O539" i="3"/>
  <c r="P539" i="3" s="1"/>
  <c r="H539" i="3"/>
  <c r="G539" i="3"/>
  <c r="F539" i="3"/>
  <c r="O538" i="3"/>
  <c r="P538" i="3" s="1"/>
  <c r="H538" i="3"/>
  <c r="G538" i="3"/>
  <c r="F538" i="3"/>
  <c r="O537" i="3"/>
  <c r="P537" i="3" s="1"/>
  <c r="H537" i="3"/>
  <c r="G537" i="3"/>
  <c r="F537" i="3"/>
  <c r="O536" i="3"/>
  <c r="P536" i="3" s="1"/>
  <c r="H536" i="3"/>
  <c r="G536" i="3"/>
  <c r="F536" i="3"/>
  <c r="O535" i="3"/>
  <c r="P535" i="3" s="1"/>
  <c r="H535" i="3"/>
  <c r="G535" i="3"/>
  <c r="F535" i="3"/>
  <c r="O534" i="3"/>
  <c r="P534" i="3" s="1"/>
  <c r="H534" i="3"/>
  <c r="G534" i="3"/>
  <c r="F534" i="3"/>
  <c r="O533" i="3"/>
  <c r="P533" i="3" s="1"/>
  <c r="H533" i="3"/>
  <c r="G533" i="3"/>
  <c r="F533" i="3"/>
  <c r="O532" i="3"/>
  <c r="P532" i="3" s="1"/>
  <c r="H532" i="3"/>
  <c r="G532" i="3"/>
  <c r="F532" i="3"/>
  <c r="O531" i="3"/>
  <c r="P531" i="3" s="1"/>
  <c r="H531" i="3"/>
  <c r="G531" i="3"/>
  <c r="F531" i="3"/>
  <c r="O530" i="3"/>
  <c r="P530" i="3" s="1"/>
  <c r="H530" i="3"/>
  <c r="G530" i="3"/>
  <c r="F530" i="3"/>
  <c r="O529" i="3"/>
  <c r="P529" i="3" s="1"/>
  <c r="H529" i="3"/>
  <c r="G529" i="3"/>
  <c r="F529" i="3"/>
  <c r="O528" i="3"/>
  <c r="P528" i="3" s="1"/>
  <c r="H528" i="3"/>
  <c r="G528" i="3"/>
  <c r="F528" i="3"/>
  <c r="O527" i="3"/>
  <c r="P527" i="3" s="1"/>
  <c r="H527" i="3"/>
  <c r="G527" i="3"/>
  <c r="F527" i="3"/>
  <c r="O526" i="3"/>
  <c r="P526" i="3" s="1"/>
  <c r="H526" i="3"/>
  <c r="G526" i="3"/>
  <c r="F526" i="3"/>
  <c r="O525" i="3"/>
  <c r="P525" i="3" s="1"/>
  <c r="H525" i="3"/>
  <c r="G525" i="3"/>
  <c r="F525" i="3"/>
  <c r="O524" i="3"/>
  <c r="P524" i="3" s="1"/>
  <c r="H524" i="3"/>
  <c r="G524" i="3"/>
  <c r="F524" i="3"/>
  <c r="O523" i="3"/>
  <c r="P523" i="3" s="1"/>
  <c r="H523" i="3"/>
  <c r="G523" i="3"/>
  <c r="F523" i="3"/>
  <c r="O522" i="3"/>
  <c r="P522" i="3" s="1"/>
  <c r="H522" i="3"/>
  <c r="G522" i="3"/>
  <c r="F522" i="3"/>
  <c r="O521" i="3"/>
  <c r="P521" i="3" s="1"/>
  <c r="H521" i="3"/>
  <c r="G521" i="3"/>
  <c r="F521" i="3"/>
  <c r="O520" i="3"/>
  <c r="P520" i="3" s="1"/>
  <c r="H520" i="3"/>
  <c r="G520" i="3"/>
  <c r="F520" i="3"/>
  <c r="O519" i="3"/>
  <c r="P519" i="3" s="1"/>
  <c r="H519" i="3"/>
  <c r="G519" i="3"/>
  <c r="F519" i="3"/>
  <c r="O518" i="3"/>
  <c r="P518" i="3" s="1"/>
  <c r="H518" i="3"/>
  <c r="G518" i="3"/>
  <c r="F518" i="3"/>
  <c r="O517" i="3"/>
  <c r="P517" i="3" s="1"/>
  <c r="H517" i="3"/>
  <c r="G517" i="3"/>
  <c r="F517" i="3"/>
  <c r="O516" i="3"/>
  <c r="P516" i="3" s="1"/>
  <c r="H516" i="3"/>
  <c r="G516" i="3"/>
  <c r="F516" i="3"/>
  <c r="O515" i="3"/>
  <c r="P515" i="3" s="1"/>
  <c r="H515" i="3"/>
  <c r="G515" i="3"/>
  <c r="F515" i="3"/>
  <c r="O514" i="3"/>
  <c r="P514" i="3" s="1"/>
  <c r="H514" i="3"/>
  <c r="G514" i="3"/>
  <c r="F514" i="3"/>
  <c r="O513" i="3"/>
  <c r="P513" i="3" s="1"/>
  <c r="H513" i="3"/>
  <c r="G513" i="3"/>
  <c r="F513" i="3"/>
  <c r="O512" i="3"/>
  <c r="P512" i="3" s="1"/>
  <c r="H512" i="3"/>
  <c r="G512" i="3"/>
  <c r="F512" i="3"/>
  <c r="O511" i="3"/>
  <c r="P511" i="3" s="1"/>
  <c r="H511" i="3"/>
  <c r="G511" i="3"/>
  <c r="F511" i="3"/>
  <c r="O510" i="3"/>
  <c r="P510" i="3" s="1"/>
  <c r="H510" i="3"/>
  <c r="G510" i="3"/>
  <c r="F510" i="3"/>
  <c r="O509" i="3"/>
  <c r="P509" i="3" s="1"/>
  <c r="H509" i="3"/>
  <c r="G509" i="3"/>
  <c r="F509" i="3"/>
  <c r="O508" i="3"/>
  <c r="P508" i="3" s="1"/>
  <c r="H508" i="3"/>
  <c r="G508" i="3"/>
  <c r="F508" i="3"/>
  <c r="O507" i="3"/>
  <c r="P507" i="3" s="1"/>
  <c r="H507" i="3"/>
  <c r="G507" i="3"/>
  <c r="F507" i="3"/>
  <c r="O506" i="3"/>
  <c r="P506" i="3" s="1"/>
  <c r="H506" i="3"/>
  <c r="G506" i="3"/>
  <c r="F506" i="3"/>
  <c r="O505" i="3"/>
  <c r="P505" i="3" s="1"/>
  <c r="H505" i="3"/>
  <c r="G505" i="3"/>
  <c r="F505" i="3"/>
  <c r="O504" i="3"/>
  <c r="P504" i="3" s="1"/>
  <c r="H504" i="3"/>
  <c r="G504" i="3"/>
  <c r="F504" i="3"/>
  <c r="O503" i="3"/>
  <c r="P503" i="3" s="1"/>
  <c r="H503" i="3"/>
  <c r="G503" i="3"/>
  <c r="F503" i="3"/>
  <c r="O502" i="3"/>
  <c r="P502" i="3" s="1"/>
  <c r="H502" i="3"/>
  <c r="G502" i="3"/>
  <c r="F502" i="3"/>
  <c r="O501" i="3"/>
  <c r="P501" i="3" s="1"/>
  <c r="H501" i="3"/>
  <c r="G501" i="3"/>
  <c r="F501" i="3"/>
  <c r="O500" i="3"/>
  <c r="P500" i="3" s="1"/>
  <c r="H500" i="3"/>
  <c r="G500" i="3"/>
  <c r="F500" i="3"/>
  <c r="O499" i="3"/>
  <c r="P499" i="3" s="1"/>
  <c r="H499" i="3"/>
  <c r="G499" i="3"/>
  <c r="F499" i="3"/>
  <c r="O498" i="3"/>
  <c r="P498" i="3" s="1"/>
  <c r="H498" i="3"/>
  <c r="G498" i="3"/>
  <c r="F498" i="3"/>
  <c r="O497" i="3"/>
  <c r="P497" i="3" s="1"/>
  <c r="H497" i="3"/>
  <c r="G497" i="3"/>
  <c r="F497" i="3"/>
  <c r="O496" i="3"/>
  <c r="P496" i="3" s="1"/>
  <c r="H496" i="3"/>
  <c r="G496" i="3"/>
  <c r="F496" i="3"/>
  <c r="O495" i="3"/>
  <c r="P495" i="3" s="1"/>
  <c r="H495" i="3"/>
  <c r="G495" i="3"/>
  <c r="F495" i="3"/>
  <c r="O494" i="3"/>
  <c r="P494" i="3" s="1"/>
  <c r="H494" i="3"/>
  <c r="G494" i="3"/>
  <c r="F494" i="3"/>
  <c r="O493" i="3"/>
  <c r="P493" i="3" s="1"/>
  <c r="H493" i="3"/>
  <c r="G493" i="3"/>
  <c r="F493" i="3"/>
  <c r="O492" i="3"/>
  <c r="P492" i="3" s="1"/>
  <c r="H492" i="3"/>
  <c r="G492" i="3"/>
  <c r="F492" i="3"/>
  <c r="O491" i="3"/>
  <c r="P491" i="3" s="1"/>
  <c r="H491" i="3"/>
  <c r="G491" i="3"/>
  <c r="F491" i="3"/>
  <c r="O490" i="3"/>
  <c r="P490" i="3" s="1"/>
  <c r="H490" i="3"/>
  <c r="G490" i="3"/>
  <c r="F490" i="3"/>
  <c r="O489" i="3"/>
  <c r="P489" i="3" s="1"/>
  <c r="H489" i="3"/>
  <c r="G489" i="3"/>
  <c r="F489" i="3"/>
  <c r="O488" i="3"/>
  <c r="P488" i="3" s="1"/>
  <c r="H488" i="3"/>
  <c r="G488" i="3"/>
  <c r="F488" i="3"/>
  <c r="O487" i="3"/>
  <c r="P487" i="3" s="1"/>
  <c r="H487" i="3"/>
  <c r="G487" i="3"/>
  <c r="F487" i="3"/>
  <c r="O486" i="3"/>
  <c r="P486" i="3" s="1"/>
  <c r="H486" i="3"/>
  <c r="G486" i="3"/>
  <c r="F486" i="3"/>
  <c r="O485" i="3"/>
  <c r="P485" i="3" s="1"/>
  <c r="H485" i="3"/>
  <c r="G485" i="3"/>
  <c r="F485" i="3"/>
  <c r="O484" i="3"/>
  <c r="P484" i="3" s="1"/>
  <c r="H484" i="3"/>
  <c r="G484" i="3"/>
  <c r="F484" i="3"/>
  <c r="O483" i="3"/>
  <c r="P483" i="3" s="1"/>
  <c r="H483" i="3"/>
  <c r="G483" i="3"/>
  <c r="F483" i="3"/>
  <c r="O482" i="3"/>
  <c r="P482" i="3" s="1"/>
  <c r="H482" i="3"/>
  <c r="G482" i="3"/>
  <c r="F482" i="3"/>
  <c r="O481" i="3"/>
  <c r="P481" i="3" s="1"/>
  <c r="H481" i="3"/>
  <c r="G481" i="3"/>
  <c r="F481" i="3"/>
  <c r="O480" i="3"/>
  <c r="P480" i="3" s="1"/>
  <c r="H480" i="3"/>
  <c r="G480" i="3"/>
  <c r="F480" i="3"/>
  <c r="O479" i="3"/>
  <c r="P479" i="3" s="1"/>
  <c r="H479" i="3"/>
  <c r="G479" i="3"/>
  <c r="F479" i="3"/>
  <c r="O478" i="3"/>
  <c r="P478" i="3" s="1"/>
  <c r="H478" i="3"/>
  <c r="G478" i="3"/>
  <c r="F478" i="3"/>
  <c r="O477" i="3"/>
  <c r="P477" i="3" s="1"/>
  <c r="H477" i="3"/>
  <c r="G477" i="3"/>
  <c r="F477" i="3"/>
  <c r="O476" i="3"/>
  <c r="P476" i="3" s="1"/>
  <c r="H476" i="3"/>
  <c r="G476" i="3"/>
  <c r="F476" i="3"/>
  <c r="O475" i="3"/>
  <c r="P475" i="3" s="1"/>
  <c r="H475" i="3"/>
  <c r="G475" i="3"/>
  <c r="F475" i="3"/>
  <c r="O474" i="3"/>
  <c r="P474" i="3" s="1"/>
  <c r="H474" i="3"/>
  <c r="G474" i="3"/>
  <c r="F474" i="3"/>
  <c r="O473" i="3"/>
  <c r="P473" i="3" s="1"/>
  <c r="H473" i="3"/>
  <c r="G473" i="3"/>
  <c r="F473" i="3"/>
  <c r="O472" i="3"/>
  <c r="P472" i="3" s="1"/>
  <c r="H472" i="3"/>
  <c r="G472" i="3"/>
  <c r="F472" i="3"/>
  <c r="O471" i="3"/>
  <c r="P471" i="3" s="1"/>
  <c r="H471" i="3"/>
  <c r="G471" i="3"/>
  <c r="F471" i="3"/>
  <c r="O470" i="3"/>
  <c r="P470" i="3" s="1"/>
  <c r="H470" i="3"/>
  <c r="G470" i="3"/>
  <c r="F470" i="3"/>
  <c r="O469" i="3"/>
  <c r="P469" i="3" s="1"/>
  <c r="H469" i="3"/>
  <c r="G469" i="3"/>
  <c r="F469" i="3"/>
  <c r="O468" i="3"/>
  <c r="P468" i="3" s="1"/>
  <c r="H468" i="3"/>
  <c r="G468" i="3"/>
  <c r="F468" i="3"/>
  <c r="O467" i="3"/>
  <c r="P467" i="3" s="1"/>
  <c r="H467" i="3"/>
  <c r="G467" i="3"/>
  <c r="F467" i="3"/>
  <c r="O466" i="3"/>
  <c r="P466" i="3" s="1"/>
  <c r="H466" i="3"/>
  <c r="G466" i="3"/>
  <c r="F466" i="3"/>
  <c r="O465" i="3"/>
  <c r="P465" i="3" s="1"/>
  <c r="H465" i="3"/>
  <c r="G465" i="3"/>
  <c r="F465" i="3"/>
  <c r="O464" i="3"/>
  <c r="P464" i="3" s="1"/>
  <c r="H464" i="3"/>
  <c r="G464" i="3"/>
  <c r="F464" i="3"/>
  <c r="O463" i="3"/>
  <c r="P463" i="3" s="1"/>
  <c r="H463" i="3"/>
  <c r="G463" i="3"/>
  <c r="F463" i="3"/>
  <c r="O462" i="3"/>
  <c r="P462" i="3" s="1"/>
  <c r="H462" i="3"/>
  <c r="G462" i="3"/>
  <c r="F462" i="3"/>
  <c r="O461" i="3"/>
  <c r="P461" i="3" s="1"/>
  <c r="H461" i="3"/>
  <c r="G461" i="3"/>
  <c r="F461" i="3"/>
  <c r="O460" i="3"/>
  <c r="P460" i="3" s="1"/>
  <c r="H460" i="3"/>
  <c r="G460" i="3"/>
  <c r="F460" i="3"/>
  <c r="O459" i="3"/>
  <c r="P459" i="3" s="1"/>
  <c r="H459" i="3"/>
  <c r="G459" i="3"/>
  <c r="F459" i="3"/>
  <c r="O458" i="3"/>
  <c r="P458" i="3" s="1"/>
  <c r="H458" i="3"/>
  <c r="G458" i="3"/>
  <c r="F458" i="3"/>
  <c r="O457" i="3"/>
  <c r="P457" i="3" s="1"/>
  <c r="H457" i="3"/>
  <c r="G457" i="3"/>
  <c r="F457" i="3"/>
  <c r="O456" i="3"/>
  <c r="P456" i="3" s="1"/>
  <c r="H456" i="3"/>
  <c r="G456" i="3"/>
  <c r="F456" i="3"/>
  <c r="O455" i="3"/>
  <c r="P455" i="3" s="1"/>
  <c r="H455" i="3"/>
  <c r="G455" i="3"/>
  <c r="F455" i="3"/>
  <c r="O454" i="3"/>
  <c r="P454" i="3" s="1"/>
  <c r="H454" i="3"/>
  <c r="G454" i="3"/>
  <c r="F454" i="3"/>
  <c r="O453" i="3"/>
  <c r="P453" i="3" s="1"/>
  <c r="H453" i="3"/>
  <c r="G453" i="3"/>
  <c r="F453" i="3"/>
  <c r="O452" i="3"/>
  <c r="P452" i="3" s="1"/>
  <c r="H452" i="3"/>
  <c r="G452" i="3"/>
  <c r="F452" i="3"/>
  <c r="O451" i="3"/>
  <c r="P451" i="3" s="1"/>
  <c r="H451" i="3"/>
  <c r="G451" i="3"/>
  <c r="F451" i="3"/>
  <c r="O450" i="3"/>
  <c r="P450" i="3" s="1"/>
  <c r="H450" i="3"/>
  <c r="G450" i="3"/>
  <c r="F450" i="3"/>
  <c r="O449" i="3"/>
  <c r="P449" i="3" s="1"/>
  <c r="H449" i="3"/>
  <c r="G449" i="3"/>
  <c r="F449" i="3"/>
  <c r="O448" i="3"/>
  <c r="P448" i="3" s="1"/>
  <c r="H448" i="3"/>
  <c r="G448" i="3"/>
  <c r="F448" i="3"/>
  <c r="O447" i="3"/>
  <c r="P447" i="3" s="1"/>
  <c r="H447" i="3"/>
  <c r="G447" i="3"/>
  <c r="F447" i="3"/>
  <c r="O446" i="3"/>
  <c r="P446" i="3" s="1"/>
  <c r="H446" i="3"/>
  <c r="G446" i="3"/>
  <c r="F446" i="3"/>
  <c r="O445" i="3"/>
  <c r="P445" i="3" s="1"/>
  <c r="H445" i="3"/>
  <c r="G445" i="3"/>
  <c r="F445" i="3"/>
  <c r="O444" i="3"/>
  <c r="P444" i="3" s="1"/>
  <c r="H444" i="3"/>
  <c r="G444" i="3"/>
  <c r="F444" i="3"/>
  <c r="O443" i="3"/>
  <c r="P443" i="3" s="1"/>
  <c r="H443" i="3"/>
  <c r="G443" i="3"/>
  <c r="F443" i="3"/>
  <c r="O442" i="3"/>
  <c r="P442" i="3" s="1"/>
  <c r="H442" i="3"/>
  <c r="G442" i="3"/>
  <c r="F442" i="3"/>
  <c r="O441" i="3"/>
  <c r="P441" i="3" s="1"/>
  <c r="H441" i="3"/>
  <c r="G441" i="3"/>
  <c r="F441" i="3"/>
  <c r="O440" i="3"/>
  <c r="P440" i="3" s="1"/>
  <c r="H440" i="3"/>
  <c r="G440" i="3"/>
  <c r="F440" i="3"/>
  <c r="O439" i="3"/>
  <c r="P439" i="3" s="1"/>
  <c r="H439" i="3"/>
  <c r="G439" i="3"/>
  <c r="F439" i="3"/>
  <c r="O438" i="3"/>
  <c r="P438" i="3" s="1"/>
  <c r="H438" i="3"/>
  <c r="G438" i="3"/>
  <c r="F438" i="3"/>
  <c r="O437" i="3"/>
  <c r="P437" i="3" s="1"/>
  <c r="H437" i="3"/>
  <c r="G437" i="3"/>
  <c r="F437" i="3"/>
  <c r="O436" i="3"/>
  <c r="P436" i="3" s="1"/>
  <c r="H436" i="3"/>
  <c r="G436" i="3"/>
  <c r="F436" i="3"/>
  <c r="O435" i="3"/>
  <c r="P435" i="3" s="1"/>
  <c r="H435" i="3"/>
  <c r="G435" i="3"/>
  <c r="F435" i="3"/>
  <c r="O434" i="3"/>
  <c r="P434" i="3" s="1"/>
  <c r="H434" i="3"/>
  <c r="G434" i="3"/>
  <c r="F434" i="3"/>
  <c r="O433" i="3"/>
  <c r="P433" i="3" s="1"/>
  <c r="H433" i="3"/>
  <c r="G433" i="3"/>
  <c r="F433" i="3"/>
  <c r="O432" i="3"/>
  <c r="P432" i="3" s="1"/>
  <c r="H432" i="3"/>
  <c r="G432" i="3"/>
  <c r="F432" i="3"/>
  <c r="O431" i="3"/>
  <c r="P431" i="3" s="1"/>
  <c r="H431" i="3"/>
  <c r="G431" i="3"/>
  <c r="F431" i="3"/>
  <c r="O430" i="3"/>
  <c r="P430" i="3" s="1"/>
  <c r="H430" i="3"/>
  <c r="G430" i="3"/>
  <c r="F430" i="3"/>
  <c r="O429" i="3"/>
  <c r="P429" i="3" s="1"/>
  <c r="H429" i="3"/>
  <c r="G429" i="3"/>
  <c r="F429" i="3"/>
  <c r="O428" i="3"/>
  <c r="P428" i="3" s="1"/>
  <c r="H428" i="3"/>
  <c r="G428" i="3"/>
  <c r="F428" i="3"/>
  <c r="O427" i="3"/>
  <c r="P427" i="3" s="1"/>
  <c r="H427" i="3"/>
  <c r="G427" i="3"/>
  <c r="F427" i="3"/>
  <c r="O426" i="3"/>
  <c r="P426" i="3" s="1"/>
  <c r="H426" i="3"/>
  <c r="G426" i="3"/>
  <c r="F426" i="3"/>
  <c r="O425" i="3"/>
  <c r="P425" i="3" s="1"/>
  <c r="H425" i="3"/>
  <c r="G425" i="3"/>
  <c r="F425" i="3"/>
  <c r="O424" i="3"/>
  <c r="P424" i="3" s="1"/>
  <c r="H424" i="3"/>
  <c r="G424" i="3"/>
  <c r="F424" i="3"/>
  <c r="O423" i="3"/>
  <c r="P423" i="3" s="1"/>
  <c r="H423" i="3"/>
  <c r="G423" i="3"/>
  <c r="F423" i="3"/>
  <c r="O422" i="3"/>
  <c r="P422" i="3" s="1"/>
  <c r="H422" i="3"/>
  <c r="G422" i="3"/>
  <c r="F422" i="3"/>
  <c r="O421" i="3"/>
  <c r="P421" i="3" s="1"/>
  <c r="H421" i="3"/>
  <c r="G421" i="3"/>
  <c r="F421" i="3"/>
  <c r="O420" i="3"/>
  <c r="P420" i="3" s="1"/>
  <c r="H420" i="3"/>
  <c r="G420" i="3"/>
  <c r="F420" i="3"/>
  <c r="O419" i="3"/>
  <c r="P419" i="3" s="1"/>
  <c r="H419" i="3"/>
  <c r="G419" i="3"/>
  <c r="F419" i="3"/>
  <c r="O418" i="3"/>
  <c r="P418" i="3" s="1"/>
  <c r="H418" i="3"/>
  <c r="G418" i="3"/>
  <c r="F418" i="3"/>
  <c r="O417" i="3"/>
  <c r="P417" i="3" s="1"/>
  <c r="H417" i="3"/>
  <c r="G417" i="3"/>
  <c r="F417" i="3"/>
  <c r="O416" i="3"/>
  <c r="P416" i="3" s="1"/>
  <c r="H416" i="3"/>
  <c r="G416" i="3"/>
  <c r="F416" i="3"/>
  <c r="O415" i="3"/>
  <c r="P415" i="3" s="1"/>
  <c r="H415" i="3"/>
  <c r="G415" i="3"/>
  <c r="F415" i="3"/>
  <c r="O414" i="3"/>
  <c r="P414" i="3" s="1"/>
  <c r="H414" i="3"/>
  <c r="G414" i="3"/>
  <c r="F414" i="3"/>
  <c r="O413" i="3"/>
  <c r="P413" i="3" s="1"/>
  <c r="H413" i="3"/>
  <c r="G413" i="3"/>
  <c r="F413" i="3"/>
  <c r="O412" i="3"/>
  <c r="P412" i="3" s="1"/>
  <c r="H412" i="3"/>
  <c r="G412" i="3"/>
  <c r="F412" i="3"/>
  <c r="O411" i="3"/>
  <c r="P411" i="3" s="1"/>
  <c r="H411" i="3"/>
  <c r="G411" i="3"/>
  <c r="F411" i="3"/>
  <c r="O410" i="3"/>
  <c r="P410" i="3" s="1"/>
  <c r="H410" i="3"/>
  <c r="G410" i="3"/>
  <c r="F410" i="3"/>
  <c r="O409" i="3"/>
  <c r="P409" i="3" s="1"/>
  <c r="H409" i="3"/>
  <c r="G409" i="3"/>
  <c r="F409" i="3"/>
  <c r="O408" i="3"/>
  <c r="P408" i="3" s="1"/>
  <c r="H408" i="3"/>
  <c r="G408" i="3"/>
  <c r="F408" i="3"/>
  <c r="O407" i="3"/>
  <c r="P407" i="3" s="1"/>
  <c r="H407" i="3"/>
  <c r="G407" i="3"/>
  <c r="F407" i="3"/>
  <c r="O406" i="3"/>
  <c r="P406" i="3" s="1"/>
  <c r="H406" i="3"/>
  <c r="G406" i="3"/>
  <c r="F406" i="3"/>
  <c r="O405" i="3"/>
  <c r="P405" i="3" s="1"/>
  <c r="H405" i="3"/>
  <c r="G405" i="3"/>
  <c r="F405" i="3"/>
  <c r="O404" i="3"/>
  <c r="P404" i="3" s="1"/>
  <c r="H404" i="3"/>
  <c r="G404" i="3"/>
  <c r="F404" i="3"/>
  <c r="O403" i="3"/>
  <c r="P403" i="3" s="1"/>
  <c r="H403" i="3"/>
  <c r="G403" i="3"/>
  <c r="F403" i="3"/>
  <c r="O402" i="3"/>
  <c r="P402" i="3" s="1"/>
  <c r="H402" i="3"/>
  <c r="G402" i="3"/>
  <c r="F402" i="3"/>
  <c r="O401" i="3"/>
  <c r="P401" i="3" s="1"/>
  <c r="H401" i="3"/>
  <c r="G401" i="3"/>
  <c r="F401" i="3"/>
  <c r="O400" i="3"/>
  <c r="P400" i="3" s="1"/>
  <c r="H400" i="3"/>
  <c r="G400" i="3"/>
  <c r="F400" i="3"/>
  <c r="O399" i="3"/>
  <c r="P399" i="3" s="1"/>
  <c r="H399" i="3"/>
  <c r="G399" i="3"/>
  <c r="F399" i="3"/>
  <c r="O398" i="3"/>
  <c r="P398" i="3" s="1"/>
  <c r="H398" i="3"/>
  <c r="G398" i="3"/>
  <c r="F398" i="3"/>
  <c r="O397" i="3"/>
  <c r="P397" i="3" s="1"/>
  <c r="H397" i="3"/>
  <c r="G397" i="3"/>
  <c r="F397" i="3"/>
  <c r="O396" i="3"/>
  <c r="P396" i="3" s="1"/>
  <c r="H396" i="3"/>
  <c r="G396" i="3"/>
  <c r="F396" i="3"/>
  <c r="O395" i="3"/>
  <c r="P395" i="3" s="1"/>
  <c r="H395" i="3"/>
  <c r="G395" i="3"/>
  <c r="F395" i="3"/>
  <c r="O394" i="3"/>
  <c r="P394" i="3" s="1"/>
  <c r="H394" i="3"/>
  <c r="G394" i="3"/>
  <c r="F394" i="3"/>
  <c r="O393" i="3"/>
  <c r="P393" i="3" s="1"/>
  <c r="H393" i="3"/>
  <c r="G393" i="3"/>
  <c r="F393" i="3"/>
  <c r="O392" i="3"/>
  <c r="P392" i="3" s="1"/>
  <c r="H392" i="3"/>
  <c r="G392" i="3"/>
  <c r="F392" i="3"/>
  <c r="O391" i="3"/>
  <c r="P391" i="3" s="1"/>
  <c r="H391" i="3"/>
  <c r="G391" i="3"/>
  <c r="F391" i="3"/>
  <c r="O390" i="3"/>
  <c r="P390" i="3" s="1"/>
  <c r="H390" i="3"/>
  <c r="G390" i="3"/>
  <c r="F390" i="3"/>
  <c r="O389" i="3"/>
  <c r="P389" i="3" s="1"/>
  <c r="H389" i="3"/>
  <c r="G389" i="3"/>
  <c r="F389" i="3"/>
  <c r="O388" i="3"/>
  <c r="P388" i="3" s="1"/>
  <c r="H388" i="3"/>
  <c r="G388" i="3"/>
  <c r="F388" i="3"/>
  <c r="O387" i="3"/>
  <c r="P387" i="3" s="1"/>
  <c r="H387" i="3"/>
  <c r="G387" i="3"/>
  <c r="F387" i="3"/>
  <c r="O386" i="3"/>
  <c r="P386" i="3" s="1"/>
  <c r="H386" i="3"/>
  <c r="G386" i="3"/>
  <c r="F386" i="3"/>
  <c r="O385" i="3"/>
  <c r="P385" i="3" s="1"/>
  <c r="H385" i="3"/>
  <c r="G385" i="3"/>
  <c r="F385" i="3"/>
  <c r="O384" i="3"/>
  <c r="P384" i="3" s="1"/>
  <c r="H384" i="3"/>
  <c r="G384" i="3"/>
  <c r="F384" i="3"/>
  <c r="O383" i="3"/>
  <c r="P383" i="3" s="1"/>
  <c r="H383" i="3"/>
  <c r="G383" i="3"/>
  <c r="F383" i="3"/>
  <c r="O382" i="3"/>
  <c r="P382" i="3" s="1"/>
  <c r="O381" i="3"/>
  <c r="P381" i="3" s="1"/>
  <c r="H381" i="3"/>
  <c r="G381" i="3"/>
  <c r="F381" i="3"/>
  <c r="O380" i="3"/>
  <c r="P380" i="3" s="1"/>
  <c r="H380" i="3"/>
  <c r="G380" i="3"/>
  <c r="F380" i="3"/>
  <c r="O379" i="3"/>
  <c r="P379" i="3" s="1"/>
  <c r="H379" i="3"/>
  <c r="G379" i="3"/>
  <c r="F379" i="3"/>
  <c r="O378" i="3"/>
  <c r="P378" i="3" s="1"/>
  <c r="H378" i="3"/>
  <c r="G378" i="3"/>
  <c r="F378" i="3"/>
  <c r="O377" i="3"/>
  <c r="P377" i="3" s="1"/>
  <c r="H377" i="3"/>
  <c r="G377" i="3"/>
  <c r="F377" i="3"/>
  <c r="O376" i="3"/>
  <c r="P376" i="3" s="1"/>
  <c r="H376" i="3"/>
  <c r="G376" i="3"/>
  <c r="F376" i="3"/>
  <c r="O375" i="3"/>
  <c r="P375" i="3" s="1"/>
  <c r="H375" i="3"/>
  <c r="G375" i="3"/>
  <c r="F375" i="3"/>
  <c r="O374" i="3"/>
  <c r="P374" i="3" s="1"/>
  <c r="H374" i="3"/>
  <c r="G374" i="3"/>
  <c r="F374" i="3"/>
  <c r="O373" i="3"/>
  <c r="P373" i="3" s="1"/>
  <c r="F373" i="3"/>
  <c r="O372" i="3"/>
  <c r="P372" i="3" s="1"/>
  <c r="H372" i="3"/>
  <c r="G372" i="3"/>
  <c r="F372" i="3"/>
  <c r="O371" i="3"/>
  <c r="P371" i="3" s="1"/>
  <c r="H371" i="3"/>
  <c r="G371" i="3"/>
  <c r="F371" i="3"/>
  <c r="O370" i="3"/>
  <c r="P370" i="3" s="1"/>
  <c r="H370" i="3"/>
  <c r="G370" i="3"/>
  <c r="F370" i="3"/>
  <c r="O369" i="3"/>
  <c r="P369" i="3" s="1"/>
  <c r="H369" i="3"/>
  <c r="G369" i="3"/>
  <c r="F369" i="3"/>
  <c r="O368" i="3"/>
  <c r="P368" i="3" s="1"/>
  <c r="H368" i="3"/>
  <c r="G368" i="3"/>
  <c r="F368" i="3"/>
  <c r="O367" i="3"/>
  <c r="P367" i="3" s="1"/>
  <c r="H367" i="3"/>
  <c r="G367" i="3"/>
  <c r="F367" i="3"/>
  <c r="O366" i="3"/>
  <c r="P366" i="3" s="1"/>
  <c r="H366" i="3"/>
  <c r="G366" i="3"/>
  <c r="F366" i="3"/>
  <c r="O365" i="3"/>
  <c r="P365" i="3" s="1"/>
  <c r="H365" i="3"/>
  <c r="G365" i="3"/>
  <c r="F365" i="3"/>
  <c r="O364" i="3"/>
  <c r="P364" i="3" s="1"/>
  <c r="H364" i="3"/>
  <c r="G364" i="3"/>
  <c r="F364" i="3"/>
  <c r="O363" i="3"/>
  <c r="P363" i="3" s="1"/>
  <c r="H363" i="3"/>
  <c r="G363" i="3"/>
  <c r="F363" i="3"/>
  <c r="O362" i="3"/>
  <c r="P362" i="3" s="1"/>
  <c r="H362" i="3"/>
  <c r="G362" i="3"/>
  <c r="F362" i="3"/>
  <c r="O361" i="3"/>
  <c r="P361" i="3" s="1"/>
  <c r="H361" i="3"/>
  <c r="G361" i="3"/>
  <c r="F361" i="3"/>
  <c r="O360" i="3"/>
  <c r="P360" i="3" s="1"/>
  <c r="H360" i="3"/>
  <c r="G360" i="3"/>
  <c r="F360" i="3"/>
  <c r="O359" i="3"/>
  <c r="P359" i="3" s="1"/>
  <c r="F359" i="3"/>
  <c r="O358" i="3"/>
  <c r="P358" i="3" s="1"/>
  <c r="F358" i="3"/>
  <c r="O357" i="3"/>
  <c r="P357" i="3" s="1"/>
  <c r="H357" i="3"/>
  <c r="G357" i="3"/>
  <c r="F357" i="3"/>
  <c r="O356" i="3"/>
  <c r="P356" i="3" s="1"/>
  <c r="H356" i="3"/>
  <c r="G356" i="3"/>
  <c r="F356" i="3"/>
  <c r="O355" i="3"/>
  <c r="P355" i="3" s="1"/>
  <c r="H355" i="3"/>
  <c r="G355" i="3"/>
  <c r="F355" i="3"/>
  <c r="O354" i="3"/>
  <c r="P354" i="3" s="1"/>
  <c r="H354" i="3"/>
  <c r="G354" i="3"/>
  <c r="F354" i="3"/>
  <c r="O353" i="3"/>
  <c r="P353" i="3" s="1"/>
  <c r="H353" i="3"/>
  <c r="G353" i="3"/>
  <c r="F353" i="3"/>
  <c r="O352" i="3"/>
  <c r="P352" i="3" s="1"/>
  <c r="H352" i="3"/>
  <c r="G352" i="3"/>
  <c r="F352" i="3"/>
  <c r="O351" i="3"/>
  <c r="P351" i="3" s="1"/>
  <c r="H351" i="3"/>
  <c r="G351" i="3"/>
  <c r="F351" i="3"/>
  <c r="O350" i="3"/>
  <c r="P350" i="3" s="1"/>
  <c r="H350" i="3"/>
  <c r="G350" i="3"/>
  <c r="F350" i="3"/>
  <c r="O349" i="3"/>
  <c r="P349" i="3" s="1"/>
  <c r="H349" i="3"/>
  <c r="G349" i="3"/>
  <c r="F349" i="3"/>
  <c r="O348" i="3"/>
  <c r="P348" i="3" s="1"/>
  <c r="H348" i="3"/>
  <c r="G348" i="3"/>
  <c r="F348" i="3"/>
  <c r="O347" i="3"/>
  <c r="P347" i="3" s="1"/>
  <c r="H347" i="3"/>
  <c r="G347" i="3"/>
  <c r="F347" i="3"/>
  <c r="O346" i="3"/>
  <c r="P346" i="3" s="1"/>
  <c r="H346" i="3"/>
  <c r="G346" i="3"/>
  <c r="F346" i="3"/>
  <c r="O345" i="3"/>
  <c r="P345" i="3" s="1"/>
  <c r="H345" i="3"/>
  <c r="G345" i="3"/>
  <c r="F345" i="3"/>
  <c r="O344" i="3"/>
  <c r="P344" i="3" s="1"/>
  <c r="H344" i="3"/>
  <c r="G344" i="3"/>
  <c r="F344" i="3"/>
  <c r="O343" i="3"/>
  <c r="P343" i="3" s="1"/>
  <c r="H343" i="3"/>
  <c r="G343" i="3"/>
  <c r="F343" i="3"/>
  <c r="O342" i="3"/>
  <c r="P342" i="3" s="1"/>
  <c r="H342" i="3"/>
  <c r="G342" i="3"/>
  <c r="F342" i="3"/>
  <c r="O341" i="3"/>
  <c r="P341" i="3" s="1"/>
  <c r="H341" i="3"/>
  <c r="G341" i="3"/>
  <c r="F341" i="3"/>
  <c r="O340" i="3"/>
  <c r="P340" i="3" s="1"/>
  <c r="H340" i="3"/>
  <c r="G340" i="3"/>
  <c r="F340" i="3"/>
  <c r="O339" i="3"/>
  <c r="P339" i="3" s="1"/>
  <c r="H339" i="3"/>
  <c r="G339" i="3"/>
  <c r="F339" i="3"/>
  <c r="O338" i="3"/>
  <c r="P338" i="3" s="1"/>
  <c r="H338" i="3"/>
  <c r="G338" i="3"/>
  <c r="F338" i="3"/>
  <c r="O337" i="3"/>
  <c r="P337" i="3" s="1"/>
  <c r="H337" i="3"/>
  <c r="G337" i="3"/>
  <c r="F337" i="3"/>
  <c r="O336" i="3"/>
  <c r="P336" i="3" s="1"/>
  <c r="H336" i="3"/>
  <c r="G336" i="3"/>
  <c r="F336" i="3"/>
  <c r="O335" i="3"/>
  <c r="P335" i="3" s="1"/>
  <c r="H335" i="3"/>
  <c r="G335" i="3"/>
  <c r="F335" i="3"/>
  <c r="O334" i="3"/>
  <c r="P334" i="3" s="1"/>
  <c r="H334" i="3"/>
  <c r="G334" i="3"/>
  <c r="F334" i="3"/>
  <c r="O333" i="3"/>
  <c r="P333" i="3" s="1"/>
  <c r="H333" i="3"/>
  <c r="G333" i="3"/>
  <c r="F333" i="3"/>
  <c r="O332" i="3"/>
  <c r="P332" i="3" s="1"/>
  <c r="H332" i="3"/>
  <c r="G332" i="3"/>
  <c r="F332" i="3"/>
  <c r="O331" i="3"/>
  <c r="P331" i="3" s="1"/>
  <c r="H331" i="3"/>
  <c r="G331" i="3"/>
  <c r="F331" i="3"/>
  <c r="O330" i="3"/>
  <c r="P330" i="3" s="1"/>
  <c r="H330" i="3"/>
  <c r="G330" i="3"/>
  <c r="F330" i="3"/>
  <c r="O329" i="3"/>
  <c r="P329" i="3" s="1"/>
  <c r="H329" i="3"/>
  <c r="G329" i="3"/>
  <c r="F329" i="3"/>
  <c r="O328" i="3"/>
  <c r="P328" i="3" s="1"/>
  <c r="H328" i="3"/>
  <c r="G328" i="3"/>
  <c r="F328" i="3"/>
  <c r="O327" i="3"/>
  <c r="P327" i="3" s="1"/>
  <c r="H327" i="3"/>
  <c r="G327" i="3"/>
  <c r="F327" i="3"/>
  <c r="O326" i="3"/>
  <c r="P326" i="3" s="1"/>
  <c r="H326" i="3"/>
  <c r="G326" i="3"/>
  <c r="F326" i="3"/>
  <c r="O325" i="3"/>
  <c r="P325" i="3" s="1"/>
  <c r="H325" i="3"/>
  <c r="G325" i="3"/>
  <c r="F325" i="3"/>
  <c r="O324" i="3"/>
  <c r="P324" i="3" s="1"/>
  <c r="H324" i="3"/>
  <c r="G324" i="3"/>
  <c r="F324" i="3"/>
  <c r="O323" i="3"/>
  <c r="P323" i="3" s="1"/>
  <c r="H323" i="3"/>
  <c r="G323" i="3"/>
  <c r="F323" i="3"/>
  <c r="O322" i="3"/>
  <c r="P322" i="3" s="1"/>
  <c r="H322" i="3"/>
  <c r="G322" i="3"/>
  <c r="F322" i="3"/>
  <c r="O321" i="3"/>
  <c r="P321" i="3" s="1"/>
  <c r="H321" i="3"/>
  <c r="G321" i="3"/>
  <c r="F321" i="3"/>
  <c r="O320" i="3"/>
  <c r="P320" i="3" s="1"/>
  <c r="H320" i="3"/>
  <c r="G320" i="3"/>
  <c r="F320" i="3"/>
  <c r="O319" i="3"/>
  <c r="P319" i="3" s="1"/>
  <c r="H319" i="3"/>
  <c r="G319" i="3"/>
  <c r="F319" i="3"/>
  <c r="O318" i="3"/>
  <c r="P318" i="3" s="1"/>
  <c r="H318" i="3"/>
  <c r="G318" i="3"/>
  <c r="F318" i="3"/>
  <c r="O317" i="3"/>
  <c r="P317" i="3" s="1"/>
  <c r="H317" i="3"/>
  <c r="G317" i="3"/>
  <c r="F317" i="3"/>
  <c r="O316" i="3"/>
  <c r="P316" i="3" s="1"/>
  <c r="H316" i="3"/>
  <c r="G316" i="3"/>
  <c r="F316" i="3"/>
  <c r="O315" i="3"/>
  <c r="P315" i="3" s="1"/>
  <c r="H315" i="3"/>
  <c r="G315" i="3"/>
  <c r="F315" i="3"/>
  <c r="O314" i="3"/>
  <c r="P314" i="3" s="1"/>
  <c r="H314" i="3"/>
  <c r="G314" i="3"/>
  <c r="F314" i="3"/>
  <c r="O313" i="3"/>
  <c r="P313" i="3" s="1"/>
  <c r="H313" i="3"/>
  <c r="G313" i="3"/>
  <c r="F313" i="3"/>
  <c r="O312" i="3"/>
  <c r="P312" i="3" s="1"/>
  <c r="H312" i="3"/>
  <c r="G312" i="3"/>
  <c r="F312" i="3"/>
  <c r="O311" i="3"/>
  <c r="P311" i="3" s="1"/>
  <c r="H311" i="3"/>
  <c r="G311" i="3"/>
  <c r="F311" i="3"/>
  <c r="O310" i="3"/>
  <c r="P310" i="3" s="1"/>
  <c r="H310" i="3"/>
  <c r="G310" i="3"/>
  <c r="F310" i="3"/>
  <c r="O309" i="3"/>
  <c r="P309" i="3" s="1"/>
  <c r="H309" i="3"/>
  <c r="G309" i="3"/>
  <c r="F309" i="3"/>
  <c r="O308" i="3"/>
  <c r="P308" i="3" s="1"/>
  <c r="H308" i="3"/>
  <c r="G308" i="3"/>
  <c r="F308" i="3"/>
  <c r="O307" i="3"/>
  <c r="P307" i="3" s="1"/>
  <c r="H307" i="3"/>
  <c r="G307" i="3"/>
  <c r="F307" i="3"/>
  <c r="O306" i="3"/>
  <c r="P306" i="3" s="1"/>
  <c r="H306" i="3"/>
  <c r="G306" i="3"/>
  <c r="F306" i="3"/>
  <c r="O305" i="3"/>
  <c r="P305" i="3" s="1"/>
  <c r="H305" i="3"/>
  <c r="G305" i="3"/>
  <c r="F305" i="3"/>
  <c r="O304" i="3"/>
  <c r="P304" i="3" s="1"/>
  <c r="H304" i="3"/>
  <c r="G304" i="3"/>
  <c r="F304" i="3"/>
  <c r="O303" i="3"/>
  <c r="P303" i="3" s="1"/>
  <c r="H303" i="3"/>
  <c r="G303" i="3"/>
  <c r="F303" i="3"/>
  <c r="O302" i="3"/>
  <c r="P302" i="3" s="1"/>
  <c r="H302" i="3"/>
  <c r="G302" i="3"/>
  <c r="F302" i="3"/>
  <c r="O301" i="3"/>
  <c r="P301" i="3" s="1"/>
  <c r="H301" i="3"/>
  <c r="G301" i="3"/>
  <c r="F301" i="3"/>
  <c r="O300" i="3"/>
  <c r="P300" i="3" s="1"/>
  <c r="H300" i="3"/>
  <c r="G300" i="3"/>
  <c r="F300" i="3"/>
  <c r="O299" i="3"/>
  <c r="P299" i="3" s="1"/>
  <c r="H299" i="3"/>
  <c r="G299" i="3"/>
  <c r="F299" i="3"/>
  <c r="O298" i="3"/>
  <c r="P298" i="3" s="1"/>
  <c r="H298" i="3"/>
  <c r="G298" i="3"/>
  <c r="F298" i="3"/>
  <c r="O297" i="3"/>
  <c r="P297" i="3" s="1"/>
  <c r="H297" i="3"/>
  <c r="G297" i="3"/>
  <c r="F297" i="3"/>
  <c r="O296" i="3"/>
  <c r="P296" i="3" s="1"/>
  <c r="H296" i="3"/>
  <c r="G296" i="3"/>
  <c r="F296" i="3"/>
  <c r="O295" i="3"/>
  <c r="P295" i="3" s="1"/>
  <c r="H295" i="3"/>
  <c r="G295" i="3"/>
  <c r="F295" i="3"/>
  <c r="O294" i="3"/>
  <c r="P294" i="3" s="1"/>
  <c r="H294" i="3"/>
  <c r="G294" i="3"/>
  <c r="F294" i="3"/>
  <c r="O293" i="3"/>
  <c r="P293" i="3" s="1"/>
  <c r="H293" i="3"/>
  <c r="G293" i="3"/>
  <c r="F293" i="3"/>
  <c r="O292" i="3"/>
  <c r="P292" i="3" s="1"/>
  <c r="H292" i="3"/>
  <c r="G292" i="3"/>
  <c r="F292" i="3"/>
  <c r="O291" i="3"/>
  <c r="P291" i="3" s="1"/>
  <c r="H291" i="3"/>
  <c r="G291" i="3"/>
  <c r="F291" i="3"/>
  <c r="O290" i="3"/>
  <c r="P290" i="3" s="1"/>
  <c r="H290" i="3"/>
  <c r="G290" i="3"/>
  <c r="F290" i="3"/>
  <c r="O289" i="3"/>
  <c r="P289" i="3" s="1"/>
  <c r="H289" i="3"/>
  <c r="G289" i="3"/>
  <c r="F289" i="3"/>
  <c r="O288" i="3"/>
  <c r="P288" i="3" s="1"/>
  <c r="H288" i="3"/>
  <c r="G288" i="3"/>
  <c r="F288" i="3"/>
  <c r="O287" i="3"/>
  <c r="P287" i="3" s="1"/>
  <c r="H287" i="3"/>
  <c r="G287" i="3"/>
  <c r="F287" i="3"/>
  <c r="O286" i="3"/>
  <c r="P286" i="3" s="1"/>
  <c r="H286" i="3"/>
  <c r="G286" i="3"/>
  <c r="F286" i="3"/>
  <c r="O285" i="3"/>
  <c r="P285" i="3" s="1"/>
  <c r="H285" i="3"/>
  <c r="G285" i="3"/>
  <c r="F285" i="3"/>
  <c r="O284" i="3"/>
  <c r="P284" i="3" s="1"/>
  <c r="H284" i="3"/>
  <c r="G284" i="3"/>
  <c r="F284" i="3"/>
  <c r="O283" i="3"/>
  <c r="P283" i="3" s="1"/>
  <c r="H283" i="3"/>
  <c r="G283" i="3"/>
  <c r="F283" i="3"/>
  <c r="O282" i="3"/>
  <c r="P282" i="3" s="1"/>
  <c r="H282" i="3"/>
  <c r="G282" i="3"/>
  <c r="F282" i="3"/>
  <c r="O281" i="3"/>
  <c r="P281" i="3" s="1"/>
  <c r="H281" i="3"/>
  <c r="G281" i="3"/>
  <c r="F281" i="3"/>
  <c r="O280" i="3"/>
  <c r="P280" i="3" s="1"/>
  <c r="H280" i="3"/>
  <c r="G280" i="3"/>
  <c r="F280" i="3"/>
  <c r="O279" i="3"/>
  <c r="P279" i="3" s="1"/>
  <c r="H279" i="3"/>
  <c r="G279" i="3"/>
  <c r="F279" i="3"/>
  <c r="O278" i="3"/>
  <c r="P278" i="3" s="1"/>
  <c r="H278" i="3"/>
  <c r="G278" i="3"/>
  <c r="F278" i="3"/>
  <c r="O277" i="3"/>
  <c r="P277" i="3" s="1"/>
  <c r="H277" i="3"/>
  <c r="G277" i="3"/>
  <c r="F277" i="3"/>
  <c r="O276" i="3"/>
  <c r="P276" i="3" s="1"/>
  <c r="H276" i="3"/>
  <c r="G276" i="3"/>
  <c r="F276" i="3"/>
  <c r="O275" i="3"/>
  <c r="P275" i="3" s="1"/>
  <c r="H275" i="3"/>
  <c r="G275" i="3"/>
  <c r="F275" i="3"/>
  <c r="O274" i="3"/>
  <c r="P274" i="3" s="1"/>
  <c r="H274" i="3"/>
  <c r="G274" i="3"/>
  <c r="F274" i="3"/>
  <c r="O273" i="3"/>
  <c r="P273" i="3" s="1"/>
  <c r="H273" i="3"/>
  <c r="G273" i="3"/>
  <c r="F273" i="3"/>
  <c r="O272" i="3"/>
  <c r="P272" i="3" s="1"/>
  <c r="H272" i="3"/>
  <c r="G272" i="3"/>
  <c r="F272" i="3"/>
  <c r="O271" i="3"/>
  <c r="P271" i="3" s="1"/>
  <c r="H271" i="3"/>
  <c r="G271" i="3"/>
  <c r="F271" i="3"/>
  <c r="O270" i="3"/>
  <c r="P270" i="3" s="1"/>
  <c r="H270" i="3"/>
  <c r="G270" i="3"/>
  <c r="F270" i="3"/>
  <c r="O269" i="3"/>
  <c r="P269" i="3" s="1"/>
  <c r="H269" i="3"/>
  <c r="G269" i="3"/>
  <c r="F269" i="3"/>
  <c r="O268" i="3"/>
  <c r="P268" i="3" s="1"/>
  <c r="H268" i="3"/>
  <c r="G268" i="3"/>
  <c r="F268" i="3"/>
  <c r="O267" i="3"/>
  <c r="P267" i="3" s="1"/>
  <c r="H267" i="3"/>
  <c r="G267" i="3"/>
  <c r="F267" i="3"/>
  <c r="O266" i="3"/>
  <c r="P266" i="3" s="1"/>
  <c r="H266" i="3"/>
  <c r="G266" i="3"/>
  <c r="F266" i="3"/>
  <c r="O265" i="3"/>
  <c r="P265" i="3" s="1"/>
  <c r="H265" i="3"/>
  <c r="G265" i="3"/>
  <c r="F265" i="3"/>
  <c r="O264" i="3"/>
  <c r="P264" i="3" s="1"/>
  <c r="H264" i="3"/>
  <c r="G264" i="3"/>
  <c r="F264" i="3"/>
  <c r="O263" i="3"/>
  <c r="P263" i="3" s="1"/>
  <c r="H263" i="3"/>
  <c r="G263" i="3"/>
  <c r="F263" i="3"/>
  <c r="O262" i="3"/>
  <c r="P262" i="3" s="1"/>
  <c r="H262" i="3"/>
  <c r="G262" i="3"/>
  <c r="F262" i="3"/>
  <c r="O261" i="3"/>
  <c r="P261" i="3" s="1"/>
  <c r="H261" i="3"/>
  <c r="G261" i="3"/>
  <c r="F261" i="3"/>
  <c r="O260" i="3"/>
  <c r="P260" i="3" s="1"/>
  <c r="H260" i="3"/>
  <c r="G260" i="3"/>
  <c r="F260" i="3"/>
  <c r="O259" i="3"/>
  <c r="P259" i="3" s="1"/>
  <c r="H259" i="3"/>
  <c r="G259" i="3"/>
  <c r="F259" i="3"/>
  <c r="O258" i="3"/>
  <c r="P258" i="3" s="1"/>
  <c r="H258" i="3"/>
  <c r="G258" i="3"/>
  <c r="F258" i="3"/>
  <c r="O257" i="3"/>
  <c r="P257" i="3" s="1"/>
  <c r="H257" i="3"/>
  <c r="G257" i="3"/>
  <c r="F257" i="3"/>
  <c r="O256" i="3"/>
  <c r="P256" i="3" s="1"/>
  <c r="H256" i="3"/>
  <c r="G256" i="3"/>
  <c r="F256" i="3"/>
  <c r="O255" i="3"/>
  <c r="P255" i="3" s="1"/>
  <c r="H255" i="3"/>
  <c r="G255" i="3"/>
  <c r="F255" i="3"/>
  <c r="O254" i="3"/>
  <c r="P254" i="3" s="1"/>
  <c r="H254" i="3"/>
  <c r="G254" i="3"/>
  <c r="F254" i="3"/>
  <c r="O253" i="3"/>
  <c r="P253" i="3" s="1"/>
  <c r="H253" i="3"/>
  <c r="G253" i="3"/>
  <c r="F253" i="3"/>
  <c r="O252" i="3"/>
  <c r="P252" i="3" s="1"/>
  <c r="H252" i="3"/>
  <c r="G252" i="3"/>
  <c r="F252" i="3"/>
  <c r="O251" i="3"/>
  <c r="P251" i="3" s="1"/>
  <c r="H251" i="3"/>
  <c r="G251" i="3"/>
  <c r="F251" i="3"/>
  <c r="O250" i="3"/>
  <c r="P250" i="3" s="1"/>
  <c r="H250" i="3"/>
  <c r="G250" i="3"/>
  <c r="F250" i="3"/>
  <c r="O249" i="3"/>
  <c r="P249" i="3" s="1"/>
  <c r="H249" i="3"/>
  <c r="G249" i="3"/>
  <c r="F249" i="3"/>
  <c r="O248" i="3"/>
  <c r="P248" i="3" s="1"/>
  <c r="H248" i="3"/>
  <c r="G248" i="3"/>
  <c r="F248" i="3"/>
  <c r="O247" i="3"/>
  <c r="P247" i="3" s="1"/>
  <c r="H247" i="3"/>
  <c r="G247" i="3"/>
  <c r="F247" i="3"/>
  <c r="O246" i="3"/>
  <c r="P246" i="3" s="1"/>
  <c r="H246" i="3"/>
  <c r="G246" i="3"/>
  <c r="F246" i="3"/>
  <c r="O245" i="3"/>
  <c r="P245" i="3" s="1"/>
  <c r="H245" i="3"/>
  <c r="G245" i="3"/>
  <c r="F245" i="3"/>
  <c r="O244" i="3"/>
  <c r="P244" i="3" s="1"/>
  <c r="H244" i="3"/>
  <c r="G244" i="3"/>
  <c r="F244" i="3"/>
  <c r="O243" i="3"/>
  <c r="P243" i="3" s="1"/>
  <c r="H243" i="3"/>
  <c r="G243" i="3"/>
  <c r="F243" i="3"/>
  <c r="O242" i="3"/>
  <c r="P242" i="3" s="1"/>
  <c r="H242" i="3"/>
  <c r="G242" i="3"/>
  <c r="F242" i="3"/>
  <c r="O241" i="3"/>
  <c r="P241" i="3" s="1"/>
  <c r="H241" i="3"/>
  <c r="G241" i="3"/>
  <c r="F241" i="3"/>
  <c r="O240" i="3"/>
  <c r="P240" i="3" s="1"/>
  <c r="H240" i="3"/>
  <c r="G240" i="3"/>
  <c r="F240" i="3"/>
  <c r="O239" i="3"/>
  <c r="P239" i="3" s="1"/>
  <c r="H239" i="3"/>
  <c r="G239" i="3"/>
  <c r="F239" i="3"/>
  <c r="O238" i="3"/>
  <c r="P238" i="3" s="1"/>
  <c r="H238" i="3"/>
  <c r="G238" i="3"/>
  <c r="F238" i="3"/>
  <c r="O237" i="3"/>
  <c r="P237" i="3" s="1"/>
  <c r="H237" i="3"/>
  <c r="G237" i="3"/>
  <c r="F237" i="3"/>
  <c r="O236" i="3"/>
  <c r="P236" i="3" s="1"/>
  <c r="O235" i="3"/>
  <c r="P235" i="3" s="1"/>
  <c r="H235" i="3"/>
  <c r="G235" i="3"/>
  <c r="F235" i="3"/>
  <c r="O234" i="3"/>
  <c r="P234" i="3" s="1"/>
  <c r="H234" i="3"/>
  <c r="G234" i="3"/>
  <c r="F234" i="3"/>
  <c r="O233" i="3"/>
  <c r="P233" i="3" s="1"/>
  <c r="H233" i="3"/>
  <c r="G233" i="3"/>
  <c r="F233" i="3"/>
  <c r="O232" i="3"/>
  <c r="P232" i="3" s="1"/>
  <c r="H232" i="3"/>
  <c r="G232" i="3"/>
  <c r="F232" i="3"/>
  <c r="O231" i="3"/>
  <c r="P231" i="3" s="1"/>
  <c r="H231" i="3"/>
  <c r="G231" i="3"/>
  <c r="F231" i="3"/>
  <c r="O230" i="3"/>
  <c r="P230" i="3" s="1"/>
  <c r="H230" i="3"/>
  <c r="G230" i="3"/>
  <c r="F230" i="3"/>
  <c r="O229" i="3"/>
  <c r="P229" i="3" s="1"/>
  <c r="H229" i="3"/>
  <c r="G229" i="3"/>
  <c r="F229" i="3"/>
  <c r="O228" i="3"/>
  <c r="P228" i="3" s="1"/>
  <c r="H228" i="3"/>
  <c r="G228" i="3"/>
  <c r="F228" i="3"/>
  <c r="O227" i="3"/>
  <c r="P227" i="3" s="1"/>
  <c r="H227" i="3"/>
  <c r="G227" i="3"/>
  <c r="F227" i="3"/>
  <c r="O226" i="3"/>
  <c r="P226" i="3" s="1"/>
  <c r="H226" i="3"/>
  <c r="G226" i="3"/>
  <c r="F226" i="3"/>
  <c r="O225" i="3"/>
  <c r="P225" i="3" s="1"/>
  <c r="H225" i="3"/>
  <c r="G225" i="3"/>
  <c r="F225" i="3"/>
  <c r="O224" i="3"/>
  <c r="P224" i="3" s="1"/>
  <c r="H224" i="3"/>
  <c r="G224" i="3"/>
  <c r="F224" i="3"/>
  <c r="O223" i="3"/>
  <c r="P223" i="3" s="1"/>
  <c r="H223" i="3"/>
  <c r="G223" i="3"/>
  <c r="F223" i="3"/>
  <c r="O222" i="3"/>
  <c r="P222" i="3" s="1"/>
  <c r="H222" i="3"/>
  <c r="G222" i="3"/>
  <c r="F222" i="3"/>
  <c r="O221" i="3"/>
  <c r="P221" i="3" s="1"/>
  <c r="H221" i="3"/>
  <c r="G221" i="3"/>
  <c r="F221" i="3"/>
  <c r="O220" i="3"/>
  <c r="P220" i="3" s="1"/>
  <c r="H220" i="3"/>
  <c r="G220" i="3"/>
  <c r="F220" i="3"/>
  <c r="O219" i="3"/>
  <c r="P219" i="3" s="1"/>
  <c r="H219" i="3"/>
  <c r="G219" i="3"/>
  <c r="F219" i="3"/>
  <c r="O218" i="3"/>
  <c r="P218" i="3" s="1"/>
  <c r="H218" i="3"/>
  <c r="G218" i="3"/>
  <c r="F218" i="3"/>
  <c r="O217" i="3"/>
  <c r="P217" i="3" s="1"/>
  <c r="H217" i="3"/>
  <c r="G217" i="3"/>
  <c r="F217" i="3"/>
  <c r="O216" i="3"/>
  <c r="P216" i="3" s="1"/>
  <c r="H216" i="3"/>
  <c r="G216" i="3"/>
  <c r="F216" i="3"/>
  <c r="O215" i="3"/>
  <c r="P215" i="3" s="1"/>
  <c r="H215" i="3"/>
  <c r="G215" i="3"/>
  <c r="F215" i="3"/>
  <c r="O214" i="3"/>
  <c r="P214" i="3" s="1"/>
  <c r="H214" i="3"/>
  <c r="G214" i="3"/>
  <c r="F214" i="3"/>
  <c r="O213" i="3"/>
  <c r="P213" i="3" s="1"/>
  <c r="H213" i="3"/>
  <c r="G213" i="3"/>
  <c r="F213" i="3"/>
  <c r="O212" i="3"/>
  <c r="P212" i="3" s="1"/>
  <c r="H212" i="3"/>
  <c r="G212" i="3"/>
  <c r="F212" i="3"/>
  <c r="O211" i="3"/>
  <c r="P211" i="3" s="1"/>
  <c r="H211" i="3"/>
  <c r="G211" i="3"/>
  <c r="F211" i="3"/>
  <c r="O210" i="3"/>
  <c r="P210" i="3" s="1"/>
  <c r="H210" i="3"/>
  <c r="G210" i="3"/>
  <c r="F210" i="3"/>
  <c r="O209" i="3"/>
  <c r="P209" i="3" s="1"/>
  <c r="H209" i="3"/>
  <c r="G209" i="3"/>
  <c r="F209" i="3"/>
  <c r="O208" i="3"/>
  <c r="P208" i="3" s="1"/>
  <c r="H208" i="3"/>
  <c r="G208" i="3"/>
  <c r="F208" i="3"/>
  <c r="O207" i="3"/>
  <c r="P207" i="3" s="1"/>
  <c r="H207" i="3"/>
  <c r="G207" i="3"/>
  <c r="F207" i="3"/>
  <c r="O206" i="3"/>
  <c r="P206" i="3" s="1"/>
  <c r="H206" i="3"/>
  <c r="G206" i="3"/>
  <c r="F206" i="3"/>
  <c r="O205" i="3"/>
  <c r="P205" i="3" s="1"/>
  <c r="H205" i="3"/>
  <c r="G205" i="3"/>
  <c r="F205" i="3"/>
  <c r="O204" i="3"/>
  <c r="P204" i="3" s="1"/>
  <c r="H204" i="3"/>
  <c r="G204" i="3"/>
  <c r="F204" i="3"/>
  <c r="O203" i="3"/>
  <c r="P203" i="3" s="1"/>
  <c r="H203" i="3"/>
  <c r="G203" i="3"/>
  <c r="F203" i="3"/>
  <c r="O202" i="3"/>
  <c r="P202" i="3" s="1"/>
  <c r="H202" i="3"/>
  <c r="G202" i="3"/>
  <c r="F202" i="3"/>
  <c r="O201" i="3"/>
  <c r="P201" i="3" s="1"/>
  <c r="F201" i="3"/>
  <c r="O200" i="3"/>
  <c r="P200" i="3" s="1"/>
  <c r="H200" i="3"/>
  <c r="G200" i="3"/>
  <c r="F200" i="3"/>
  <c r="O199" i="3"/>
  <c r="P199" i="3" s="1"/>
  <c r="H199" i="3"/>
  <c r="G199" i="3"/>
  <c r="F199" i="3"/>
  <c r="O198" i="3"/>
  <c r="P198" i="3" s="1"/>
  <c r="H198" i="3"/>
  <c r="G198" i="3"/>
  <c r="F198" i="3"/>
  <c r="O197" i="3"/>
  <c r="P197" i="3" s="1"/>
  <c r="H197" i="3"/>
  <c r="G197" i="3"/>
  <c r="F197" i="3"/>
  <c r="O196" i="3"/>
  <c r="P196" i="3" s="1"/>
  <c r="H196" i="3"/>
  <c r="G196" i="3"/>
  <c r="F196" i="3"/>
  <c r="O195" i="3"/>
  <c r="P195" i="3" s="1"/>
  <c r="H195" i="3"/>
  <c r="G195" i="3"/>
  <c r="F195" i="3"/>
  <c r="O194" i="3"/>
  <c r="P194" i="3" s="1"/>
  <c r="H194" i="3"/>
  <c r="G194" i="3"/>
  <c r="F194" i="3"/>
  <c r="O193" i="3"/>
  <c r="P193" i="3" s="1"/>
  <c r="H193" i="3"/>
  <c r="G193" i="3"/>
  <c r="F193" i="3"/>
  <c r="O192" i="3"/>
  <c r="P192" i="3" s="1"/>
  <c r="H192" i="3"/>
  <c r="G192" i="3"/>
  <c r="F192" i="3"/>
  <c r="O191" i="3"/>
  <c r="P191" i="3" s="1"/>
  <c r="H191" i="3"/>
  <c r="G191" i="3"/>
  <c r="F191" i="3"/>
  <c r="O190" i="3"/>
  <c r="P190" i="3" s="1"/>
  <c r="H190" i="3"/>
  <c r="G190" i="3"/>
  <c r="F190" i="3"/>
  <c r="O189" i="3"/>
  <c r="P189" i="3" s="1"/>
  <c r="H189" i="3"/>
  <c r="G189" i="3"/>
  <c r="F189" i="3"/>
  <c r="O188" i="3"/>
  <c r="P188" i="3" s="1"/>
  <c r="H188" i="3"/>
  <c r="G188" i="3"/>
  <c r="F188" i="3"/>
  <c r="O187" i="3"/>
  <c r="P187" i="3" s="1"/>
  <c r="H187" i="3"/>
  <c r="G187" i="3"/>
  <c r="F187" i="3"/>
  <c r="O186" i="3"/>
  <c r="P186" i="3" s="1"/>
  <c r="H186" i="3"/>
  <c r="G186" i="3"/>
  <c r="F186" i="3"/>
  <c r="O185" i="3"/>
  <c r="P185" i="3" s="1"/>
  <c r="H185" i="3"/>
  <c r="G185" i="3"/>
  <c r="F185" i="3"/>
  <c r="O184" i="3"/>
  <c r="P184" i="3" s="1"/>
  <c r="H184" i="3"/>
  <c r="G184" i="3"/>
  <c r="F184" i="3"/>
  <c r="O183" i="3"/>
  <c r="P183" i="3" s="1"/>
  <c r="H183" i="3"/>
  <c r="G183" i="3"/>
  <c r="F183" i="3"/>
  <c r="O182" i="3"/>
  <c r="P182" i="3" s="1"/>
  <c r="H182" i="3"/>
  <c r="G182" i="3"/>
  <c r="F182" i="3"/>
  <c r="O181" i="3"/>
  <c r="P181" i="3" s="1"/>
  <c r="H181" i="3"/>
  <c r="G181" i="3"/>
  <c r="F181" i="3"/>
  <c r="O180" i="3"/>
  <c r="P180" i="3" s="1"/>
  <c r="H180" i="3"/>
  <c r="G180" i="3"/>
  <c r="F180" i="3"/>
  <c r="O179" i="3"/>
  <c r="P179" i="3" s="1"/>
  <c r="H179" i="3"/>
  <c r="G179" i="3"/>
  <c r="F179" i="3"/>
  <c r="O178" i="3"/>
  <c r="P178" i="3" s="1"/>
  <c r="H178" i="3"/>
  <c r="G178" i="3"/>
  <c r="F178" i="3"/>
  <c r="O177" i="3"/>
  <c r="P177" i="3" s="1"/>
  <c r="H177" i="3"/>
  <c r="G177" i="3"/>
  <c r="F177" i="3"/>
  <c r="O176" i="3"/>
  <c r="P176" i="3" s="1"/>
  <c r="H176" i="3"/>
  <c r="G176" i="3"/>
  <c r="F176" i="3"/>
  <c r="O175" i="3"/>
  <c r="P175" i="3" s="1"/>
  <c r="H175" i="3"/>
  <c r="G175" i="3"/>
  <c r="F175" i="3"/>
  <c r="O174" i="3"/>
  <c r="P174" i="3" s="1"/>
  <c r="H174" i="3"/>
  <c r="G174" i="3"/>
  <c r="F174" i="3"/>
  <c r="O173" i="3"/>
  <c r="P173" i="3" s="1"/>
  <c r="H173" i="3"/>
  <c r="G173" i="3"/>
  <c r="F173" i="3"/>
  <c r="O172" i="3"/>
  <c r="P172" i="3" s="1"/>
  <c r="H172" i="3"/>
  <c r="G172" i="3"/>
  <c r="F172" i="3"/>
  <c r="O171" i="3"/>
  <c r="P171" i="3" s="1"/>
  <c r="H171" i="3"/>
  <c r="G171" i="3"/>
  <c r="F171" i="3"/>
  <c r="O170" i="3"/>
  <c r="P170" i="3" s="1"/>
  <c r="H170" i="3"/>
  <c r="G170" i="3"/>
  <c r="F170" i="3"/>
  <c r="O169" i="3"/>
  <c r="P169" i="3" s="1"/>
  <c r="H169" i="3"/>
  <c r="G169" i="3"/>
  <c r="F169" i="3"/>
  <c r="O168" i="3"/>
  <c r="P168" i="3" s="1"/>
  <c r="H168" i="3"/>
  <c r="G168" i="3"/>
  <c r="F168" i="3"/>
  <c r="O167" i="3"/>
  <c r="P167" i="3" s="1"/>
  <c r="H167" i="3"/>
  <c r="G167" i="3"/>
  <c r="F167" i="3"/>
  <c r="O166" i="3"/>
  <c r="P166" i="3" s="1"/>
  <c r="H166" i="3"/>
  <c r="G166" i="3"/>
  <c r="F166" i="3"/>
  <c r="O165" i="3"/>
  <c r="P165" i="3" s="1"/>
  <c r="H165" i="3"/>
  <c r="G165" i="3"/>
  <c r="F165" i="3"/>
  <c r="O164" i="3"/>
  <c r="P164" i="3" s="1"/>
  <c r="H164" i="3"/>
  <c r="G164" i="3"/>
  <c r="F164" i="3"/>
  <c r="O163" i="3"/>
  <c r="P163" i="3" s="1"/>
  <c r="H163" i="3"/>
  <c r="G163" i="3"/>
  <c r="F163" i="3"/>
  <c r="O162" i="3"/>
  <c r="P162" i="3" s="1"/>
  <c r="H162" i="3"/>
  <c r="G162" i="3"/>
  <c r="F162" i="3"/>
  <c r="O161" i="3"/>
  <c r="P161" i="3" s="1"/>
  <c r="H161" i="3"/>
  <c r="G161" i="3"/>
  <c r="F161" i="3"/>
  <c r="O160" i="3"/>
  <c r="P160" i="3" s="1"/>
  <c r="H160" i="3"/>
  <c r="G160" i="3"/>
  <c r="F160" i="3"/>
  <c r="O159" i="3"/>
  <c r="P159" i="3" s="1"/>
  <c r="H159" i="3"/>
  <c r="G159" i="3"/>
  <c r="F159" i="3"/>
  <c r="O158" i="3"/>
  <c r="P158" i="3" s="1"/>
  <c r="H158" i="3"/>
  <c r="G158" i="3"/>
  <c r="F158" i="3"/>
  <c r="O157" i="3"/>
  <c r="P157" i="3" s="1"/>
  <c r="H157" i="3"/>
  <c r="G157" i="3"/>
  <c r="F157" i="3"/>
  <c r="O156" i="3"/>
  <c r="P156" i="3" s="1"/>
  <c r="H156" i="3"/>
  <c r="G156" i="3"/>
  <c r="F156" i="3"/>
  <c r="O155" i="3"/>
  <c r="P155" i="3" s="1"/>
  <c r="H155" i="3"/>
  <c r="G155" i="3"/>
  <c r="F155" i="3"/>
  <c r="O154" i="3"/>
  <c r="P154" i="3" s="1"/>
  <c r="H154" i="3"/>
  <c r="G154" i="3"/>
  <c r="F154" i="3"/>
  <c r="O153" i="3"/>
  <c r="P153" i="3" s="1"/>
  <c r="H153" i="3"/>
  <c r="G153" i="3"/>
  <c r="F153" i="3"/>
  <c r="O152" i="3"/>
  <c r="P152" i="3" s="1"/>
  <c r="H152" i="3"/>
  <c r="G152" i="3"/>
  <c r="F152" i="3"/>
  <c r="O151" i="3"/>
  <c r="P151" i="3" s="1"/>
  <c r="H151" i="3"/>
  <c r="G151" i="3"/>
  <c r="F151" i="3"/>
  <c r="O150" i="3"/>
  <c r="P150" i="3" s="1"/>
  <c r="H150" i="3"/>
  <c r="G150" i="3"/>
  <c r="F150" i="3"/>
  <c r="O149" i="3"/>
  <c r="P149" i="3" s="1"/>
  <c r="H149" i="3"/>
  <c r="G149" i="3"/>
  <c r="F149" i="3"/>
  <c r="O148" i="3"/>
  <c r="P148" i="3" s="1"/>
  <c r="H148" i="3"/>
  <c r="G148" i="3"/>
  <c r="F148" i="3"/>
  <c r="O147" i="3"/>
  <c r="P147" i="3" s="1"/>
  <c r="H147" i="3"/>
  <c r="G147" i="3"/>
  <c r="F147" i="3"/>
  <c r="O146" i="3"/>
  <c r="P146" i="3" s="1"/>
  <c r="H146" i="3"/>
  <c r="G146" i="3"/>
  <c r="F146" i="3"/>
  <c r="O145" i="3"/>
  <c r="P145" i="3" s="1"/>
  <c r="H145" i="3"/>
  <c r="G145" i="3"/>
  <c r="F145" i="3"/>
  <c r="O144" i="3"/>
  <c r="P144" i="3" s="1"/>
  <c r="H144" i="3"/>
  <c r="G144" i="3"/>
  <c r="F144" i="3"/>
  <c r="O143" i="3"/>
  <c r="P143" i="3" s="1"/>
  <c r="H143" i="3"/>
  <c r="G143" i="3"/>
  <c r="F143" i="3"/>
  <c r="O142" i="3"/>
  <c r="P142" i="3" s="1"/>
  <c r="H142" i="3"/>
  <c r="G142" i="3"/>
  <c r="F142" i="3"/>
  <c r="O141" i="3"/>
  <c r="P141" i="3" s="1"/>
  <c r="H141" i="3"/>
  <c r="G141" i="3"/>
  <c r="F141" i="3"/>
  <c r="O140" i="3"/>
  <c r="P140" i="3" s="1"/>
  <c r="H140" i="3"/>
  <c r="G140" i="3"/>
  <c r="F140" i="3"/>
  <c r="O139" i="3"/>
  <c r="P139" i="3" s="1"/>
  <c r="H139" i="3"/>
  <c r="G139" i="3"/>
  <c r="F139" i="3"/>
  <c r="O138" i="3"/>
  <c r="P138" i="3" s="1"/>
  <c r="H138" i="3"/>
  <c r="G138" i="3"/>
  <c r="F138" i="3"/>
  <c r="O137" i="3"/>
  <c r="P137" i="3" s="1"/>
  <c r="H137" i="3"/>
  <c r="G137" i="3"/>
  <c r="F137" i="3"/>
  <c r="O136" i="3"/>
  <c r="P136" i="3" s="1"/>
  <c r="H136" i="3"/>
  <c r="G136" i="3"/>
  <c r="F136" i="3"/>
  <c r="O135" i="3"/>
  <c r="P135" i="3" s="1"/>
  <c r="H135" i="3"/>
  <c r="G135" i="3"/>
  <c r="F135" i="3"/>
  <c r="O134" i="3"/>
  <c r="P134" i="3" s="1"/>
  <c r="H134" i="3"/>
  <c r="G134" i="3"/>
  <c r="F134" i="3"/>
  <c r="O133" i="3"/>
  <c r="P133" i="3" s="1"/>
  <c r="H133" i="3"/>
  <c r="G133" i="3"/>
  <c r="F133" i="3"/>
  <c r="O132" i="3"/>
  <c r="P132" i="3" s="1"/>
  <c r="H132" i="3"/>
  <c r="G132" i="3"/>
  <c r="F132" i="3"/>
  <c r="O131" i="3"/>
  <c r="P131" i="3" s="1"/>
  <c r="H131" i="3"/>
  <c r="G131" i="3"/>
  <c r="F131" i="3"/>
  <c r="O130" i="3"/>
  <c r="P130" i="3" s="1"/>
  <c r="H130" i="3"/>
  <c r="G130" i="3"/>
  <c r="F130" i="3"/>
  <c r="O129" i="3"/>
  <c r="P129" i="3" s="1"/>
  <c r="H129" i="3"/>
  <c r="G129" i="3"/>
  <c r="F129" i="3"/>
  <c r="O128" i="3"/>
  <c r="P128" i="3" s="1"/>
  <c r="H128" i="3"/>
  <c r="G128" i="3"/>
  <c r="F128" i="3"/>
  <c r="O127" i="3"/>
  <c r="P127" i="3" s="1"/>
  <c r="H127" i="3"/>
  <c r="G127" i="3"/>
  <c r="F127" i="3"/>
  <c r="O126" i="3"/>
  <c r="P126" i="3" s="1"/>
  <c r="H126" i="3"/>
  <c r="G126" i="3"/>
  <c r="F126" i="3"/>
  <c r="O125" i="3"/>
  <c r="P125" i="3" s="1"/>
  <c r="H125" i="3"/>
  <c r="G125" i="3"/>
  <c r="F125" i="3"/>
  <c r="O124" i="3"/>
  <c r="P124" i="3" s="1"/>
  <c r="H124" i="3"/>
  <c r="G124" i="3"/>
  <c r="F124" i="3"/>
  <c r="O123" i="3"/>
  <c r="P123" i="3" s="1"/>
  <c r="H123" i="3"/>
  <c r="G123" i="3"/>
  <c r="F123" i="3"/>
  <c r="O122" i="3"/>
  <c r="P122" i="3" s="1"/>
  <c r="H122" i="3"/>
  <c r="G122" i="3"/>
  <c r="F122" i="3"/>
  <c r="O121" i="3"/>
  <c r="P121" i="3" s="1"/>
  <c r="H121" i="3"/>
  <c r="G121" i="3"/>
  <c r="F121" i="3"/>
  <c r="O120" i="3"/>
  <c r="P120" i="3" s="1"/>
  <c r="H120" i="3"/>
  <c r="G120" i="3"/>
  <c r="F120" i="3"/>
  <c r="O119" i="3"/>
  <c r="P119" i="3" s="1"/>
  <c r="H119" i="3"/>
  <c r="G119" i="3"/>
  <c r="F119" i="3"/>
  <c r="O118" i="3"/>
  <c r="P118" i="3" s="1"/>
  <c r="H118" i="3"/>
  <c r="G118" i="3"/>
  <c r="F118" i="3"/>
  <c r="O117" i="3"/>
  <c r="P117" i="3" s="1"/>
  <c r="H117" i="3"/>
  <c r="G117" i="3"/>
  <c r="F117" i="3"/>
  <c r="O116" i="3"/>
  <c r="P116" i="3" s="1"/>
  <c r="H116" i="3"/>
  <c r="G116" i="3"/>
  <c r="F116" i="3"/>
  <c r="O115" i="3"/>
  <c r="P115" i="3" s="1"/>
  <c r="H115" i="3"/>
  <c r="G115" i="3"/>
  <c r="F115" i="3"/>
  <c r="O114" i="3"/>
  <c r="P114" i="3" s="1"/>
  <c r="H114" i="3"/>
  <c r="G114" i="3"/>
  <c r="F114" i="3"/>
  <c r="O113" i="3"/>
  <c r="P113" i="3" s="1"/>
  <c r="H113" i="3"/>
  <c r="G113" i="3"/>
  <c r="F113" i="3"/>
  <c r="O112" i="3"/>
  <c r="P112" i="3" s="1"/>
  <c r="H112" i="3"/>
  <c r="G112" i="3"/>
  <c r="F112" i="3"/>
  <c r="O111" i="3"/>
  <c r="P111" i="3" s="1"/>
  <c r="H111" i="3"/>
  <c r="G111" i="3"/>
  <c r="F111" i="3"/>
  <c r="O110" i="3"/>
  <c r="P110" i="3" s="1"/>
  <c r="H110" i="3"/>
  <c r="G110" i="3"/>
  <c r="F110" i="3"/>
  <c r="O109" i="3"/>
  <c r="P109" i="3" s="1"/>
  <c r="H109" i="3"/>
  <c r="G109" i="3"/>
  <c r="F109" i="3"/>
  <c r="O108" i="3"/>
  <c r="P108" i="3" s="1"/>
  <c r="H108" i="3"/>
  <c r="G108" i="3"/>
  <c r="F108" i="3"/>
  <c r="O107" i="3"/>
  <c r="P107" i="3" s="1"/>
  <c r="H107" i="3"/>
  <c r="G107" i="3"/>
  <c r="F107" i="3"/>
  <c r="O106" i="3"/>
  <c r="P106" i="3" s="1"/>
  <c r="H106" i="3"/>
  <c r="G106" i="3"/>
  <c r="F106" i="3"/>
  <c r="O105" i="3"/>
  <c r="P105" i="3" s="1"/>
  <c r="H105" i="3"/>
  <c r="G105" i="3"/>
  <c r="F105" i="3"/>
  <c r="O104" i="3"/>
  <c r="P104" i="3" s="1"/>
  <c r="H104" i="3"/>
  <c r="G104" i="3"/>
  <c r="F104" i="3"/>
  <c r="O103" i="3"/>
  <c r="P103" i="3" s="1"/>
  <c r="H103" i="3"/>
  <c r="G103" i="3"/>
  <c r="F103" i="3"/>
  <c r="O102" i="3"/>
  <c r="P102" i="3" s="1"/>
  <c r="H102" i="3"/>
  <c r="G102" i="3"/>
  <c r="F102" i="3"/>
  <c r="O101" i="3"/>
  <c r="P101" i="3" s="1"/>
  <c r="H101" i="3"/>
  <c r="G101" i="3"/>
  <c r="F101" i="3"/>
  <c r="O100" i="3"/>
  <c r="P100" i="3" s="1"/>
  <c r="H100" i="3"/>
  <c r="G100" i="3"/>
  <c r="F100" i="3"/>
  <c r="O99" i="3"/>
  <c r="P99" i="3" s="1"/>
  <c r="H99" i="3"/>
  <c r="G99" i="3"/>
  <c r="F99" i="3"/>
  <c r="O98" i="3"/>
  <c r="P98" i="3" s="1"/>
  <c r="H98" i="3"/>
  <c r="G98" i="3"/>
  <c r="F98" i="3"/>
  <c r="O97" i="3"/>
  <c r="P97" i="3" s="1"/>
  <c r="H97" i="3"/>
  <c r="G97" i="3"/>
  <c r="F97" i="3"/>
  <c r="O96" i="3"/>
  <c r="P96" i="3" s="1"/>
  <c r="H96" i="3"/>
  <c r="G96" i="3"/>
  <c r="F96" i="3"/>
  <c r="O95" i="3"/>
  <c r="P95" i="3" s="1"/>
  <c r="H95" i="3"/>
  <c r="G95" i="3"/>
  <c r="F95" i="3"/>
  <c r="O94" i="3"/>
  <c r="P94" i="3" s="1"/>
  <c r="H94" i="3"/>
  <c r="G94" i="3"/>
  <c r="F94" i="3"/>
  <c r="O93" i="3"/>
  <c r="P93" i="3" s="1"/>
  <c r="H93" i="3"/>
  <c r="G93" i="3"/>
  <c r="F93" i="3"/>
  <c r="O92" i="3"/>
  <c r="P92" i="3" s="1"/>
  <c r="H92" i="3"/>
  <c r="G92" i="3"/>
  <c r="F92" i="3"/>
  <c r="O91" i="3"/>
  <c r="P91" i="3" s="1"/>
  <c r="H91" i="3"/>
  <c r="G91" i="3"/>
  <c r="F91" i="3"/>
  <c r="O90" i="3"/>
  <c r="P90" i="3" s="1"/>
  <c r="H90" i="3"/>
  <c r="G90" i="3"/>
  <c r="F90" i="3"/>
  <c r="O89" i="3"/>
  <c r="P89" i="3" s="1"/>
  <c r="H89" i="3"/>
  <c r="G89" i="3"/>
  <c r="F89" i="3"/>
  <c r="O88" i="3"/>
  <c r="P88" i="3" s="1"/>
  <c r="H88" i="3"/>
  <c r="G88" i="3"/>
  <c r="F88" i="3"/>
  <c r="O87" i="3"/>
  <c r="P87" i="3" s="1"/>
  <c r="H87" i="3"/>
  <c r="G87" i="3"/>
  <c r="F87" i="3"/>
  <c r="O86" i="3"/>
  <c r="P86" i="3" s="1"/>
  <c r="H86" i="3"/>
  <c r="G86" i="3"/>
  <c r="F86" i="3"/>
  <c r="O85" i="3"/>
  <c r="P85" i="3" s="1"/>
  <c r="H85" i="3"/>
  <c r="G85" i="3"/>
  <c r="F85" i="3"/>
  <c r="O84" i="3"/>
  <c r="P84" i="3" s="1"/>
  <c r="H84" i="3"/>
  <c r="G84" i="3"/>
  <c r="F84" i="3"/>
  <c r="O83" i="3"/>
  <c r="P83" i="3" s="1"/>
  <c r="H83" i="3"/>
  <c r="G83" i="3"/>
  <c r="F83" i="3"/>
  <c r="O82" i="3"/>
  <c r="P82" i="3" s="1"/>
  <c r="H82" i="3"/>
  <c r="G82" i="3"/>
  <c r="F82" i="3"/>
  <c r="O81" i="3"/>
  <c r="P81" i="3" s="1"/>
  <c r="H81" i="3"/>
  <c r="G81" i="3"/>
  <c r="F81" i="3"/>
  <c r="O80" i="3"/>
  <c r="P80" i="3" s="1"/>
  <c r="H80" i="3"/>
  <c r="G80" i="3"/>
  <c r="F80" i="3"/>
  <c r="O79" i="3"/>
  <c r="P79" i="3" s="1"/>
  <c r="H79" i="3"/>
  <c r="G79" i="3"/>
  <c r="F79" i="3"/>
  <c r="O78" i="3"/>
  <c r="P78" i="3" s="1"/>
  <c r="H78" i="3"/>
  <c r="G78" i="3"/>
  <c r="F78" i="3"/>
  <c r="O77" i="3"/>
  <c r="P77" i="3" s="1"/>
  <c r="H77" i="3"/>
  <c r="G77" i="3"/>
  <c r="F77" i="3"/>
  <c r="O76" i="3"/>
  <c r="P76" i="3" s="1"/>
  <c r="H76" i="3"/>
  <c r="G76" i="3"/>
  <c r="F76" i="3"/>
  <c r="O75" i="3"/>
  <c r="P75" i="3" s="1"/>
  <c r="H75" i="3"/>
  <c r="G75" i="3"/>
  <c r="F75" i="3"/>
  <c r="O74" i="3"/>
  <c r="P74" i="3" s="1"/>
  <c r="H74" i="3"/>
  <c r="G74" i="3"/>
  <c r="F74" i="3"/>
  <c r="O73" i="3"/>
  <c r="P73" i="3" s="1"/>
  <c r="H73" i="3"/>
  <c r="G73" i="3"/>
  <c r="F73" i="3"/>
  <c r="O72" i="3"/>
  <c r="P72" i="3" s="1"/>
  <c r="H72" i="3"/>
  <c r="G72" i="3"/>
  <c r="F72" i="3"/>
  <c r="O71" i="3"/>
  <c r="P71" i="3" s="1"/>
  <c r="H71" i="3"/>
  <c r="G71" i="3"/>
  <c r="F71" i="3"/>
  <c r="O70" i="3"/>
  <c r="P70" i="3" s="1"/>
  <c r="H70" i="3"/>
  <c r="G70" i="3"/>
  <c r="F70" i="3"/>
  <c r="O69" i="3"/>
  <c r="P69" i="3" s="1"/>
  <c r="H69" i="3"/>
  <c r="G69" i="3"/>
  <c r="F69" i="3"/>
  <c r="O68" i="3"/>
  <c r="P68" i="3" s="1"/>
  <c r="H68" i="3"/>
  <c r="G68" i="3"/>
  <c r="F68" i="3"/>
  <c r="O67" i="3"/>
  <c r="P67" i="3" s="1"/>
  <c r="H67" i="3"/>
  <c r="G67" i="3"/>
  <c r="F67" i="3"/>
  <c r="O66" i="3"/>
  <c r="P66" i="3" s="1"/>
  <c r="H66" i="3"/>
  <c r="G66" i="3"/>
  <c r="F66" i="3"/>
  <c r="O65" i="3"/>
  <c r="P65" i="3" s="1"/>
  <c r="H65" i="3"/>
  <c r="G65" i="3"/>
  <c r="F65" i="3"/>
  <c r="O64" i="3"/>
  <c r="P64" i="3" s="1"/>
  <c r="H64" i="3"/>
  <c r="G64" i="3"/>
  <c r="F64" i="3"/>
  <c r="O63" i="3"/>
  <c r="P63" i="3" s="1"/>
  <c r="H63" i="3"/>
  <c r="G63" i="3"/>
  <c r="F63" i="3"/>
  <c r="O62" i="3"/>
  <c r="P62" i="3" s="1"/>
  <c r="H62" i="3"/>
  <c r="G62" i="3"/>
  <c r="F62" i="3"/>
  <c r="O61" i="3"/>
  <c r="P61" i="3" s="1"/>
  <c r="H61" i="3"/>
  <c r="G61" i="3"/>
  <c r="F61" i="3"/>
  <c r="O60" i="3"/>
  <c r="P60" i="3" s="1"/>
  <c r="H60" i="3"/>
  <c r="G60" i="3"/>
  <c r="F60" i="3"/>
  <c r="O59" i="3"/>
  <c r="P59" i="3" s="1"/>
  <c r="H59" i="3"/>
  <c r="G59" i="3"/>
  <c r="F59" i="3"/>
  <c r="O58" i="3"/>
  <c r="P58" i="3" s="1"/>
  <c r="H58" i="3"/>
  <c r="G58" i="3"/>
  <c r="F58" i="3"/>
  <c r="O57" i="3"/>
  <c r="P57" i="3" s="1"/>
  <c r="H57" i="3"/>
  <c r="G57" i="3"/>
  <c r="F57" i="3"/>
  <c r="O56" i="3"/>
  <c r="P56" i="3" s="1"/>
  <c r="H56" i="3"/>
  <c r="G56" i="3"/>
  <c r="F56" i="3"/>
  <c r="O55" i="3"/>
  <c r="P55" i="3" s="1"/>
  <c r="H55" i="3"/>
  <c r="G55" i="3"/>
  <c r="F55" i="3"/>
  <c r="O54" i="3"/>
  <c r="P54" i="3" s="1"/>
  <c r="H54" i="3"/>
  <c r="G54" i="3"/>
  <c r="F54" i="3"/>
  <c r="O53" i="3"/>
  <c r="P53" i="3" s="1"/>
  <c r="H53" i="3"/>
  <c r="G53" i="3"/>
  <c r="F53" i="3"/>
  <c r="O52" i="3"/>
  <c r="P52" i="3" s="1"/>
  <c r="H52" i="3"/>
  <c r="G52" i="3"/>
  <c r="F52" i="3"/>
  <c r="O51" i="3"/>
  <c r="P51" i="3" s="1"/>
  <c r="H51" i="3"/>
  <c r="G51" i="3"/>
  <c r="F51" i="3"/>
  <c r="O50" i="3"/>
  <c r="P50" i="3" s="1"/>
  <c r="H50" i="3"/>
  <c r="G50" i="3"/>
  <c r="F50" i="3"/>
  <c r="O49" i="3"/>
  <c r="P49" i="3" s="1"/>
  <c r="H49" i="3"/>
  <c r="G49" i="3"/>
  <c r="F49" i="3"/>
  <c r="O48" i="3"/>
  <c r="P48" i="3" s="1"/>
  <c r="H48" i="3"/>
  <c r="G48" i="3"/>
  <c r="F48" i="3"/>
  <c r="O47" i="3"/>
  <c r="P47" i="3" s="1"/>
  <c r="H47" i="3"/>
  <c r="G47" i="3"/>
  <c r="F47" i="3"/>
  <c r="O46" i="3"/>
  <c r="P46" i="3" s="1"/>
  <c r="H46" i="3"/>
  <c r="G46" i="3"/>
  <c r="F46" i="3"/>
  <c r="O45" i="3"/>
  <c r="P45" i="3" s="1"/>
  <c r="H45" i="3"/>
  <c r="G45" i="3"/>
  <c r="F45" i="3"/>
  <c r="O44" i="3"/>
  <c r="P44" i="3" s="1"/>
  <c r="H44" i="3"/>
  <c r="G44" i="3"/>
  <c r="F44" i="3"/>
  <c r="O43" i="3"/>
  <c r="P43" i="3" s="1"/>
  <c r="H43" i="3"/>
  <c r="G43" i="3"/>
  <c r="F43" i="3"/>
  <c r="O42" i="3"/>
  <c r="P42" i="3" s="1"/>
  <c r="H42" i="3"/>
  <c r="G42" i="3"/>
  <c r="F42" i="3"/>
  <c r="O41" i="3"/>
  <c r="P41" i="3" s="1"/>
  <c r="H41" i="3"/>
  <c r="G41" i="3"/>
  <c r="F41" i="3"/>
  <c r="O40" i="3"/>
  <c r="P40" i="3" s="1"/>
  <c r="H40" i="3"/>
  <c r="G40" i="3"/>
  <c r="F40" i="3"/>
  <c r="O39" i="3"/>
  <c r="P39" i="3" s="1"/>
  <c r="H39" i="3"/>
  <c r="G39" i="3"/>
  <c r="F39" i="3"/>
  <c r="O38" i="3"/>
  <c r="P38" i="3" s="1"/>
  <c r="H38" i="3"/>
  <c r="G38" i="3"/>
  <c r="F38" i="3"/>
  <c r="O37" i="3"/>
  <c r="P37" i="3" s="1"/>
  <c r="H37" i="3"/>
  <c r="G37" i="3"/>
  <c r="F37" i="3"/>
  <c r="O36" i="3"/>
  <c r="P36" i="3" s="1"/>
  <c r="H36" i="3"/>
  <c r="G36" i="3"/>
  <c r="F36" i="3"/>
  <c r="O35" i="3"/>
  <c r="P35" i="3" s="1"/>
  <c r="H35" i="3"/>
  <c r="G35" i="3"/>
  <c r="F35" i="3"/>
  <c r="O34" i="3"/>
  <c r="P34" i="3" s="1"/>
  <c r="H34" i="3"/>
  <c r="G34" i="3"/>
  <c r="F34" i="3"/>
  <c r="O33" i="3"/>
  <c r="P33" i="3" s="1"/>
  <c r="H33" i="3"/>
  <c r="G33" i="3"/>
  <c r="F33" i="3"/>
  <c r="O32" i="3"/>
  <c r="P32" i="3" s="1"/>
  <c r="H32" i="3"/>
  <c r="G32" i="3"/>
  <c r="F32" i="3"/>
  <c r="O31" i="3"/>
  <c r="P31" i="3" s="1"/>
  <c r="H31" i="3"/>
  <c r="G31" i="3"/>
  <c r="F31" i="3"/>
  <c r="O30" i="3"/>
  <c r="P30" i="3" s="1"/>
  <c r="H30" i="3"/>
  <c r="G30" i="3"/>
  <c r="F30" i="3"/>
  <c r="O29" i="3"/>
  <c r="P29" i="3" s="1"/>
  <c r="H29" i="3"/>
  <c r="G29" i="3"/>
  <c r="F29" i="3"/>
  <c r="O28" i="3"/>
  <c r="P28" i="3" s="1"/>
  <c r="H28" i="3"/>
  <c r="G28" i="3"/>
  <c r="F28" i="3"/>
  <c r="O27" i="3"/>
  <c r="P27" i="3" s="1"/>
  <c r="H27" i="3"/>
  <c r="G27" i="3"/>
  <c r="F27" i="3"/>
  <c r="O26" i="3"/>
  <c r="P26" i="3" s="1"/>
  <c r="H26" i="3"/>
  <c r="G26" i="3"/>
  <c r="F26" i="3"/>
  <c r="O25" i="3"/>
  <c r="P25" i="3" s="1"/>
  <c r="H25" i="3"/>
  <c r="G25" i="3"/>
  <c r="F25" i="3"/>
  <c r="O24" i="3"/>
  <c r="P24" i="3" s="1"/>
  <c r="H24" i="3"/>
  <c r="G24" i="3"/>
  <c r="F24" i="3"/>
  <c r="O23" i="3"/>
  <c r="P23" i="3" s="1"/>
  <c r="H23" i="3"/>
  <c r="G23" i="3"/>
  <c r="F23" i="3"/>
  <c r="O22" i="3"/>
  <c r="P22" i="3" s="1"/>
  <c r="H22" i="3"/>
  <c r="G22" i="3"/>
  <c r="F22" i="3"/>
  <c r="O21" i="3"/>
  <c r="P21" i="3" s="1"/>
  <c r="H21" i="3"/>
  <c r="G21" i="3"/>
  <c r="F21" i="3"/>
  <c r="O20" i="3"/>
  <c r="P20" i="3" s="1"/>
  <c r="H20" i="3"/>
  <c r="G20" i="3"/>
  <c r="F20" i="3"/>
  <c r="O19" i="3"/>
  <c r="P19" i="3" s="1"/>
  <c r="H19" i="3"/>
  <c r="G19" i="3"/>
  <c r="F19" i="3"/>
  <c r="O18" i="3"/>
  <c r="P18" i="3" s="1"/>
  <c r="H18" i="3"/>
  <c r="G18" i="3"/>
  <c r="F18" i="3"/>
  <c r="O17" i="3"/>
  <c r="P17" i="3" s="1"/>
  <c r="H17" i="3"/>
  <c r="G17" i="3"/>
  <c r="F17" i="3"/>
  <c r="O16" i="3"/>
  <c r="P16" i="3" s="1"/>
  <c r="H16" i="3"/>
  <c r="G16" i="3"/>
  <c r="F16" i="3"/>
  <c r="O15" i="3"/>
  <c r="P15" i="3" s="1"/>
  <c r="H15" i="3"/>
  <c r="G15" i="3"/>
  <c r="F15" i="3"/>
  <c r="O14" i="3"/>
  <c r="P14" i="3" s="1"/>
  <c r="H14" i="3"/>
  <c r="G14" i="3"/>
  <c r="F14" i="3"/>
  <c r="O13" i="3"/>
  <c r="P13" i="3" s="1"/>
  <c r="H13" i="3"/>
  <c r="G13" i="3"/>
  <c r="F13" i="3"/>
  <c r="O12" i="3"/>
  <c r="P12" i="3" s="1"/>
  <c r="H12" i="3"/>
  <c r="G12" i="3"/>
  <c r="F12" i="3"/>
  <c r="O11" i="3"/>
  <c r="P11" i="3" s="1"/>
  <c r="H11" i="3"/>
  <c r="G11" i="3"/>
  <c r="F11" i="3"/>
  <c r="O10" i="3"/>
  <c r="P10" i="3" s="1"/>
  <c r="H10" i="3"/>
  <c r="G10" i="3"/>
  <c r="F10" i="3"/>
  <c r="O9" i="3"/>
  <c r="P9" i="3" s="1"/>
  <c r="H9" i="3"/>
  <c r="G9" i="3"/>
  <c r="F9" i="3"/>
  <c r="O8" i="3"/>
  <c r="P8" i="3" s="1"/>
  <c r="H8" i="3"/>
  <c r="G8" i="3"/>
  <c r="F8" i="3"/>
  <c r="O7" i="3"/>
  <c r="P7" i="3" s="1"/>
  <c r="H7" i="3"/>
  <c r="G7" i="3"/>
  <c r="F7" i="3"/>
  <c r="O6" i="3"/>
  <c r="P6" i="3" s="1"/>
  <c r="H6" i="3"/>
  <c r="G6" i="3"/>
  <c r="F6" i="3"/>
  <c r="O5" i="3"/>
  <c r="P5" i="3" s="1"/>
  <c r="H5" i="3"/>
  <c r="G5" i="3"/>
  <c r="F5" i="3"/>
  <c r="O4" i="3"/>
  <c r="P4" i="3" s="1"/>
  <c r="H4" i="3"/>
  <c r="G4" i="3"/>
  <c r="F4" i="3"/>
  <c r="O3" i="3"/>
  <c r="P3" i="3" s="1"/>
  <c r="H3" i="3"/>
  <c r="G3" i="3"/>
  <c r="F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O2" i="3"/>
  <c r="P2" i="3" s="1"/>
  <c r="H2" i="3"/>
  <c r="G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archana</author>
    <author>gayathri.r</author>
    <author>shin.mv</author>
    <author>sukumar</author>
    <author>Admin</author>
  </authors>
  <commentList>
    <comment ref="L37" authorId="0" shapeId="0" xr:uid="{7026B7E2-4A0A-49AD-A49D-344015C3C027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wef 01.02.2011</t>
        </r>
      </text>
    </comment>
    <comment ref="K93" authorId="1" shapeId="0" xr:uid="{3CFE1A46-6F1F-4A58-AF71-EB1444CA8C7A}">
      <text>
        <r>
          <rPr>
            <sz val="8"/>
            <color indexed="81"/>
            <rFont val="Tahoma"/>
            <family val="2"/>
          </rPr>
          <t xml:space="preserve">
Designation</t>
        </r>
      </text>
    </comment>
    <comment ref="K182" authorId="2" shapeId="0" xr:uid="{B8E9733A-4A55-4648-A78E-0EC76374CA76}">
      <text>
        <r>
          <rPr>
            <b/>
            <sz val="8"/>
            <color indexed="81"/>
            <rFont val="Tahoma"/>
            <family val="2"/>
          </rPr>
          <t>shin.mv:</t>
        </r>
        <r>
          <rPr>
            <sz val="8"/>
            <color indexed="81"/>
            <rFont val="Tahoma"/>
            <family val="2"/>
          </rPr>
          <t xml:space="preserve">
redesignated 01/01/11</t>
        </r>
      </text>
    </comment>
    <comment ref="I313" authorId="3" shapeId="0" xr:uid="{3257B75E-3C84-41AF-8610-9237362F65AA}">
      <text>
        <r>
          <rPr>
            <b/>
            <sz val="8"/>
            <color indexed="81"/>
            <rFont val="Tahoma"/>
            <family val="2"/>
          </rPr>
          <t>transferred from Heligen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448" authorId="3" shapeId="0" xr:uid="{BB6C3071-FBE3-42AB-901D-FC674DEDDAE5}">
      <text>
        <r>
          <rPr>
            <b/>
            <sz val="8"/>
            <color indexed="81"/>
            <rFont val="Tahoma"/>
            <family val="2"/>
          </rPr>
          <t xml:space="preserve">Transferred from Hel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460" authorId="3" shapeId="0" xr:uid="{1F37C254-12D1-44B2-AC3B-DC5F6D8B4ADE}">
      <text>
        <r>
          <rPr>
            <b/>
            <sz val="8"/>
            <color indexed="81"/>
            <rFont val="Tahoma"/>
            <family val="2"/>
          </rPr>
          <t xml:space="preserve">Transferred from Hel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09" authorId="0" shapeId="0" xr:uid="{82E2095A-8BF0-4E2B-9CFB-F4D6199DCD83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28.04.2011</t>
        </r>
      </text>
    </comment>
    <comment ref="J511" authorId="0" shapeId="0" xr:uid="{D58C7872-B896-465E-9BD7-7D48217FA4A0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wef 31-12-10
</t>
        </r>
      </text>
    </comment>
    <comment ref="J538" authorId="0" shapeId="0" xr:uid="{3A8C976F-6A6F-4403-A379-188ED1E82307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23.01.2011</t>
        </r>
      </text>
    </comment>
    <comment ref="J539" authorId="0" shapeId="0" xr:uid="{1A8303BC-84E3-4BB0-B626-E038240749E1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wef 24.01.11</t>
        </r>
      </text>
    </comment>
    <comment ref="B560" authorId="4" shapeId="0" xr:uid="{DF8899D2-D944-4A0D-941C-11C3926E19E7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check the personalfile for edu updation</t>
        </r>
      </text>
    </comment>
    <comment ref="C680" authorId="0" shapeId="0" xr:uid="{C5447BDC-C952-4825-BCC5-BB50B68D9D14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rejoinee</t>
        </r>
      </text>
    </comment>
    <comment ref="I907" authorId="0" shapeId="0" xr:uid="{37214116-B13D-43EE-AE54-1D13AB23BFA8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08" authorId="0" shapeId="0" xr:uid="{3EE5685B-6BED-4BB6-9D22-3C838D311597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09" authorId="0" shapeId="0" xr:uid="{57B11C9E-4B0D-4F32-A616-E109DCDABF35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0" authorId="0" shapeId="0" xr:uid="{C1EFD84E-813F-4C1D-8421-4BA4DE71C5CE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1" authorId="0" shapeId="0" xr:uid="{61458385-6F4B-463C-B13E-4FA9C1A1A289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3" authorId="0" shapeId="0" xr:uid="{5670ED76-0202-4765-9419-C8088F410365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4" authorId="0" shapeId="0" xr:uid="{E73E049C-996D-4523-93F3-853591657449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Transfer from S7 WEF 01.06.2011</t>
        </r>
      </text>
    </comment>
    <comment ref="I919" authorId="0" shapeId="0" xr:uid="{7E8D3B82-768D-454B-83BC-33CCDD1118E3}">
      <text>
        <r>
          <rPr>
            <b/>
            <sz val="8"/>
            <color indexed="81"/>
            <rFont val="Tahoma"/>
            <family val="2"/>
          </rPr>
          <t>archana:</t>
        </r>
        <r>
          <rPr>
            <sz val="8"/>
            <color indexed="81"/>
            <rFont val="Tahoma"/>
            <family val="2"/>
          </rPr>
          <t xml:space="preserve">
app letter 29.05.11 . </t>
        </r>
      </text>
    </comment>
  </commentList>
</comments>
</file>

<file path=xl/sharedStrings.xml><?xml version="1.0" encoding="utf-8"?>
<sst xmlns="http://schemas.openxmlformats.org/spreadsheetml/2006/main" count="14053" uniqueCount="3337">
  <si>
    <t>S. No</t>
  </si>
  <si>
    <t>EMP No</t>
  </si>
  <si>
    <t>NAME</t>
  </si>
  <si>
    <t>Gender</t>
  </si>
  <si>
    <t>DOB</t>
  </si>
  <si>
    <t>Age</t>
  </si>
  <si>
    <t>Month</t>
  </si>
  <si>
    <t>Day</t>
  </si>
  <si>
    <t>DOJ</t>
  </si>
  <si>
    <t>Grade</t>
  </si>
  <si>
    <t>Designation</t>
  </si>
  <si>
    <t>Department</t>
  </si>
  <si>
    <t>Business Unit</t>
  </si>
  <si>
    <t>Yrs of Exp in previous organisations</t>
  </si>
  <si>
    <t>Total yrs of  Exp</t>
  </si>
  <si>
    <t>Marital Status</t>
  </si>
  <si>
    <t>State/Union Territory</t>
  </si>
  <si>
    <t>Site/Office</t>
  </si>
  <si>
    <t>Location</t>
  </si>
  <si>
    <t>MCL0001</t>
  </si>
  <si>
    <t>Shanthi Sharav</t>
  </si>
  <si>
    <t>F</t>
  </si>
  <si>
    <t>MM 4</t>
  </si>
  <si>
    <t>Deputy Manager - Administration</t>
  </si>
  <si>
    <t>Administration</t>
  </si>
  <si>
    <t>Corporate</t>
  </si>
  <si>
    <t>M</t>
  </si>
  <si>
    <t>Tamil Nadu</t>
  </si>
  <si>
    <t>Office</t>
  </si>
  <si>
    <t>Futura</t>
  </si>
  <si>
    <t>MCL0002</t>
  </si>
  <si>
    <t>V.Ankireddy</t>
  </si>
  <si>
    <t>MM 1</t>
  </si>
  <si>
    <t>Senior Manager - Projects</t>
  </si>
  <si>
    <t>Projects</t>
  </si>
  <si>
    <t>EPC</t>
  </si>
  <si>
    <t>Site</t>
  </si>
  <si>
    <t>RSM</t>
  </si>
  <si>
    <t>Operations</t>
  </si>
  <si>
    <t>MCL0003</t>
  </si>
  <si>
    <t>D.Prabhakar</t>
  </si>
  <si>
    <t>JM 5</t>
  </si>
  <si>
    <t>Site Supervisor</t>
  </si>
  <si>
    <t>MCL0004</t>
  </si>
  <si>
    <t>K.Moorthy</t>
  </si>
  <si>
    <t>JM 3</t>
  </si>
  <si>
    <t>Sr.Site Supervisor</t>
  </si>
  <si>
    <t>Stores Assistant</t>
  </si>
  <si>
    <t>MCL0005</t>
  </si>
  <si>
    <t>T.K.Vijaya Saraswathy</t>
  </si>
  <si>
    <t>MM 5</t>
  </si>
  <si>
    <t>Assistant Manager - Legal</t>
  </si>
  <si>
    <t>Legal</t>
  </si>
  <si>
    <t>MCL0006</t>
  </si>
  <si>
    <t>P.Srinivasan</t>
  </si>
  <si>
    <t>Stores</t>
  </si>
  <si>
    <t>MCL0007</t>
  </si>
  <si>
    <t>J.Srikanth</t>
  </si>
  <si>
    <t>MM 2</t>
  </si>
  <si>
    <t>Manager - Commercial</t>
  </si>
  <si>
    <t>Commercial</t>
  </si>
  <si>
    <t>Industrial Clusters</t>
  </si>
  <si>
    <t>Supervisor</t>
  </si>
  <si>
    <t>Senior Executive</t>
  </si>
  <si>
    <t>MCL0008</t>
  </si>
  <si>
    <t>J.K.Chourasia</t>
  </si>
  <si>
    <t>SM 4</t>
  </si>
  <si>
    <t>Deputy General Manager - Fast Track Projects</t>
  </si>
  <si>
    <t>S</t>
  </si>
  <si>
    <t>MCL0009</t>
  </si>
  <si>
    <t>H.Subramanian</t>
  </si>
  <si>
    <t>Store Keeper</t>
  </si>
  <si>
    <t>SEZ</t>
  </si>
  <si>
    <t>MCL0010</t>
  </si>
  <si>
    <t>K.Dhanasekar</t>
  </si>
  <si>
    <t>Deputy Manager - Accounts</t>
  </si>
  <si>
    <t>Treasury</t>
  </si>
  <si>
    <t>MCL0013</t>
  </si>
  <si>
    <t>A.Vijayakumar</t>
  </si>
  <si>
    <t>Manager - Projects</t>
  </si>
  <si>
    <t>Compliance</t>
  </si>
  <si>
    <t>MCL0014</t>
  </si>
  <si>
    <t>E.Ramesh Kumar</t>
  </si>
  <si>
    <t>Driver</t>
  </si>
  <si>
    <t>MD House</t>
  </si>
  <si>
    <t>MCL0016</t>
  </si>
  <si>
    <t>Ravishankar Reddy</t>
  </si>
  <si>
    <t>JM 2</t>
  </si>
  <si>
    <t>Executive - Admin</t>
  </si>
  <si>
    <t>Liaison</t>
  </si>
  <si>
    <t>Tirupathi</t>
  </si>
  <si>
    <t>MCL0018</t>
  </si>
  <si>
    <t>G.S.Reddy</t>
  </si>
  <si>
    <t>TM 5</t>
  </si>
  <si>
    <t>Director</t>
  </si>
  <si>
    <t>Andhra Pradesh</t>
  </si>
  <si>
    <t>Junior Engineer</t>
  </si>
  <si>
    <t>MCL0019</t>
  </si>
  <si>
    <t>P.Muralidharan</t>
  </si>
  <si>
    <t>Senior Manager - Land Acquisition</t>
  </si>
  <si>
    <t>Land Acquisition</t>
  </si>
  <si>
    <t>Marketing</t>
  </si>
  <si>
    <t>Management Trainee</t>
  </si>
  <si>
    <t>Assistant General Manager</t>
  </si>
  <si>
    <t>MCL0020</t>
  </si>
  <si>
    <t>V.Krishnakumar</t>
  </si>
  <si>
    <t>Deputy General Manager - Quality &amp; Safety</t>
  </si>
  <si>
    <t>EHS</t>
  </si>
  <si>
    <t>MCL0026</t>
  </si>
  <si>
    <t>Lohin Austin I</t>
  </si>
  <si>
    <t>JM 1</t>
  </si>
  <si>
    <t>Senior Executive  - Projects</t>
  </si>
  <si>
    <t>MCL0027</t>
  </si>
  <si>
    <t>K.Senthil Kumar</t>
  </si>
  <si>
    <t>Navin</t>
  </si>
  <si>
    <t>MCL0029</t>
  </si>
  <si>
    <t>Satyaki Praharaj</t>
  </si>
  <si>
    <t xml:space="preserve"> DGM  -Company Secretary</t>
  </si>
  <si>
    <t>Secretarial</t>
  </si>
  <si>
    <t>MCL0030</t>
  </si>
  <si>
    <t>K.Panneer Selvan</t>
  </si>
  <si>
    <t>Deputy Manager - Electrical</t>
  </si>
  <si>
    <t>Electrical</t>
  </si>
  <si>
    <t>MCL0031</t>
  </si>
  <si>
    <t>B.Bhushan</t>
  </si>
  <si>
    <t>DR 3</t>
  </si>
  <si>
    <t>Executive Director</t>
  </si>
  <si>
    <t>ED's Office</t>
  </si>
  <si>
    <t>Finance</t>
  </si>
  <si>
    <t>Manager</t>
  </si>
  <si>
    <t>MCL0035</t>
  </si>
  <si>
    <t>Rajeswar Reddy</t>
  </si>
  <si>
    <t>SM 5</t>
  </si>
  <si>
    <t>Asst General Manager - Projects</t>
  </si>
  <si>
    <t>Marine</t>
  </si>
  <si>
    <t>Site Engineer</t>
  </si>
  <si>
    <t>Project Manager</t>
  </si>
  <si>
    <t>Karaikal Port</t>
  </si>
  <si>
    <t>MCL0036</t>
  </si>
  <si>
    <t>Gouri Shanker Mishra</t>
  </si>
  <si>
    <t>SM 1</t>
  </si>
  <si>
    <t>Assistant Vice President</t>
  </si>
  <si>
    <t>Company Secretary</t>
  </si>
  <si>
    <t>Bhuvaneshwar</t>
  </si>
  <si>
    <t>MCL0040</t>
  </si>
  <si>
    <t>V.Natarajan</t>
  </si>
  <si>
    <t>Assistant Manager - Accounts</t>
  </si>
  <si>
    <t>Accounts</t>
  </si>
  <si>
    <t>MCL0043</t>
  </si>
  <si>
    <t>B.Premkumar</t>
  </si>
  <si>
    <t>Assistant Manager - Finance</t>
  </si>
  <si>
    <t>MCL0044</t>
  </si>
  <si>
    <t>K.Karthikeyan</t>
  </si>
  <si>
    <t>MCL0045</t>
  </si>
  <si>
    <t>T.Vijayakumar</t>
  </si>
  <si>
    <t>Manager - Legal</t>
  </si>
  <si>
    <t>Real Estate - Residential</t>
  </si>
  <si>
    <t>MCL0047</t>
  </si>
  <si>
    <t>Pushpavalli Muralidharan</t>
  </si>
  <si>
    <t>Assistant Manager</t>
  </si>
  <si>
    <t>CEO Office</t>
  </si>
  <si>
    <t>Educational Services</t>
  </si>
  <si>
    <t>Futura / Navin</t>
  </si>
  <si>
    <t>MCL0053</t>
  </si>
  <si>
    <t>M.Anand</t>
  </si>
  <si>
    <t>Real Estate - Commercial</t>
  </si>
  <si>
    <t>Engineer</t>
  </si>
  <si>
    <t>Senior Engineer</t>
  </si>
  <si>
    <t>MCL0054</t>
  </si>
  <si>
    <t>V.Varalakshmi</t>
  </si>
  <si>
    <t>Anjali</t>
  </si>
  <si>
    <t>MCL0061</t>
  </si>
  <si>
    <t>S.Narayanan</t>
  </si>
  <si>
    <t>Asst General Manager - Land Acquisition</t>
  </si>
  <si>
    <t>MCL0064</t>
  </si>
  <si>
    <t>S.Manikandan</t>
  </si>
  <si>
    <t>Senior Executive - Land Acqusition</t>
  </si>
  <si>
    <t>MCL0065</t>
  </si>
  <si>
    <t>P.Saibaba</t>
  </si>
  <si>
    <t>Senior Executive - IT &amp;ERP</t>
  </si>
  <si>
    <t>IT</t>
  </si>
  <si>
    <t>MCL0066</t>
  </si>
  <si>
    <t>S.Arun Kumar</t>
  </si>
  <si>
    <t>Assistant - Legal</t>
  </si>
  <si>
    <t>MCL0067</t>
  </si>
  <si>
    <t>N.Balaji</t>
  </si>
  <si>
    <t>Pushpadaruma</t>
  </si>
  <si>
    <t>MCL0068</t>
  </si>
  <si>
    <t>S.Arockia Dass</t>
  </si>
  <si>
    <t>MD's Camp Office</t>
  </si>
  <si>
    <t>MCL0069</t>
  </si>
  <si>
    <t>M.Abdul Hakeem</t>
  </si>
  <si>
    <t>TM 4</t>
  </si>
  <si>
    <t>Sr. Vice President</t>
  </si>
  <si>
    <t>MCL0071</t>
  </si>
  <si>
    <t>Rabindra Kumar Samal</t>
  </si>
  <si>
    <t>Manager - Company Secretary</t>
  </si>
  <si>
    <t>Orissa</t>
  </si>
  <si>
    <t>MCL0074</t>
  </si>
  <si>
    <t>K.B.Pasupathy</t>
  </si>
  <si>
    <t>Executive - Liaison</t>
  </si>
  <si>
    <t>MCL0080</t>
  </si>
  <si>
    <t>F.Immaculate Mercy</t>
  </si>
  <si>
    <t>Deputy Manager - HR</t>
  </si>
  <si>
    <t>Human Resources</t>
  </si>
  <si>
    <t>EPC - Industrial Projects</t>
  </si>
  <si>
    <t>MCL0081</t>
  </si>
  <si>
    <t>K.Ravi</t>
  </si>
  <si>
    <t>Finance &amp; Accounts</t>
  </si>
  <si>
    <t>Consultant</t>
  </si>
  <si>
    <t>MCL0090</t>
  </si>
  <si>
    <t>M.Senthil Kumar</t>
  </si>
  <si>
    <t>Senior Engineer - Planning</t>
  </si>
  <si>
    <t>Planning</t>
  </si>
  <si>
    <t>MCL0092</t>
  </si>
  <si>
    <t>Susanta kumar dehury</t>
  </si>
  <si>
    <t>Executive</t>
  </si>
  <si>
    <t>MCL0094</t>
  </si>
  <si>
    <t>Sujit Kumar Mohanty</t>
  </si>
  <si>
    <t>Deputy General Manager - Taxation</t>
  </si>
  <si>
    <t>Taxation</t>
  </si>
  <si>
    <t>MCL0097</t>
  </si>
  <si>
    <t>S.Sudar Kolundu</t>
  </si>
  <si>
    <t>Assistant - Land Acquisition</t>
  </si>
  <si>
    <t>MCL0100</t>
  </si>
  <si>
    <t>J.Mohan Kumara Mangalam</t>
  </si>
  <si>
    <t>JM 4</t>
  </si>
  <si>
    <t>Junior Executive - Land Acquisition</t>
  </si>
  <si>
    <t>MCL0101</t>
  </si>
  <si>
    <t>Rajee R.Nair</t>
  </si>
  <si>
    <t>Deputy Manager  - CSD</t>
  </si>
  <si>
    <t>CSD</t>
  </si>
  <si>
    <t>Maharashtra</t>
  </si>
  <si>
    <t>MCL0102</t>
  </si>
  <si>
    <t>Johnson Alexander</t>
  </si>
  <si>
    <t>Officer - External Relations</t>
  </si>
  <si>
    <t>MCL0108</t>
  </si>
  <si>
    <t>R.Suresh</t>
  </si>
  <si>
    <t>Chief Financial Officer</t>
  </si>
  <si>
    <t>MCL0123</t>
  </si>
  <si>
    <t>Sankalpa Dehury</t>
  </si>
  <si>
    <t>Deputy Manager</t>
  </si>
  <si>
    <t>MCL0127</t>
  </si>
  <si>
    <t>Gokulakrishnan D</t>
  </si>
  <si>
    <t>Administrative Officer</t>
  </si>
  <si>
    <t>MCL0130</t>
  </si>
  <si>
    <t>R.Meera</t>
  </si>
  <si>
    <t>Purchase Officer</t>
  </si>
  <si>
    <t>Junior Executive</t>
  </si>
  <si>
    <t>MCL0138</t>
  </si>
  <si>
    <t>R.Srivatsan</t>
  </si>
  <si>
    <t>MCL0139</t>
  </si>
  <si>
    <t>K.R.Gopikrishnan</t>
  </si>
  <si>
    <t>Manager - Finance</t>
  </si>
  <si>
    <t>MCL0145</t>
  </si>
  <si>
    <t>G.S.Ramesh Babu</t>
  </si>
  <si>
    <t>Business Head</t>
  </si>
  <si>
    <t>TPPL</t>
  </si>
  <si>
    <t>General Manager</t>
  </si>
  <si>
    <t>T Nagar Office</t>
  </si>
  <si>
    <t>MCL0147</t>
  </si>
  <si>
    <t>V.Kannan</t>
  </si>
  <si>
    <t>Assistant General Manager - Marketing Communication</t>
  </si>
  <si>
    <t>Corporate Communication</t>
  </si>
  <si>
    <t>MCL0153</t>
  </si>
  <si>
    <t>P.Yadhavan</t>
  </si>
  <si>
    <t>Deputy Manager - Projects</t>
  </si>
  <si>
    <t>MCL0157</t>
  </si>
  <si>
    <t>S.Suresh</t>
  </si>
  <si>
    <t>Senior Executive - Liasion</t>
  </si>
  <si>
    <t>MCL0161</t>
  </si>
  <si>
    <t>K.Adiya Raja</t>
  </si>
  <si>
    <t>Executive - Land</t>
  </si>
  <si>
    <t>MCL0164</t>
  </si>
  <si>
    <t>K.Banu Priya</t>
  </si>
  <si>
    <t>Senior Executive - CSD</t>
  </si>
  <si>
    <t>MCL0170</t>
  </si>
  <si>
    <t>N.Nithyanandam</t>
  </si>
  <si>
    <t>Senior Engineer - Projects</t>
  </si>
  <si>
    <t>Savitanjali</t>
  </si>
  <si>
    <t>MCL0174</t>
  </si>
  <si>
    <t>P.Sivaganesh</t>
  </si>
  <si>
    <t>Senior Manager - Planning</t>
  </si>
  <si>
    <t>MCL0177</t>
  </si>
  <si>
    <t>Kundan Rathi</t>
  </si>
  <si>
    <t>Deputy General Manager - Finance</t>
  </si>
  <si>
    <t>Rajasthan</t>
  </si>
  <si>
    <t>MCL0179</t>
  </si>
  <si>
    <t>A.Anbazhagan</t>
  </si>
  <si>
    <t>Deputy Manager - Plant &amp; Machinery</t>
  </si>
  <si>
    <t>Plant &amp; Machinery</t>
  </si>
  <si>
    <t>Karthik</t>
  </si>
  <si>
    <t>MCL0188</t>
  </si>
  <si>
    <t>Shaik Sharifath Ali</t>
  </si>
  <si>
    <t>Supervisor - Civil</t>
  </si>
  <si>
    <t>Fireluxur, Bangalore</t>
  </si>
  <si>
    <t>MCL0189</t>
  </si>
  <si>
    <t>Chitturi Manikanta</t>
  </si>
  <si>
    <t>Executive - Stores</t>
  </si>
  <si>
    <t>MCL0191</t>
  </si>
  <si>
    <t>M.Karamuddin Anjum Pasha</t>
  </si>
  <si>
    <t>Assistant General Manager - Projects</t>
  </si>
  <si>
    <t>Construction Manager</t>
  </si>
  <si>
    <t>MCL0192</t>
  </si>
  <si>
    <t>MCL0198</t>
  </si>
  <si>
    <t>K.Venkatachalam</t>
  </si>
  <si>
    <t>Assistant Manager - Corporate Communication</t>
  </si>
  <si>
    <t>Office Assistant</t>
  </si>
  <si>
    <t>MCL0199</t>
  </si>
  <si>
    <t>P.Arulmani</t>
  </si>
  <si>
    <t>Deputy Manager - Purchase</t>
  </si>
  <si>
    <t>MCL0200</t>
  </si>
  <si>
    <t>A.P.Srinivasan</t>
  </si>
  <si>
    <t>Senior Manager</t>
  </si>
  <si>
    <t>MCL0221</t>
  </si>
  <si>
    <t>S.Shathish</t>
  </si>
  <si>
    <t>MCL0223</t>
  </si>
  <si>
    <t>Y.Narayanan</t>
  </si>
  <si>
    <t>SM 3</t>
  </si>
  <si>
    <t>General Manager - Finance</t>
  </si>
  <si>
    <t>Manager - Finance &amp; Accounts</t>
  </si>
  <si>
    <t>MCL0225</t>
  </si>
  <si>
    <t>A.R.Sivakumar</t>
  </si>
  <si>
    <t>MCL0232</t>
  </si>
  <si>
    <t>E.Daniel Jothikumar</t>
  </si>
  <si>
    <t>Business Development</t>
  </si>
  <si>
    <t>MCL0239</t>
  </si>
  <si>
    <t>D.Vijaikumar</t>
  </si>
  <si>
    <t>Deputy Manager - Project Planning</t>
  </si>
  <si>
    <t>Project Planning</t>
  </si>
  <si>
    <t>MCL0248</t>
  </si>
  <si>
    <t>E.Prakash</t>
  </si>
  <si>
    <t>Engineer - Projects</t>
  </si>
  <si>
    <t>MCL0254</t>
  </si>
  <si>
    <t>N.Karthikeyan</t>
  </si>
  <si>
    <t>Assistant Engineer - Planning</t>
  </si>
  <si>
    <t>MCL0257</t>
  </si>
  <si>
    <t>S.Rufus Sathiyananthan</t>
  </si>
  <si>
    <t>Stenographer - cum - Typist</t>
  </si>
  <si>
    <t>MCL0260</t>
  </si>
  <si>
    <t>G.Prabaharan</t>
  </si>
  <si>
    <t>Junior Engineer - Projects</t>
  </si>
  <si>
    <t>MCL0272</t>
  </si>
  <si>
    <t>S.Karthikeya Manikandan</t>
  </si>
  <si>
    <t>Asst Manager - Corp Communication</t>
  </si>
  <si>
    <t>MCL0273</t>
  </si>
  <si>
    <t>Satish Kumar Singh</t>
  </si>
  <si>
    <t>New Delhi</t>
  </si>
  <si>
    <t>MCL0275</t>
  </si>
  <si>
    <t>K.C.Sekhar</t>
  </si>
  <si>
    <t>Deputy General Manager - Business Development</t>
  </si>
  <si>
    <t>MCL0277</t>
  </si>
  <si>
    <t>Sheetal Shah</t>
  </si>
  <si>
    <t>MCL0280</t>
  </si>
  <si>
    <t>M.Venkateswaralu</t>
  </si>
  <si>
    <t>Vice President - Business &amp; Operations</t>
  </si>
  <si>
    <t>Karnataka</t>
  </si>
  <si>
    <t>Deputy General Manager</t>
  </si>
  <si>
    <t>Bangalore</t>
  </si>
  <si>
    <t>MCL0285</t>
  </si>
  <si>
    <t>S.Amirthalingam</t>
  </si>
  <si>
    <t>Assistant General Manager - Purchase</t>
  </si>
  <si>
    <t>MCL0289</t>
  </si>
  <si>
    <t>M.Maniraj</t>
  </si>
  <si>
    <t>Assistant General Manager - Marketing</t>
  </si>
  <si>
    <t>MCL0290</t>
  </si>
  <si>
    <t>K.M.Narayana Rao</t>
  </si>
  <si>
    <t>SM 2</t>
  </si>
  <si>
    <t>Senior General Manager - Land Bank</t>
  </si>
  <si>
    <t>Land Bank</t>
  </si>
  <si>
    <t>MCL0291</t>
  </si>
  <si>
    <t>K.R.Swaminathan</t>
  </si>
  <si>
    <t>MCL0292</t>
  </si>
  <si>
    <t>A.Kamalakannan</t>
  </si>
  <si>
    <t>Manager - Portal Development</t>
  </si>
  <si>
    <t>MCL0294</t>
  </si>
  <si>
    <t>K.Satheesh</t>
  </si>
  <si>
    <t>Engineering</t>
  </si>
  <si>
    <t>MCL0298</t>
  </si>
  <si>
    <t>Reetesh Kumar Choudhury</t>
  </si>
  <si>
    <t>Manager - Systems &amp; Operations</t>
  </si>
  <si>
    <t>MCL0301</t>
  </si>
  <si>
    <t>P.J.Sunderrajan</t>
  </si>
  <si>
    <t>Junior Excecutive - Secretarial</t>
  </si>
  <si>
    <t>MCL0305</t>
  </si>
  <si>
    <t>G.Karthikeyan</t>
  </si>
  <si>
    <t>MCL0306</t>
  </si>
  <si>
    <t>G.Koti Reddy</t>
  </si>
  <si>
    <t>Deputy Manager - Planning</t>
  </si>
  <si>
    <t>Construction</t>
  </si>
  <si>
    <t>MCL0308</t>
  </si>
  <si>
    <t>K.Krishna Mohan</t>
  </si>
  <si>
    <t xml:space="preserve">Deputy Manager </t>
  </si>
  <si>
    <t>Sales</t>
  </si>
  <si>
    <t>Tenali</t>
  </si>
  <si>
    <t>MCL0309</t>
  </si>
  <si>
    <t>Dekkapati Raja Sekhar</t>
  </si>
  <si>
    <t>MCL0318</t>
  </si>
  <si>
    <t>A.S.Sri Hari</t>
  </si>
  <si>
    <t>General Manager - Commercial</t>
  </si>
  <si>
    <t>MCL0320</t>
  </si>
  <si>
    <t>K.S.Sundaramurthy</t>
  </si>
  <si>
    <t>Assistant General Manager- Outdoor, Events &amp; Promotions</t>
  </si>
  <si>
    <t>MCL0322</t>
  </si>
  <si>
    <t>P.Kumararaja</t>
  </si>
  <si>
    <t>MCL0326</t>
  </si>
  <si>
    <t>M.Sarumathi</t>
  </si>
  <si>
    <t>MCL0330</t>
  </si>
  <si>
    <t>T.Loganathan</t>
  </si>
  <si>
    <t>General Manager - Projects</t>
  </si>
  <si>
    <t>MCL0331</t>
  </si>
  <si>
    <t>P.Rajendran</t>
  </si>
  <si>
    <t>Safety Officer</t>
  </si>
  <si>
    <t>MCL0334</t>
  </si>
  <si>
    <t>Namperumal</t>
  </si>
  <si>
    <t>Senior Engineer - Electrical</t>
  </si>
  <si>
    <t>MCL0335</t>
  </si>
  <si>
    <t>P.Ulaganathan</t>
  </si>
  <si>
    <t>Executive - Accounts</t>
  </si>
  <si>
    <t>MCL0342</t>
  </si>
  <si>
    <t>R.Srinivasan</t>
  </si>
  <si>
    <t>Assistant Vice President - Liasion</t>
  </si>
  <si>
    <t>Senior Consultant</t>
  </si>
  <si>
    <t>MCL0344</t>
  </si>
  <si>
    <t>Deepak Mohan</t>
  </si>
  <si>
    <t>Deputy Manager - Finance</t>
  </si>
  <si>
    <t>MCL0351</t>
  </si>
  <si>
    <t>M.Kannan</t>
  </si>
  <si>
    <t>AGM - Electrical</t>
  </si>
  <si>
    <t>Electrical Engineer</t>
  </si>
  <si>
    <t>MCL0357</t>
  </si>
  <si>
    <t>K.R.Ramman Babu</t>
  </si>
  <si>
    <t>Head International - Sourcing</t>
  </si>
  <si>
    <t>China</t>
  </si>
  <si>
    <t>MCL0360</t>
  </si>
  <si>
    <t>K.Sabarinathan</t>
  </si>
  <si>
    <t>MCL0364</t>
  </si>
  <si>
    <t>Maria Merlin Theresa</t>
  </si>
  <si>
    <t>Senior Executive - Taxation</t>
  </si>
  <si>
    <t>MCL0367</t>
  </si>
  <si>
    <t>R.Sivaraj</t>
  </si>
  <si>
    <t>Sr Executive - Stores</t>
  </si>
  <si>
    <t>Pondicherry</t>
  </si>
  <si>
    <t>MCL0378</t>
  </si>
  <si>
    <t>P.Balaji</t>
  </si>
  <si>
    <t>AGM -Accounts</t>
  </si>
  <si>
    <t>MCL0385</t>
  </si>
  <si>
    <t>A.Antony Raja</t>
  </si>
  <si>
    <t>MCL0386</t>
  </si>
  <si>
    <t>S.Radja Piragache</t>
  </si>
  <si>
    <t>MCL0390</t>
  </si>
  <si>
    <t>Sujala Gottipolu</t>
  </si>
  <si>
    <t>Senior Engineer - Design</t>
  </si>
  <si>
    <t>MCL0391</t>
  </si>
  <si>
    <t>K.Bramhananda Reddy</t>
  </si>
  <si>
    <t>MCL0392</t>
  </si>
  <si>
    <t>S.Venkatesan</t>
  </si>
  <si>
    <t>Senior Manager  - Sales</t>
  </si>
  <si>
    <t>MCL0408</t>
  </si>
  <si>
    <t>T.D.Mahendhiran</t>
  </si>
  <si>
    <t>MCL0410</t>
  </si>
  <si>
    <t>S.Ramakrishnan</t>
  </si>
  <si>
    <t>Chief Executive Officer - Real Estate</t>
  </si>
  <si>
    <t>MCL0411</t>
  </si>
  <si>
    <t>T.V.Srinivasan</t>
  </si>
  <si>
    <t>Deputy General Manager - Commercial</t>
  </si>
  <si>
    <t>MCL0412</t>
  </si>
  <si>
    <t>M.Sivaraja</t>
  </si>
  <si>
    <t>Asst Manager - Electrical</t>
  </si>
  <si>
    <t>MCL0419</t>
  </si>
  <si>
    <t>Arivukanmani.M</t>
  </si>
  <si>
    <t>Urban Planning</t>
  </si>
  <si>
    <t>GISP</t>
  </si>
  <si>
    <t>MCL0420</t>
  </si>
  <si>
    <t>D.Madhavan</t>
  </si>
  <si>
    <t>MCL0421</t>
  </si>
  <si>
    <t>T.Madhavan</t>
  </si>
  <si>
    <t>Assistant Engineer - Projects</t>
  </si>
  <si>
    <t>MCL0422</t>
  </si>
  <si>
    <t>N.Veeramanikandan</t>
  </si>
  <si>
    <t>Senior Executive - Legal</t>
  </si>
  <si>
    <t>MCL0425</t>
  </si>
  <si>
    <t>K.Rajesh</t>
  </si>
  <si>
    <t>MCL0427</t>
  </si>
  <si>
    <t>Hari Hara Sutan.P</t>
  </si>
  <si>
    <t>Senior Manager - Strategic Planning</t>
  </si>
  <si>
    <t>Strategic Planning</t>
  </si>
  <si>
    <t>MCL0432</t>
  </si>
  <si>
    <t>Niranjan Kumar Singh</t>
  </si>
  <si>
    <t>Deputy General Manager - Projects</t>
  </si>
  <si>
    <t>Delhi Office</t>
  </si>
  <si>
    <t>EPC - Delhi</t>
  </si>
  <si>
    <t>Delhi</t>
  </si>
  <si>
    <t>MCL0433</t>
  </si>
  <si>
    <t>A.Sambireddy</t>
  </si>
  <si>
    <t>Senior Executive - Accounts</t>
  </si>
  <si>
    <t>MCL0446</t>
  </si>
  <si>
    <t>Jaganath.S</t>
  </si>
  <si>
    <t>MCL0447</t>
  </si>
  <si>
    <t>Shobana Balasundari.M</t>
  </si>
  <si>
    <t>MCL0463</t>
  </si>
  <si>
    <t>Aruna.R</t>
  </si>
  <si>
    <t>MCL0465</t>
  </si>
  <si>
    <t>A.Thavasi Ananthan</t>
  </si>
  <si>
    <t>MCL0466</t>
  </si>
  <si>
    <t>Solomon.P</t>
  </si>
  <si>
    <t>MCL0471</t>
  </si>
  <si>
    <t>S.Rajalakshmi</t>
  </si>
  <si>
    <t>Chief Consultant  - Urban Planning</t>
  </si>
  <si>
    <t>MCL0475</t>
  </si>
  <si>
    <t>Sreeju K Sasi</t>
  </si>
  <si>
    <t>Science Park</t>
  </si>
  <si>
    <t>Madhya Pradesh</t>
  </si>
  <si>
    <t>MCL0476</t>
  </si>
  <si>
    <t>Durgarani Natarajan</t>
  </si>
  <si>
    <t>Deputy Manager - Corporate Accounts</t>
  </si>
  <si>
    <t>MCL0477</t>
  </si>
  <si>
    <t>Divya.P</t>
  </si>
  <si>
    <t>MCL0478</t>
  </si>
  <si>
    <t>N.Someswararaju</t>
  </si>
  <si>
    <t>Assistant Engineer</t>
  </si>
  <si>
    <t>MCL0483</t>
  </si>
  <si>
    <t>Selvam.J</t>
  </si>
  <si>
    <t>Architect</t>
  </si>
  <si>
    <t>Design</t>
  </si>
  <si>
    <t>MCL0485</t>
  </si>
  <si>
    <t>Sanjay Kumar</t>
  </si>
  <si>
    <t>Office Assistant cum Typist</t>
  </si>
  <si>
    <t>MCL0486</t>
  </si>
  <si>
    <t>Vivek Dwivedi</t>
  </si>
  <si>
    <t>General Manager - Strategic Planning</t>
  </si>
  <si>
    <t>MCL0487</t>
  </si>
  <si>
    <t>Anupam Mohapatra</t>
  </si>
  <si>
    <t>MCL0492</t>
  </si>
  <si>
    <t>Kanchana.P</t>
  </si>
  <si>
    <t>MCL0496</t>
  </si>
  <si>
    <t>R.Senthil Kumar</t>
  </si>
  <si>
    <t>Junior Engineer - Electrical</t>
  </si>
  <si>
    <t>MCL0499</t>
  </si>
  <si>
    <t>A.Jayakumar</t>
  </si>
  <si>
    <t>Deputy Manger - Projects</t>
  </si>
  <si>
    <t>MCL0500</t>
  </si>
  <si>
    <t>S.Vasantha Krishnan</t>
  </si>
  <si>
    <t>Assistant Manager - Projects</t>
  </si>
  <si>
    <t>Mechanical Supervisor</t>
  </si>
  <si>
    <t>MCL0503</t>
  </si>
  <si>
    <t>M.Prabu</t>
  </si>
  <si>
    <t>MCL0506</t>
  </si>
  <si>
    <t>Paramjyoti Dandapani</t>
  </si>
  <si>
    <t>Assistant General Manager - Accounts</t>
  </si>
  <si>
    <t>MCL0508</t>
  </si>
  <si>
    <t>P.Seetharaman</t>
  </si>
  <si>
    <t>Electrical Supervisor</t>
  </si>
  <si>
    <t>MCL0510</t>
  </si>
  <si>
    <t>P.Ramesh</t>
  </si>
  <si>
    <t>MCL0511</t>
  </si>
  <si>
    <t>V.G.Ganesan</t>
  </si>
  <si>
    <t>MCL0512</t>
  </si>
  <si>
    <t>Sudhir N Shenoy</t>
  </si>
  <si>
    <t>Vice President</t>
  </si>
  <si>
    <t>Gujarat</t>
  </si>
  <si>
    <t>MCL0515</t>
  </si>
  <si>
    <t>Ray Krishna Mahunt</t>
  </si>
  <si>
    <t>Marine Operations</t>
  </si>
  <si>
    <t>MCL0516</t>
  </si>
  <si>
    <t>M.Suresh Kumar</t>
  </si>
  <si>
    <t>Deputy Manager - Land Acquisition</t>
  </si>
  <si>
    <t>MCL0519</t>
  </si>
  <si>
    <t>Harihara Subramanian.R</t>
  </si>
  <si>
    <t>MCL0520</t>
  </si>
  <si>
    <t>Kumar.S</t>
  </si>
  <si>
    <t>MCL0521</t>
  </si>
  <si>
    <t>Saravana Kumar.V</t>
  </si>
  <si>
    <t>Assistant Manager - Business Development</t>
  </si>
  <si>
    <t>MCL0524</t>
  </si>
  <si>
    <t>Sunil Madaan</t>
  </si>
  <si>
    <t>Secretary to Director</t>
  </si>
  <si>
    <t>Haryana</t>
  </si>
  <si>
    <t>MCL0526</t>
  </si>
  <si>
    <t>Jayaprakesh KP</t>
  </si>
  <si>
    <t>Assistant Manager - Stores</t>
  </si>
  <si>
    <t>MCL0527</t>
  </si>
  <si>
    <t>B.Yuvaraj</t>
  </si>
  <si>
    <t>Chief Consultant</t>
  </si>
  <si>
    <t>MCL0529</t>
  </si>
  <si>
    <t>Vinoth Kumar.V</t>
  </si>
  <si>
    <t>MCL0533</t>
  </si>
  <si>
    <t>S.Karthigeyan</t>
  </si>
  <si>
    <t>MCL0535</t>
  </si>
  <si>
    <t>Krishnamurthy.S</t>
  </si>
  <si>
    <t>Chief Executive Officer - Power Projects</t>
  </si>
  <si>
    <t>Power Projects</t>
  </si>
  <si>
    <t>MCL0539</t>
  </si>
  <si>
    <t>SK.Saleem</t>
  </si>
  <si>
    <t>MCL0540</t>
  </si>
  <si>
    <t>Oscar Braganza</t>
  </si>
  <si>
    <t>MCL0542</t>
  </si>
  <si>
    <t>J.Vimala</t>
  </si>
  <si>
    <t>MCL0543</t>
  </si>
  <si>
    <t>Mahashyata Bera</t>
  </si>
  <si>
    <t>Junior Engineer - Planning</t>
  </si>
  <si>
    <t>MCL0547</t>
  </si>
  <si>
    <t>Subramaniam Sankaranarayanan</t>
  </si>
  <si>
    <t>Vice President Special Projects – Media</t>
  </si>
  <si>
    <t>Special Projects</t>
  </si>
  <si>
    <t>MCL0549</t>
  </si>
  <si>
    <t>Soban Selvakumar.K</t>
  </si>
  <si>
    <t>Assistant Manage - Projects</t>
  </si>
  <si>
    <t>MCL0550</t>
  </si>
  <si>
    <t>V.Raman</t>
  </si>
  <si>
    <t>Head - Projects</t>
  </si>
  <si>
    <t>MCL0552</t>
  </si>
  <si>
    <t>G.Vijaya Kumar</t>
  </si>
  <si>
    <t>Assistant Manager - Quantity Surveyor</t>
  </si>
  <si>
    <t>MCL0555</t>
  </si>
  <si>
    <t>J.Kanchana</t>
  </si>
  <si>
    <t>Brand Shop</t>
  </si>
  <si>
    <t>MCL0557</t>
  </si>
  <si>
    <t>Sampath Kumar.S</t>
  </si>
  <si>
    <t>MCL0559</t>
  </si>
  <si>
    <t>John Christopher B</t>
  </si>
  <si>
    <t>MCL0560</t>
  </si>
  <si>
    <t>Ramesh Kumar Kona</t>
  </si>
  <si>
    <t>Assistant Vice President - Business Development</t>
  </si>
  <si>
    <t>MCL0564</t>
  </si>
  <si>
    <t>Neelakanta Iyer</t>
  </si>
  <si>
    <t>Assistant General Manager - Planning</t>
  </si>
  <si>
    <t>Kerala</t>
  </si>
  <si>
    <t>MCL0566</t>
  </si>
  <si>
    <t>V.Karunanithi</t>
  </si>
  <si>
    <t>MCL0568</t>
  </si>
  <si>
    <t>P.Prithvi Krishna</t>
  </si>
  <si>
    <t>Deputy Manager - Land Acquistion</t>
  </si>
  <si>
    <t>MCL0570</t>
  </si>
  <si>
    <t>V.Rajesh</t>
  </si>
  <si>
    <t>Executive - Projects</t>
  </si>
  <si>
    <t>MD's Office</t>
  </si>
  <si>
    <t>MCL0571</t>
  </si>
  <si>
    <t>K.Latha Devi</t>
  </si>
  <si>
    <t>MCL0574</t>
  </si>
  <si>
    <t>B.Santhana Krishnan</t>
  </si>
  <si>
    <t>MCL0575</t>
  </si>
  <si>
    <t>Sridharan MK</t>
  </si>
  <si>
    <t>Manager - HR</t>
  </si>
  <si>
    <t>MCL0576</t>
  </si>
  <si>
    <t>Jeeva.R</t>
  </si>
  <si>
    <t>Senior Executive- Accounts</t>
  </si>
  <si>
    <t>MCL0577</t>
  </si>
  <si>
    <t>Ramesh T</t>
  </si>
  <si>
    <t>MCL0578</t>
  </si>
  <si>
    <t>Madhava reddy</t>
  </si>
  <si>
    <t>Lab Technician</t>
  </si>
  <si>
    <t>Quality</t>
  </si>
  <si>
    <t>MCL0579</t>
  </si>
  <si>
    <t>Jagadeesh.C H</t>
  </si>
  <si>
    <t>MCL0580</t>
  </si>
  <si>
    <t>Sriram.S</t>
  </si>
  <si>
    <t>MCL0585</t>
  </si>
  <si>
    <t>Vetrivel Ramadoss</t>
  </si>
  <si>
    <t>Assistant Vice President - Marine Services</t>
  </si>
  <si>
    <t>MCL0586</t>
  </si>
  <si>
    <t>Gnanaprakasam. K</t>
  </si>
  <si>
    <t>Tamil nadu</t>
  </si>
  <si>
    <t>MCL0590</t>
  </si>
  <si>
    <t>Chandrakumar.C</t>
  </si>
  <si>
    <t>Sr.Manager - Projects</t>
  </si>
  <si>
    <t>MCL0592</t>
  </si>
  <si>
    <t>Arunachalam S</t>
  </si>
  <si>
    <t>MCL0593</t>
  </si>
  <si>
    <t>Sathiya Keerthi E</t>
  </si>
  <si>
    <t>Engineer - Electrical</t>
  </si>
  <si>
    <t>Tapovan</t>
  </si>
  <si>
    <t>MCL0597</t>
  </si>
  <si>
    <t>Jeyachandran P</t>
  </si>
  <si>
    <t>Head - Railways</t>
  </si>
  <si>
    <t>Railways</t>
  </si>
  <si>
    <t>MCL0602</t>
  </si>
  <si>
    <t>Suresh N</t>
  </si>
  <si>
    <t>Senior Vice President</t>
  </si>
  <si>
    <t>Ship Building</t>
  </si>
  <si>
    <t>S.Venkatesh</t>
  </si>
  <si>
    <t>MCL0603</t>
  </si>
  <si>
    <t>K D Gopinathan</t>
  </si>
  <si>
    <t>Senior Manager - Marine</t>
  </si>
  <si>
    <t>Radio Officer</t>
  </si>
  <si>
    <t>MCL0605</t>
  </si>
  <si>
    <t>Venkateswaran M</t>
  </si>
  <si>
    <t>Assistant General Manager - Project</t>
  </si>
  <si>
    <t>MCL0606</t>
  </si>
  <si>
    <t>Yogesh Goyal</t>
  </si>
  <si>
    <t>Senior Executive - Company Secretary</t>
  </si>
  <si>
    <t>MCL0607</t>
  </si>
  <si>
    <t>Awkash O Sakolkar</t>
  </si>
  <si>
    <t>MCL0609</t>
  </si>
  <si>
    <t>Murugan G</t>
  </si>
  <si>
    <t>Assistant Manager - MIS</t>
  </si>
  <si>
    <t>MCL0610</t>
  </si>
  <si>
    <t>Sritharan.S</t>
  </si>
  <si>
    <t>Manager - Planning</t>
  </si>
  <si>
    <t>MCL0611</t>
  </si>
  <si>
    <t>Sandhya.SV</t>
  </si>
  <si>
    <t>Asst Manager - Projects</t>
  </si>
  <si>
    <t>MCL0617</t>
  </si>
  <si>
    <t>Vikash Ranjan</t>
  </si>
  <si>
    <t>Technical</t>
  </si>
  <si>
    <t>Bihar</t>
  </si>
  <si>
    <t>MCL0623</t>
  </si>
  <si>
    <t>Mukesh Kumar Gupta</t>
  </si>
  <si>
    <t>MCL0625</t>
  </si>
  <si>
    <t>Arun Kumar . E</t>
  </si>
  <si>
    <t>Junior Executive - Stores</t>
  </si>
  <si>
    <t>MCL0627</t>
  </si>
  <si>
    <t>Sivakumar GB</t>
  </si>
  <si>
    <t>Senior Officer - Port Operations</t>
  </si>
  <si>
    <t>MCL0630</t>
  </si>
  <si>
    <t>Sivakumar K</t>
  </si>
  <si>
    <t>Assistant Manager - Mechanical</t>
  </si>
  <si>
    <t>Mechanical Engineer</t>
  </si>
  <si>
    <t>MCL0632</t>
  </si>
  <si>
    <t>Kumaravel</t>
  </si>
  <si>
    <t>Junior Engineer - Purchase</t>
  </si>
  <si>
    <t>MCL0633</t>
  </si>
  <si>
    <t>David Thiraviam</t>
  </si>
  <si>
    <t>Crane Operator</t>
  </si>
  <si>
    <t>Cargo Operations</t>
  </si>
  <si>
    <t>MCL0634</t>
  </si>
  <si>
    <t>Stephen Vedhanayagam</t>
  </si>
  <si>
    <t>MCL0635</t>
  </si>
  <si>
    <t>Venkatesan K</t>
  </si>
  <si>
    <t>Deputy Manager - Commercial</t>
  </si>
  <si>
    <t>MCL0637</t>
  </si>
  <si>
    <t>Pratap Kishore Swain</t>
  </si>
  <si>
    <t>AGM - Survey</t>
  </si>
  <si>
    <t>MCL0639</t>
  </si>
  <si>
    <t>Ramesh Kumar P</t>
  </si>
  <si>
    <t>MCL0640</t>
  </si>
  <si>
    <t>Narayana Swamy L</t>
  </si>
  <si>
    <t>MCL0642</t>
  </si>
  <si>
    <t>Ramesh Kumar.R</t>
  </si>
  <si>
    <t>MCL0649</t>
  </si>
  <si>
    <t>Sathish.R</t>
  </si>
  <si>
    <t>MCL0650</t>
  </si>
  <si>
    <t>Syam Mohan. V. M</t>
  </si>
  <si>
    <t>KERALA</t>
  </si>
  <si>
    <t>Store Assistant</t>
  </si>
  <si>
    <t>MCL0651</t>
  </si>
  <si>
    <t>Ramani. P</t>
  </si>
  <si>
    <t>MCL0653</t>
  </si>
  <si>
    <t>Ramachandran.S</t>
  </si>
  <si>
    <t>MCL0654</t>
  </si>
  <si>
    <t>Govindarajan.R</t>
  </si>
  <si>
    <t>Senior Manager - Operations</t>
  </si>
  <si>
    <t>MCL0655</t>
  </si>
  <si>
    <t>Chakradhara Rao. V</t>
  </si>
  <si>
    <t>General Manager - Cargo</t>
  </si>
  <si>
    <t>MCL0659</t>
  </si>
  <si>
    <t>Srinivasa Rao.M</t>
  </si>
  <si>
    <t>Assistant - Crane Operator</t>
  </si>
  <si>
    <t>MCL0660</t>
  </si>
  <si>
    <t>Palanisamy.M</t>
  </si>
  <si>
    <t>MCL0662</t>
  </si>
  <si>
    <t>Sunder Rajan.C</t>
  </si>
  <si>
    <t>Land Scape Supervisor</t>
  </si>
  <si>
    <t>MCL0664</t>
  </si>
  <si>
    <t>Anitha.K.N</t>
  </si>
  <si>
    <t>MCL0665</t>
  </si>
  <si>
    <t>Vijaykumar.S</t>
  </si>
  <si>
    <t>Vice President - Strategic Planning</t>
  </si>
  <si>
    <t>MCL0666</t>
  </si>
  <si>
    <t>Chelladurai.S</t>
  </si>
  <si>
    <t>MCL0669</t>
  </si>
  <si>
    <t>Piyush Singhania</t>
  </si>
  <si>
    <t>West Bengal</t>
  </si>
  <si>
    <t>MCL0671</t>
  </si>
  <si>
    <t>Ankit Parnami</t>
  </si>
  <si>
    <t>Deputy Manger - BD</t>
  </si>
  <si>
    <t>MCL0677</t>
  </si>
  <si>
    <t>Lakshminarayanan W.V</t>
  </si>
  <si>
    <t>Senior Manager - Administration</t>
  </si>
  <si>
    <t>MCL0678</t>
  </si>
  <si>
    <t>Karthikeyan.P</t>
  </si>
  <si>
    <t>Fire &amp; Safety Officer</t>
  </si>
  <si>
    <t>Fire &amp; Safety</t>
  </si>
  <si>
    <t>MCL0680</t>
  </si>
  <si>
    <t>Atul L. Karandikar</t>
  </si>
  <si>
    <t>Senior Manager - Fire &amp; Safety</t>
  </si>
  <si>
    <t>MCL0681</t>
  </si>
  <si>
    <t>Venkatachary T L</t>
  </si>
  <si>
    <t>Chief Technical Advisor</t>
  </si>
  <si>
    <t>MCL0682</t>
  </si>
  <si>
    <t>Umesh Rana</t>
  </si>
  <si>
    <t>Senior Manager - Works</t>
  </si>
  <si>
    <t>Uttar Pradesh</t>
  </si>
  <si>
    <t>MCL0687</t>
  </si>
  <si>
    <t>Gaurav Saxena</t>
  </si>
  <si>
    <t>Senior Manager -Dredging</t>
  </si>
  <si>
    <t>Dredging</t>
  </si>
  <si>
    <t>Mumbai</t>
  </si>
  <si>
    <t>MCL0690</t>
  </si>
  <si>
    <t>Namasivayam.A</t>
  </si>
  <si>
    <t>MCL0693</t>
  </si>
  <si>
    <t>Lenin Sundar Rajan.C</t>
  </si>
  <si>
    <t>Assistant Engineer - Electrical</t>
  </si>
  <si>
    <t>MCL0695</t>
  </si>
  <si>
    <t>Mathan Kumar.R</t>
  </si>
  <si>
    <t>MCL0700</t>
  </si>
  <si>
    <t>Muralidharan.R</t>
  </si>
  <si>
    <t>MCL0702</t>
  </si>
  <si>
    <t>Hiremath.H.C</t>
  </si>
  <si>
    <t>Senior Manager - Engineering &amp; Maintenance</t>
  </si>
  <si>
    <t>MCL0707</t>
  </si>
  <si>
    <t>Rengarajan.R</t>
  </si>
  <si>
    <t>General Manager - Legal</t>
  </si>
  <si>
    <t>MCL0708</t>
  </si>
  <si>
    <t>Virbal Dutt</t>
  </si>
  <si>
    <t>Assistant Manager - Marine</t>
  </si>
  <si>
    <t>Uttara Khand</t>
  </si>
  <si>
    <t>SIte</t>
  </si>
  <si>
    <t>MCL0709</t>
  </si>
  <si>
    <t>Durgesh.G</t>
  </si>
  <si>
    <t>MCL0710</t>
  </si>
  <si>
    <t>Ramkumar.J</t>
  </si>
  <si>
    <t>MCL0711</t>
  </si>
  <si>
    <t>Sridhar Rao.P.H</t>
  </si>
  <si>
    <t>Senior Manager - Planning &amp; Coordination</t>
  </si>
  <si>
    <t>MCL0715</t>
  </si>
  <si>
    <t>Santhosh J M</t>
  </si>
  <si>
    <t>Assistant Manager  - Sales</t>
  </si>
  <si>
    <t>MCL0716</t>
  </si>
  <si>
    <t>Senthil Kumar S</t>
  </si>
  <si>
    <t>MCL0717</t>
  </si>
  <si>
    <t>Thanush Kumar</t>
  </si>
  <si>
    <t>MCL0720</t>
  </si>
  <si>
    <t>Nagarajan P L</t>
  </si>
  <si>
    <t>MCL0723</t>
  </si>
  <si>
    <t>Radhakrishnan K L</t>
  </si>
  <si>
    <t>MCL0735</t>
  </si>
  <si>
    <t>Saravana Kumar.S</t>
  </si>
  <si>
    <t>MCL0737</t>
  </si>
  <si>
    <t>S.Parvathy</t>
  </si>
  <si>
    <t>Srinivasan.V</t>
  </si>
  <si>
    <t>MCL0738</t>
  </si>
  <si>
    <t>Mohanavel U</t>
  </si>
  <si>
    <t>MCL0739</t>
  </si>
  <si>
    <t>Jenitta S</t>
  </si>
  <si>
    <t>MCL0740</t>
  </si>
  <si>
    <t>Sadasivan.N</t>
  </si>
  <si>
    <t>MCL0741</t>
  </si>
  <si>
    <t>Srijith.R</t>
  </si>
  <si>
    <t>MCL0745</t>
  </si>
  <si>
    <t>Vinod.C.T</t>
  </si>
  <si>
    <t>M &amp; E</t>
  </si>
  <si>
    <t>MCL0748</t>
  </si>
  <si>
    <t>Pinnama Raju Ramachandra Raju</t>
  </si>
  <si>
    <t>AGM - Mechanical</t>
  </si>
  <si>
    <t>MCL0751</t>
  </si>
  <si>
    <t>Elangovan.R</t>
  </si>
  <si>
    <t>Junior Engineer - Mechanical</t>
  </si>
  <si>
    <t>MCL0752</t>
  </si>
  <si>
    <t>Veera Subramani.T</t>
  </si>
  <si>
    <t>Tsunami Pondy</t>
  </si>
  <si>
    <t>MCL0754</t>
  </si>
  <si>
    <t>Assistant - Safety</t>
  </si>
  <si>
    <t>Safety Supervisor</t>
  </si>
  <si>
    <t>MCL0755</t>
  </si>
  <si>
    <t>Kamal Raj.M</t>
  </si>
  <si>
    <t>MCL0757</t>
  </si>
  <si>
    <t>Abhisheka Kumar</t>
  </si>
  <si>
    <t>MCL0760</t>
  </si>
  <si>
    <t>Balasubramanian.S</t>
  </si>
  <si>
    <t>Karnataka Business</t>
  </si>
  <si>
    <t>Senior General Manager</t>
  </si>
  <si>
    <t>MCL0762</t>
  </si>
  <si>
    <t>Subburaj.V</t>
  </si>
  <si>
    <t>Salem WTP</t>
  </si>
  <si>
    <t>MCL0763</t>
  </si>
  <si>
    <t>Samatha Kottha</t>
  </si>
  <si>
    <t>Assistant Vice President - Projects</t>
  </si>
  <si>
    <t>CIP</t>
  </si>
  <si>
    <t>MCL0764</t>
  </si>
  <si>
    <t>Jawahar Singh</t>
  </si>
  <si>
    <t>Vice President - Sales</t>
  </si>
  <si>
    <t>MCL0765</t>
  </si>
  <si>
    <t>Soundhararajan.V</t>
  </si>
  <si>
    <t>Vice President - Signa</t>
  </si>
  <si>
    <t>Infrastructure Signa</t>
  </si>
  <si>
    <t>Infrastructure - Signa</t>
  </si>
  <si>
    <t>MCL0768</t>
  </si>
  <si>
    <t>Moorthy SM</t>
  </si>
  <si>
    <t>MCL0769</t>
  </si>
  <si>
    <t>Sreenath KR</t>
  </si>
  <si>
    <t>Senior Manager - BD &amp; PR</t>
  </si>
  <si>
    <t>Pondy</t>
  </si>
  <si>
    <t>MCL0776</t>
  </si>
  <si>
    <t>Kavidha.S</t>
  </si>
  <si>
    <t>Somasundaram S</t>
  </si>
  <si>
    <t>MCL0778</t>
  </si>
  <si>
    <t>Sachin Sukhija</t>
  </si>
  <si>
    <t>HARYANA</t>
  </si>
  <si>
    <t>MCL0779</t>
  </si>
  <si>
    <t>Ramesh Chetty.R</t>
  </si>
  <si>
    <t>TAMIL NADU</t>
  </si>
  <si>
    <t>MCL0781</t>
  </si>
  <si>
    <t>Senthil Kumar.B</t>
  </si>
  <si>
    <t>Quantity Surveyor</t>
  </si>
  <si>
    <t>MCL0782</t>
  </si>
  <si>
    <t>Navaneetha Krishnan. R</t>
  </si>
  <si>
    <t>MCL0786</t>
  </si>
  <si>
    <t>Suresh Singh Bogal</t>
  </si>
  <si>
    <t>Deputy Manager- Marine</t>
  </si>
  <si>
    <t>MCL0789</t>
  </si>
  <si>
    <t>S Sivaraman</t>
  </si>
  <si>
    <t>Head - Legal &amp; Company Secretary</t>
  </si>
  <si>
    <t>MCL0790</t>
  </si>
  <si>
    <t>Ramprasad S</t>
  </si>
  <si>
    <t>Senior Manager - Logistics</t>
  </si>
  <si>
    <t>Logistics</t>
  </si>
  <si>
    <t>MCL0791</t>
  </si>
  <si>
    <t>Sengazhaneer Muthu S</t>
  </si>
  <si>
    <t>MCL0792</t>
  </si>
  <si>
    <t>Narayana K Y</t>
  </si>
  <si>
    <t>Foremen - Crane</t>
  </si>
  <si>
    <t>ANDHRA PRADESH</t>
  </si>
  <si>
    <t>MCL0793</t>
  </si>
  <si>
    <t>Ramesh Chandra Swain</t>
  </si>
  <si>
    <t>MCL0794</t>
  </si>
  <si>
    <t>Arvind Kumar Sagar</t>
  </si>
  <si>
    <t>TM 2</t>
  </si>
  <si>
    <t>President - Corporate Initiatives &amp; Planning</t>
  </si>
  <si>
    <t>MCL0796</t>
  </si>
  <si>
    <t>Srikanthan J</t>
  </si>
  <si>
    <t>General Manager- Projects</t>
  </si>
  <si>
    <t>MCL0800</t>
  </si>
  <si>
    <t>Jothikala M</t>
  </si>
  <si>
    <t>Manager- Quantity Surveyor</t>
  </si>
  <si>
    <t>MCL0803</t>
  </si>
  <si>
    <t>MCL0804</t>
  </si>
  <si>
    <t>Anbalagan R</t>
  </si>
  <si>
    <t>CSR</t>
  </si>
  <si>
    <t>MCL0805</t>
  </si>
  <si>
    <t>Muthiah P</t>
  </si>
  <si>
    <t>Senior Manager - Commercial</t>
  </si>
  <si>
    <t>MCL0806</t>
  </si>
  <si>
    <t>Lakshmi Ganesh</t>
  </si>
  <si>
    <t>MCL0809</t>
  </si>
  <si>
    <t>Lavakusalan S</t>
  </si>
  <si>
    <t>MCL0812</t>
  </si>
  <si>
    <t>Radha D Pratik</t>
  </si>
  <si>
    <t>MCL0813</t>
  </si>
  <si>
    <t>Sreejesh P S</t>
  </si>
  <si>
    <t>Engineer- Safety</t>
  </si>
  <si>
    <t>Cochin</t>
  </si>
  <si>
    <t>MCL0814</t>
  </si>
  <si>
    <t>Terrence Martin</t>
  </si>
  <si>
    <t>MCL0817</t>
  </si>
  <si>
    <t>Anantharaman B N</t>
  </si>
  <si>
    <t>Assistant Executive- Accounts</t>
  </si>
  <si>
    <t>MCL0818</t>
  </si>
  <si>
    <t>Amarasan P</t>
  </si>
  <si>
    <t>MCL0819</t>
  </si>
  <si>
    <t>Eswaran K</t>
  </si>
  <si>
    <t>Senior Engineer- Shuttering</t>
  </si>
  <si>
    <t>MCL0821</t>
  </si>
  <si>
    <t>Balachandran C</t>
  </si>
  <si>
    <t>Assistant Manager- Projects</t>
  </si>
  <si>
    <t>MCL0822</t>
  </si>
  <si>
    <t>Shanthi D</t>
  </si>
  <si>
    <t>MCL0823</t>
  </si>
  <si>
    <t>Nagarajan R</t>
  </si>
  <si>
    <t>Assistant General Manager - Finance &amp; Accounts</t>
  </si>
  <si>
    <t>MCL0826</t>
  </si>
  <si>
    <t>Sankar K</t>
  </si>
  <si>
    <t>MCL0829</t>
  </si>
  <si>
    <t>Rajeshkannan U</t>
  </si>
  <si>
    <t>TR 3</t>
  </si>
  <si>
    <t>Graduate Trainee</t>
  </si>
  <si>
    <t>Quarry Site</t>
  </si>
  <si>
    <t>MCL0830</t>
  </si>
  <si>
    <t>Chandrashekar F Madar</t>
  </si>
  <si>
    <t>Technician Cum Operator</t>
  </si>
  <si>
    <t>KARNATAKA</t>
  </si>
  <si>
    <t>MCL0832</t>
  </si>
  <si>
    <t>Shyam Kumar T K</t>
  </si>
  <si>
    <t>MCL0839</t>
  </si>
  <si>
    <t>Ratheesh C</t>
  </si>
  <si>
    <t>Senior Manager - Business Development</t>
  </si>
  <si>
    <t>MCL0840</t>
  </si>
  <si>
    <t>Gopalakrishnan K</t>
  </si>
  <si>
    <t>MCL0841</t>
  </si>
  <si>
    <t>Ravi R</t>
  </si>
  <si>
    <t>Executive- Taxation</t>
  </si>
  <si>
    <t>MCL0842</t>
  </si>
  <si>
    <t>Kamalakannan R</t>
  </si>
  <si>
    <t>Engineer - Mechanical</t>
  </si>
  <si>
    <t>MCL0843</t>
  </si>
  <si>
    <t>Vasoudevan T</t>
  </si>
  <si>
    <t>MCL0844</t>
  </si>
  <si>
    <t>Chithiraivadivel S</t>
  </si>
  <si>
    <t>Executive - Cargo Operations</t>
  </si>
  <si>
    <t>MCL0845</t>
  </si>
  <si>
    <t>Iyyappan A</t>
  </si>
  <si>
    <t>Senior Engineer- Costing</t>
  </si>
  <si>
    <t>Tendering</t>
  </si>
  <si>
    <t>MCL0847</t>
  </si>
  <si>
    <t>Sudharshan Reddy G</t>
  </si>
  <si>
    <t>MCL0141</t>
  </si>
  <si>
    <t>Raja R</t>
  </si>
  <si>
    <t>MCL0848</t>
  </si>
  <si>
    <t>Paramjeet Singh</t>
  </si>
  <si>
    <t>Senior Manager-Liaison</t>
  </si>
  <si>
    <t>MCL0850</t>
  </si>
  <si>
    <t>Shanmugam K N S</t>
  </si>
  <si>
    <t>MCL0851</t>
  </si>
  <si>
    <t>Acharyulu M L N</t>
  </si>
  <si>
    <t>MCL0852</t>
  </si>
  <si>
    <t>Ronald Sabastian</t>
  </si>
  <si>
    <t>MCL0853</t>
  </si>
  <si>
    <t>Sundar N</t>
  </si>
  <si>
    <t>Executive  - Accounts</t>
  </si>
  <si>
    <t>MCL0854</t>
  </si>
  <si>
    <t>Srinu B</t>
  </si>
  <si>
    <t>MCL0855</t>
  </si>
  <si>
    <t>Kandhan M</t>
  </si>
  <si>
    <t>MCL0862</t>
  </si>
  <si>
    <t>Nagarajan N</t>
  </si>
  <si>
    <t>Executive - Plantation</t>
  </si>
  <si>
    <t>MCL0863</t>
  </si>
  <si>
    <t>Kallipalle Anil Kumar</t>
  </si>
  <si>
    <t>MCL0864</t>
  </si>
  <si>
    <t>Prabakaran K</t>
  </si>
  <si>
    <t>Assistant General Manager – Projects</t>
  </si>
  <si>
    <t>site</t>
  </si>
  <si>
    <t>MLCP</t>
  </si>
  <si>
    <t>MCL0867</t>
  </si>
  <si>
    <t>Savithri M S</t>
  </si>
  <si>
    <t>MCL0868</t>
  </si>
  <si>
    <t>Dinesh Selvaraj</t>
  </si>
  <si>
    <t>Senior Manager - Project Coordinator</t>
  </si>
  <si>
    <t>MCL0870</t>
  </si>
  <si>
    <t>Karuna Murthy U</t>
  </si>
  <si>
    <t>Senior Manager - Cargo Operations</t>
  </si>
  <si>
    <t>MCL0874</t>
  </si>
  <si>
    <t>Udaya Kumar G</t>
  </si>
  <si>
    <t>Human Resource</t>
  </si>
  <si>
    <t>MCL0875</t>
  </si>
  <si>
    <t>Alex Pandian J</t>
  </si>
  <si>
    <t>MCL0877</t>
  </si>
  <si>
    <t>Hari Hara Sudhan S</t>
  </si>
  <si>
    <t>MCL0878</t>
  </si>
  <si>
    <t>Thirumaran M</t>
  </si>
  <si>
    <t>MCL0879</t>
  </si>
  <si>
    <t>Ponnivalavan D</t>
  </si>
  <si>
    <t>Manager - Railways</t>
  </si>
  <si>
    <t>MCL0880</t>
  </si>
  <si>
    <t>Thiruvengadam R</t>
  </si>
  <si>
    <t xml:space="preserve">MM 5 </t>
  </si>
  <si>
    <t>Assistant Manager - Cargo Operations</t>
  </si>
  <si>
    <t>MCL0882</t>
  </si>
  <si>
    <t>Saravanan Nagarajan</t>
  </si>
  <si>
    <t>MCL0883</t>
  </si>
  <si>
    <t>Puneet Sharma</t>
  </si>
  <si>
    <t>Mechanical</t>
  </si>
  <si>
    <t>MCL0886</t>
  </si>
  <si>
    <t>Suresh B</t>
  </si>
  <si>
    <t>MCL0887</t>
  </si>
  <si>
    <t>Anantharamakrishnan N</t>
  </si>
  <si>
    <t>MCL0888</t>
  </si>
  <si>
    <t>ThirugnanaSambanthaMoorthy S</t>
  </si>
  <si>
    <t>Manager - Mines</t>
  </si>
  <si>
    <t>MCL0890</t>
  </si>
  <si>
    <t>Thangavel R</t>
  </si>
  <si>
    <t>Hosur, ELCOT</t>
  </si>
  <si>
    <t>MCL0891</t>
  </si>
  <si>
    <t>Suresh C</t>
  </si>
  <si>
    <t>Senior Manager - Mechanical</t>
  </si>
  <si>
    <t>MCL0892</t>
  </si>
  <si>
    <t>Pradeep Kumar Mishra</t>
  </si>
  <si>
    <t>BIHAR</t>
  </si>
  <si>
    <t>MCL0893</t>
  </si>
  <si>
    <t>Sriram C</t>
  </si>
  <si>
    <t>MCL0894</t>
  </si>
  <si>
    <t>Thiagasubramanian G</t>
  </si>
  <si>
    <t>MCL0897</t>
  </si>
  <si>
    <t>Santosh Kumar</t>
  </si>
  <si>
    <t>MCL0898</t>
  </si>
  <si>
    <t>Annie Ebenezer</t>
  </si>
  <si>
    <t>Senior Manager - HR</t>
  </si>
  <si>
    <t>MCL0900</t>
  </si>
  <si>
    <t>Senthil Kumar.N</t>
  </si>
  <si>
    <t>MCL0903</t>
  </si>
  <si>
    <t>Harikrishnan B</t>
  </si>
  <si>
    <t>Corporate Finance</t>
  </si>
  <si>
    <t>MCL0905</t>
  </si>
  <si>
    <t>S Suchitra</t>
  </si>
  <si>
    <t>Engineer - Planning</t>
  </si>
  <si>
    <t>MCL0907</t>
  </si>
  <si>
    <t>K J Karthikamai</t>
  </si>
  <si>
    <t>Engineer - Quantity Surveyor</t>
  </si>
  <si>
    <t>MCL0908</t>
  </si>
  <si>
    <t>R Senthil Raj</t>
  </si>
  <si>
    <t>MCL0910</t>
  </si>
  <si>
    <t>C Swaminathan</t>
  </si>
  <si>
    <t>Executive - Legal</t>
  </si>
  <si>
    <t>MCL0911</t>
  </si>
  <si>
    <t>A Siddheswaran</t>
  </si>
  <si>
    <t>MCL0913</t>
  </si>
  <si>
    <t>T.V.S.S Rajeswara Rao</t>
  </si>
  <si>
    <t>Assistant General Manager - Dredging</t>
  </si>
  <si>
    <t>MCL0916</t>
  </si>
  <si>
    <t>Yogesh Kumar Sharma</t>
  </si>
  <si>
    <t>MCL0917</t>
  </si>
  <si>
    <t>Ashok Kumar G</t>
  </si>
  <si>
    <t>MCL0919</t>
  </si>
  <si>
    <t>Ankit Bhardwaj</t>
  </si>
  <si>
    <t>Assistant Manager - Purchase</t>
  </si>
  <si>
    <t>NEW DELHI</t>
  </si>
  <si>
    <t>MCL0925</t>
  </si>
  <si>
    <t>P K Kannadasan</t>
  </si>
  <si>
    <t>MCL0927</t>
  </si>
  <si>
    <t>B Bhaskar</t>
  </si>
  <si>
    <t>MCL0933</t>
  </si>
  <si>
    <t>Rajnesh Sharma</t>
  </si>
  <si>
    <t>Deputy General Manager - Accounts</t>
  </si>
  <si>
    <t>MCL0934</t>
  </si>
  <si>
    <t>Prashant Chauhan</t>
  </si>
  <si>
    <t>MCL0938</t>
  </si>
  <si>
    <t>Polam Reddy Naresh</t>
  </si>
  <si>
    <t>Executive - Treasury</t>
  </si>
  <si>
    <t>MCL0939</t>
  </si>
  <si>
    <t>Virdhachallam L</t>
  </si>
  <si>
    <t>General Manager- Human Resource</t>
  </si>
  <si>
    <t>Shruthi V</t>
  </si>
  <si>
    <t>MCL0940</t>
  </si>
  <si>
    <t>Captain Prasad Rebala</t>
  </si>
  <si>
    <t>Senior Vice President (Port Operations)</t>
  </si>
  <si>
    <t>Port Operations</t>
  </si>
  <si>
    <t>MCL0942</t>
  </si>
  <si>
    <t>Govindaraman P</t>
  </si>
  <si>
    <t>General Manager (Design Coordination)</t>
  </si>
  <si>
    <t>Senior Project Manager</t>
  </si>
  <si>
    <t>MCL0943</t>
  </si>
  <si>
    <t>Venkata Nageswara Reddy Y</t>
  </si>
  <si>
    <t>MCL0945</t>
  </si>
  <si>
    <t>Senthil Kumar V S</t>
  </si>
  <si>
    <t>MCL0946</t>
  </si>
  <si>
    <t>Kannaiyan G</t>
  </si>
  <si>
    <t>AGM - Accounts</t>
  </si>
  <si>
    <t>MCL0955</t>
  </si>
  <si>
    <t>Sundaresan K</t>
  </si>
  <si>
    <t>Engineer- M &amp; E</t>
  </si>
  <si>
    <t>MCL0956</t>
  </si>
  <si>
    <t>Mohanraj M</t>
  </si>
  <si>
    <t>Junior Engineer- Projects</t>
  </si>
  <si>
    <t>Fishlanding Centre- Nagore</t>
  </si>
  <si>
    <t>MCL0957</t>
  </si>
  <si>
    <t>Sampath Kumar M</t>
  </si>
  <si>
    <t>Assistant - Accounts</t>
  </si>
  <si>
    <t>MCL0960</t>
  </si>
  <si>
    <t>Ramakrishnan K</t>
  </si>
  <si>
    <t>General Manager - Project</t>
  </si>
  <si>
    <t>MCL0961</t>
  </si>
  <si>
    <t>Beneesh B</t>
  </si>
  <si>
    <t>Manager - Sales</t>
  </si>
  <si>
    <t>MCL0963</t>
  </si>
  <si>
    <t>Udaiyar M</t>
  </si>
  <si>
    <t>Senior Engineer - Project</t>
  </si>
  <si>
    <t>MCL0966</t>
  </si>
  <si>
    <t>Praveen Kumar Arora</t>
  </si>
  <si>
    <t>Deputy General Manager - Planning</t>
  </si>
  <si>
    <t>MCL0969</t>
  </si>
  <si>
    <t>Venkatraman G</t>
  </si>
  <si>
    <t>MCL0970</t>
  </si>
  <si>
    <t>Arjunraj R</t>
  </si>
  <si>
    <t>MCL0971</t>
  </si>
  <si>
    <t>Vipin K Sharma</t>
  </si>
  <si>
    <t>MCL0973</t>
  </si>
  <si>
    <t>Virendra Kumar</t>
  </si>
  <si>
    <t>Senior Executive Stores</t>
  </si>
  <si>
    <t>MCL0974</t>
  </si>
  <si>
    <t>Pravesh Kumar Gupta</t>
  </si>
  <si>
    <t>MCL0975</t>
  </si>
  <si>
    <t>Manoj Kumar Thakur</t>
  </si>
  <si>
    <t>Plumbing Incharge</t>
  </si>
  <si>
    <t>MCL0979</t>
  </si>
  <si>
    <t>Kamalathiagarajan N</t>
  </si>
  <si>
    <t>Deputy Manager - Sales</t>
  </si>
  <si>
    <t>MCL0980</t>
  </si>
  <si>
    <t>Priya D</t>
  </si>
  <si>
    <t>MCL0981</t>
  </si>
  <si>
    <t>Jaikumar</t>
  </si>
  <si>
    <t>MCL0982</t>
  </si>
  <si>
    <t>Srivathsan G S</t>
  </si>
  <si>
    <t>MCL0983</t>
  </si>
  <si>
    <t>Palanivel S</t>
  </si>
  <si>
    <t>Executive - Railway Operations</t>
  </si>
  <si>
    <t>MCL0986</t>
  </si>
  <si>
    <t>Kanaga Sabai</t>
  </si>
  <si>
    <t>MCL0988</t>
  </si>
  <si>
    <t>Sreelakshmi E</t>
  </si>
  <si>
    <t>MCL0989</t>
  </si>
  <si>
    <t>Vijayasarathi S</t>
  </si>
  <si>
    <t>Assistant Project Manager</t>
  </si>
  <si>
    <t>MCL0990</t>
  </si>
  <si>
    <t>Sabarigirinathan M</t>
  </si>
  <si>
    <t>Executive - Finance &amp; Accounts</t>
  </si>
  <si>
    <t>MCL0992</t>
  </si>
  <si>
    <t>Rajesh I</t>
  </si>
  <si>
    <t>Junior Engineer Projects</t>
  </si>
  <si>
    <t>MCL0994</t>
  </si>
  <si>
    <t>Piyush Kumar</t>
  </si>
  <si>
    <t>MCL0995</t>
  </si>
  <si>
    <t>Ravinder Kumar</t>
  </si>
  <si>
    <t>Senior Executive - Admin</t>
  </si>
  <si>
    <t>MCL0996</t>
  </si>
  <si>
    <t>Chandra Shekhar Kandpal</t>
  </si>
  <si>
    <t>Personal Secretary</t>
  </si>
  <si>
    <t>MCL0997</t>
  </si>
  <si>
    <t>Anil Kumar</t>
  </si>
  <si>
    <t>MCL0998</t>
  </si>
  <si>
    <t>Deepa R</t>
  </si>
  <si>
    <t>MCL1001</t>
  </si>
  <si>
    <t>Abhishek Narayan</t>
  </si>
  <si>
    <t>Executive Assistant to CMD</t>
  </si>
  <si>
    <t>Preeti Rai</t>
  </si>
  <si>
    <t>MCL1002</t>
  </si>
  <si>
    <t>Prabaharan M</t>
  </si>
  <si>
    <t>Engineer - Project</t>
  </si>
  <si>
    <t>MCL1003</t>
  </si>
  <si>
    <t>Abdul Majeeth I</t>
  </si>
  <si>
    <t>MCL1005</t>
  </si>
  <si>
    <t>Aravindkumar P</t>
  </si>
  <si>
    <t>MCL1006</t>
  </si>
  <si>
    <t>Murugan M</t>
  </si>
  <si>
    <t>Senior Executive  - Stores</t>
  </si>
  <si>
    <t>MCL1008</t>
  </si>
  <si>
    <t>Muthukumarasamy K</t>
  </si>
  <si>
    <t>MCL1012</t>
  </si>
  <si>
    <t>Jitender Kumar Verma</t>
  </si>
  <si>
    <t>Executive - Human Resources</t>
  </si>
  <si>
    <t>MCL1015</t>
  </si>
  <si>
    <t>Abhishek Kumar</t>
  </si>
  <si>
    <t>Executive - IT</t>
  </si>
  <si>
    <t>MCL1016</t>
  </si>
  <si>
    <t>Parvatha Chandran VJ</t>
  </si>
  <si>
    <t>MCL1019</t>
  </si>
  <si>
    <t>Narayana Rao N V</t>
  </si>
  <si>
    <t>Manager - Contracts</t>
  </si>
  <si>
    <t>MCL1022</t>
  </si>
  <si>
    <t>Vivek S</t>
  </si>
  <si>
    <t>MCL1023</t>
  </si>
  <si>
    <t>P.Gopalakrishnan</t>
  </si>
  <si>
    <t>Head - Legal &amp; Corporate Affairs</t>
  </si>
  <si>
    <t>Legal &amp; Corporate Affairs</t>
  </si>
  <si>
    <t>MCL1024</t>
  </si>
  <si>
    <t>Vasudevan S</t>
  </si>
  <si>
    <t>Manager - MEP</t>
  </si>
  <si>
    <t>MCL1031</t>
  </si>
  <si>
    <t>Padmavathi M</t>
  </si>
  <si>
    <t>MCL1032</t>
  </si>
  <si>
    <t>Sridhar R</t>
  </si>
  <si>
    <t>Executive - Secretarial</t>
  </si>
  <si>
    <t>MCL1034</t>
  </si>
  <si>
    <t>Rajesh Kumar A</t>
  </si>
  <si>
    <t>Manager  - Sales</t>
  </si>
  <si>
    <t>MCL1036</t>
  </si>
  <si>
    <t>Jothimurugan</t>
  </si>
  <si>
    <t>MCL1037</t>
  </si>
  <si>
    <t>Elumalai M</t>
  </si>
  <si>
    <t>MCL1038</t>
  </si>
  <si>
    <t>Thiruvengadam K.S</t>
  </si>
  <si>
    <t>Manager - Administration</t>
  </si>
  <si>
    <t>MCL1042</t>
  </si>
  <si>
    <t>Arthi R</t>
  </si>
  <si>
    <t>Assistant Manager - Coordination</t>
  </si>
  <si>
    <t>MCL1044</t>
  </si>
  <si>
    <t>Kootha Perumal</t>
  </si>
  <si>
    <t>MCL1045</t>
  </si>
  <si>
    <t>Senthil Kumar K</t>
  </si>
  <si>
    <t>MCL1046</t>
  </si>
  <si>
    <t>Abdul Rahaman</t>
  </si>
  <si>
    <t>Assistant - Quality Control</t>
  </si>
  <si>
    <t>MCL1051</t>
  </si>
  <si>
    <t>Naresh Kumar R</t>
  </si>
  <si>
    <t>Sez</t>
  </si>
  <si>
    <t>MCL1052</t>
  </si>
  <si>
    <t>Uthayakumar P</t>
  </si>
  <si>
    <t>MCL1053</t>
  </si>
  <si>
    <t>Sundararajan R</t>
  </si>
  <si>
    <t>Senior Manager Purchase</t>
  </si>
  <si>
    <t>MCL1055</t>
  </si>
  <si>
    <t>Anik P Jain</t>
  </si>
  <si>
    <t>MCL1056</t>
  </si>
  <si>
    <t>Balamugunthan R</t>
  </si>
  <si>
    <t>Asst Engineer - Projects</t>
  </si>
  <si>
    <t>MCL1057</t>
  </si>
  <si>
    <t>Kalidoss</t>
  </si>
  <si>
    <t>MCL1058</t>
  </si>
  <si>
    <t>Chintamani Padhi</t>
  </si>
  <si>
    <t>MCL1059</t>
  </si>
  <si>
    <t>Kannan M</t>
  </si>
  <si>
    <t>MCL1060</t>
  </si>
  <si>
    <t>Kalirajan T</t>
  </si>
  <si>
    <t>MCL1061</t>
  </si>
  <si>
    <t>Mathivanan S</t>
  </si>
  <si>
    <t>SWD- Chennai</t>
  </si>
  <si>
    <t>MCL1062</t>
  </si>
  <si>
    <t>Guru Dharani Dhar</t>
  </si>
  <si>
    <t>MCL1063</t>
  </si>
  <si>
    <t>Sandeep Sharma</t>
  </si>
  <si>
    <t>MCL1067</t>
  </si>
  <si>
    <t>MCL1069</t>
  </si>
  <si>
    <t>Murugesan V</t>
  </si>
  <si>
    <t>Deputy Manager -  Accounts</t>
  </si>
  <si>
    <t>MCL1073</t>
  </si>
  <si>
    <t>Gopi V</t>
  </si>
  <si>
    <t>MCL1075</t>
  </si>
  <si>
    <t>Ganesan C</t>
  </si>
  <si>
    <t>MCL1076</t>
  </si>
  <si>
    <t>Economist</t>
  </si>
  <si>
    <t>MCL1082</t>
  </si>
  <si>
    <t>Irshad Ahmad</t>
  </si>
  <si>
    <t>MCL1083</t>
  </si>
  <si>
    <t>Kulbir Singh</t>
  </si>
  <si>
    <t>MCL1085</t>
  </si>
  <si>
    <t>Narayanan K</t>
  </si>
  <si>
    <t>MCL1086</t>
  </si>
  <si>
    <t>Sivasankar R</t>
  </si>
  <si>
    <t>MCL1087</t>
  </si>
  <si>
    <t>Petchi Muthu K</t>
  </si>
  <si>
    <t>Mahay</t>
  </si>
  <si>
    <t>MCL1088</t>
  </si>
  <si>
    <t>Gnanaprakasam A</t>
  </si>
  <si>
    <t>Manager - HSE</t>
  </si>
  <si>
    <t>Safety</t>
  </si>
  <si>
    <t>MCL1089</t>
  </si>
  <si>
    <t>MCL1091</t>
  </si>
  <si>
    <t>Abdul Jahir S</t>
  </si>
  <si>
    <t>MCL1094</t>
  </si>
  <si>
    <t>Gopinath Sundaram</t>
  </si>
  <si>
    <t>MCL1095</t>
  </si>
  <si>
    <t>Balaji Viswanathan</t>
  </si>
  <si>
    <t>Assistant Vice President - Marketing</t>
  </si>
  <si>
    <t>MCL1096</t>
  </si>
  <si>
    <t>Sandeep Gupta</t>
  </si>
  <si>
    <t>MCL1098</t>
  </si>
  <si>
    <t>Muruganantham G</t>
  </si>
  <si>
    <t>Tsunami</t>
  </si>
  <si>
    <t>MCL1099</t>
  </si>
  <si>
    <t>Ravi Anand</t>
  </si>
  <si>
    <t>Senior Manager-CIP</t>
  </si>
  <si>
    <t>MCL1100</t>
  </si>
  <si>
    <t>Arabshah AR</t>
  </si>
  <si>
    <t>MCL1104</t>
  </si>
  <si>
    <t>Ulrich Clement Louise</t>
  </si>
  <si>
    <t>MCL1105</t>
  </si>
  <si>
    <t>Anandan KS</t>
  </si>
  <si>
    <t>Senior Manager - Finance &amp; Accounts</t>
  </si>
  <si>
    <t>MCL1107</t>
  </si>
  <si>
    <t>Durai N</t>
  </si>
  <si>
    <t>MCL1108</t>
  </si>
  <si>
    <t>Ramana Reddy R</t>
  </si>
  <si>
    <t>MCL1110</t>
  </si>
  <si>
    <t>Ravi Prakash Srivastava</t>
  </si>
  <si>
    <t>Assistant Manager - HR</t>
  </si>
  <si>
    <t>MCL1113</t>
  </si>
  <si>
    <t>Steephans ML</t>
  </si>
  <si>
    <t>MCL1114</t>
  </si>
  <si>
    <t>Revathy S</t>
  </si>
  <si>
    <t>Executive-HR</t>
  </si>
  <si>
    <t>Executive - HR</t>
  </si>
  <si>
    <t>MCL1117</t>
  </si>
  <si>
    <t>Paritosh Kumar</t>
  </si>
  <si>
    <t>Senior Executive - IT</t>
  </si>
  <si>
    <t>MCL1118</t>
  </si>
  <si>
    <t>Kandasamy N</t>
  </si>
  <si>
    <t>MCL1120</t>
  </si>
  <si>
    <t>Kaja Mohammed S</t>
  </si>
  <si>
    <t>MCL1124</t>
  </si>
  <si>
    <t>Baskar P</t>
  </si>
  <si>
    <t>Assistant Executive</t>
  </si>
  <si>
    <t>MCL1126</t>
  </si>
  <si>
    <t>Akshay Sharma</t>
  </si>
  <si>
    <t>Senior Executive - HR</t>
  </si>
  <si>
    <t>MCL1127</t>
  </si>
  <si>
    <t>Raj Kamal Yadav</t>
  </si>
  <si>
    <t>MCL1128</t>
  </si>
  <si>
    <t>Arunava Raha</t>
  </si>
  <si>
    <t>Noida</t>
  </si>
  <si>
    <t>MCL1129</t>
  </si>
  <si>
    <t>Shobana</t>
  </si>
  <si>
    <t>MCL1132</t>
  </si>
  <si>
    <t>Satyajit Pattnaik</t>
  </si>
  <si>
    <t>Senior Executive- Admin</t>
  </si>
  <si>
    <t>MCL1134</t>
  </si>
  <si>
    <t>Loganathan V</t>
  </si>
  <si>
    <t>Assistant Executive - Logistics</t>
  </si>
  <si>
    <t>MCL1135</t>
  </si>
  <si>
    <t>Natarajan R</t>
  </si>
  <si>
    <t>Manager- Finance &amp; Accounts</t>
  </si>
  <si>
    <t>MCL1136</t>
  </si>
  <si>
    <t>Dilip Kumar Singh</t>
  </si>
  <si>
    <t>Head - Corporate Affairs</t>
  </si>
  <si>
    <t>MCL1138</t>
  </si>
  <si>
    <t>Elango P N</t>
  </si>
  <si>
    <t>Salem</t>
  </si>
  <si>
    <t>MCL1140</t>
  </si>
  <si>
    <t>Mahendra Prasad</t>
  </si>
  <si>
    <t>Deputy Manger - HR</t>
  </si>
  <si>
    <t>MCL1144</t>
  </si>
  <si>
    <t>Abhishek Khandelwal</t>
  </si>
  <si>
    <t>Deputy General Manager - Funding</t>
  </si>
  <si>
    <t>MCL1146</t>
  </si>
  <si>
    <t>Sabarinathan P</t>
  </si>
  <si>
    <t>MCL1147</t>
  </si>
  <si>
    <t>Asokan RV</t>
  </si>
  <si>
    <t>MCL1150</t>
  </si>
  <si>
    <t>Sadhiq Basha S</t>
  </si>
  <si>
    <t>MCL1152</t>
  </si>
  <si>
    <t>Venkataramani</t>
  </si>
  <si>
    <t>MCL1154</t>
  </si>
  <si>
    <t>Punniyamoorthy N</t>
  </si>
  <si>
    <t>MCL1155</t>
  </si>
  <si>
    <t>Veeraragavan M</t>
  </si>
  <si>
    <t>MCL1156</t>
  </si>
  <si>
    <t>Shanthi Baskar</t>
  </si>
  <si>
    <t>Project Assistant</t>
  </si>
  <si>
    <t>MCL1157</t>
  </si>
  <si>
    <t>Pandiarajan S</t>
  </si>
  <si>
    <t>Deputy Manager -  Projects</t>
  </si>
  <si>
    <t>MCL1158</t>
  </si>
  <si>
    <t>Jayakumar C</t>
  </si>
  <si>
    <t>MCL1159</t>
  </si>
  <si>
    <t>Anandharajan N</t>
  </si>
  <si>
    <t>Junior Engineer - QA/QC</t>
  </si>
  <si>
    <t>MCL1160</t>
  </si>
  <si>
    <t>Prabu Ananth B</t>
  </si>
  <si>
    <t>Deputy Manager - PLC &amp; Automation</t>
  </si>
  <si>
    <t>MCL1161</t>
  </si>
  <si>
    <t>Senthil Kumar T</t>
  </si>
  <si>
    <t>Deputy Manager - Maintenance</t>
  </si>
  <si>
    <t>MCL1163</t>
  </si>
  <si>
    <t>Muthu Kumar N</t>
  </si>
  <si>
    <t xml:space="preserve">Sr.Executive - HR </t>
  </si>
  <si>
    <t>MCL1164</t>
  </si>
  <si>
    <t>Raja B</t>
  </si>
  <si>
    <t>MCL1166</t>
  </si>
  <si>
    <t>Ulaganathan A</t>
  </si>
  <si>
    <t>MCL1170</t>
  </si>
  <si>
    <t>Ganesh G</t>
  </si>
  <si>
    <t>MCL1171</t>
  </si>
  <si>
    <t>Balaram V</t>
  </si>
  <si>
    <t>Deputy General Manager - HR</t>
  </si>
  <si>
    <t>MCL1172</t>
  </si>
  <si>
    <t>Amol Vidwans</t>
  </si>
  <si>
    <t>Head IT</t>
  </si>
  <si>
    <t>MCL1178</t>
  </si>
  <si>
    <t>Shivakumar KBV</t>
  </si>
  <si>
    <t>MCL1180</t>
  </si>
  <si>
    <t>Prannoy Kumar</t>
  </si>
  <si>
    <t>MCL1181</t>
  </si>
  <si>
    <t>Vinay Kumar TV</t>
  </si>
  <si>
    <t>MCL1186</t>
  </si>
  <si>
    <t>Suresh Kumar</t>
  </si>
  <si>
    <t>MCL1188</t>
  </si>
  <si>
    <t>Imam Shahul Hameed M</t>
  </si>
  <si>
    <t>MCL1189</t>
  </si>
  <si>
    <t>Kesavan M</t>
  </si>
  <si>
    <t>Senior Land Surveyor</t>
  </si>
  <si>
    <t>MCL1190</t>
  </si>
  <si>
    <t>Arivudai Nambi G</t>
  </si>
  <si>
    <t>MCL1191</t>
  </si>
  <si>
    <t>Manish Agnihothri</t>
  </si>
  <si>
    <t>Manager - Business Development</t>
  </si>
  <si>
    <t>MCL1193</t>
  </si>
  <si>
    <t>Gowthaman R</t>
  </si>
  <si>
    <t>Assistant Manager - Railways</t>
  </si>
  <si>
    <t>MCL1196</t>
  </si>
  <si>
    <t>Sayantan Dey</t>
  </si>
  <si>
    <t>MCL1197</t>
  </si>
  <si>
    <t>Sreelalitha</t>
  </si>
  <si>
    <t>Accounts &amp; Finance</t>
  </si>
  <si>
    <t>MCL1199</t>
  </si>
  <si>
    <t>Ramesh B</t>
  </si>
  <si>
    <t>Assistant Manager - Plant &amp; Machinery</t>
  </si>
  <si>
    <t>MCL1200</t>
  </si>
  <si>
    <t>Jayakumar P</t>
  </si>
  <si>
    <t>Engineer P &amp; M</t>
  </si>
  <si>
    <t>MCL1202</t>
  </si>
  <si>
    <t>MCL1205</t>
  </si>
  <si>
    <t>Adinarayana A</t>
  </si>
  <si>
    <t>Manager - Dredging Operations</t>
  </si>
  <si>
    <t>MCL1207</t>
  </si>
  <si>
    <t>Venkatesan R</t>
  </si>
  <si>
    <t>MCL1209</t>
  </si>
  <si>
    <t>Sankar Ganesh S</t>
  </si>
  <si>
    <t>MCL1210</t>
  </si>
  <si>
    <t>Ulaganathan N</t>
  </si>
  <si>
    <t>MCL1211</t>
  </si>
  <si>
    <t>Elangovan S</t>
  </si>
  <si>
    <t>Audit</t>
  </si>
  <si>
    <t>MCL1212</t>
  </si>
  <si>
    <t>Balamanigandan S</t>
  </si>
  <si>
    <t>Site Accountant</t>
  </si>
  <si>
    <t>MCL1213</t>
  </si>
  <si>
    <t>Prashanthi AL</t>
  </si>
  <si>
    <t>MCL1218</t>
  </si>
  <si>
    <t>Rakesh L</t>
  </si>
  <si>
    <t>MCL1219</t>
  </si>
  <si>
    <t>Poonam Hingoranai</t>
  </si>
  <si>
    <t>MADHYA PRADESH</t>
  </si>
  <si>
    <t>MCL1220</t>
  </si>
  <si>
    <t>Arun Melville S</t>
  </si>
  <si>
    <t>MCL1222</t>
  </si>
  <si>
    <t>Amarnath H</t>
  </si>
  <si>
    <t>MCL1224</t>
  </si>
  <si>
    <t>Jegan R</t>
  </si>
  <si>
    <t>MCL1225</t>
  </si>
  <si>
    <t>Christy Santhanam G</t>
  </si>
  <si>
    <t>Senior Engineer - MEP</t>
  </si>
  <si>
    <t>MCL1228</t>
  </si>
  <si>
    <t>Nallendra Pandian</t>
  </si>
  <si>
    <t>MCL1236</t>
  </si>
  <si>
    <t>Gurpreet Singh Bawa</t>
  </si>
  <si>
    <t>MCL1237</t>
  </si>
  <si>
    <t>Kamlesh Tripathi</t>
  </si>
  <si>
    <t>MCL1238</t>
  </si>
  <si>
    <t>Virendra Narayan Tripathi</t>
  </si>
  <si>
    <t>MCL1245</t>
  </si>
  <si>
    <t>Srinath Rangarajan</t>
  </si>
  <si>
    <t>MCL1247</t>
  </si>
  <si>
    <t>Mugunthan P</t>
  </si>
  <si>
    <t>Cargo Officer</t>
  </si>
  <si>
    <t>MCL1248</t>
  </si>
  <si>
    <t>Ravichandran V</t>
  </si>
  <si>
    <t>MCL1254</t>
  </si>
  <si>
    <t>Suganth C</t>
  </si>
  <si>
    <t>MCL1256</t>
  </si>
  <si>
    <t>Iyappan S</t>
  </si>
  <si>
    <t>MCL1258</t>
  </si>
  <si>
    <t>Balamurugan R</t>
  </si>
  <si>
    <t>MCL1259</t>
  </si>
  <si>
    <t>Nandha Kumar R</t>
  </si>
  <si>
    <t>MCL1260</t>
  </si>
  <si>
    <t>Anand Anil U</t>
  </si>
  <si>
    <t>Salem STP</t>
  </si>
  <si>
    <t>MCL1264</t>
  </si>
  <si>
    <t>Reddy Krishna K</t>
  </si>
  <si>
    <t>MCL1268</t>
  </si>
  <si>
    <t>Lalitha Reddy R</t>
  </si>
  <si>
    <t>MCL1272</t>
  </si>
  <si>
    <t>Manikandan M</t>
  </si>
  <si>
    <t xml:space="preserve">Electrical </t>
  </si>
  <si>
    <t>MCL1283</t>
  </si>
  <si>
    <t>Edwin S</t>
  </si>
  <si>
    <t>MCL1284</t>
  </si>
  <si>
    <t>Cerys Alemao</t>
  </si>
  <si>
    <t>MCL1285</t>
  </si>
  <si>
    <t>Gopu L</t>
  </si>
  <si>
    <t>Junior Engineer - Survey</t>
  </si>
  <si>
    <t>Surveyor</t>
  </si>
  <si>
    <t>MCL1287</t>
  </si>
  <si>
    <t>Surendran Venkatakrishnan</t>
  </si>
  <si>
    <t>Senior Executive - Project Coordination</t>
  </si>
  <si>
    <t>MCL1288</t>
  </si>
  <si>
    <t>Hamoneth Joesun J</t>
  </si>
  <si>
    <t>Junior Engineer - Environment</t>
  </si>
  <si>
    <t>Environment</t>
  </si>
  <si>
    <t>MCL1289</t>
  </si>
  <si>
    <t>Satheesh Babu</t>
  </si>
  <si>
    <t>Assistant General Manager - Project Planning</t>
  </si>
  <si>
    <t>MCL1291</t>
  </si>
  <si>
    <t>MCL1292</t>
  </si>
  <si>
    <t>Ramoo R</t>
  </si>
  <si>
    <t>MCL1294</t>
  </si>
  <si>
    <t>Sujeen Praneesh M A</t>
  </si>
  <si>
    <t>MCL1297</t>
  </si>
  <si>
    <t>Murali P</t>
  </si>
  <si>
    <t>MCL1298</t>
  </si>
  <si>
    <t>Mohamed Nizam E</t>
  </si>
  <si>
    <t>MCL1300</t>
  </si>
  <si>
    <t>Zanasakthi M</t>
  </si>
  <si>
    <t>MCL1301</t>
  </si>
  <si>
    <t>Gopal MS</t>
  </si>
  <si>
    <t>MCL1303</t>
  </si>
  <si>
    <t xml:space="preserve">Capt K.N.Ramesh </t>
  </si>
  <si>
    <t>CEO - Dredging &amp; Logistics</t>
  </si>
  <si>
    <t>Dredging &amp; Logistics</t>
  </si>
  <si>
    <t>MCL1304</t>
  </si>
  <si>
    <t>Ashokrajakumar V</t>
  </si>
  <si>
    <t>MCL1308</t>
  </si>
  <si>
    <t>MCL1309</t>
  </si>
  <si>
    <t>Venkadasamy SNR</t>
  </si>
  <si>
    <t>Manager - Tendering</t>
  </si>
  <si>
    <t>MCL1312</t>
  </si>
  <si>
    <t>Landa Naresh</t>
  </si>
  <si>
    <t>Fire Officer</t>
  </si>
  <si>
    <t>MCL1314</t>
  </si>
  <si>
    <t>Raja Emerson Tagore</t>
  </si>
  <si>
    <t>MCL1316</t>
  </si>
  <si>
    <t>Vijayabaskar S</t>
  </si>
  <si>
    <t>Assistant Crane Operator</t>
  </si>
  <si>
    <t>MCL1317</t>
  </si>
  <si>
    <t>Immanuel Arokia Raj</t>
  </si>
  <si>
    <t>HSE</t>
  </si>
  <si>
    <t>MCL1319</t>
  </si>
  <si>
    <t>Anandhy V</t>
  </si>
  <si>
    <t>Executive - CSR</t>
  </si>
  <si>
    <t>MCL1320</t>
  </si>
  <si>
    <t>Ameer A</t>
  </si>
  <si>
    <t>Deputy Manager  - HR</t>
  </si>
  <si>
    <t>MCL1321</t>
  </si>
  <si>
    <t>Rathish M</t>
  </si>
  <si>
    <t>MCL1322</t>
  </si>
  <si>
    <t>Vaqar Nusrat</t>
  </si>
  <si>
    <t>Deputy General Manager - Corporate Finance</t>
  </si>
  <si>
    <t>MCL1323</t>
  </si>
  <si>
    <t>Suresh V</t>
  </si>
  <si>
    <t>MCL1326</t>
  </si>
  <si>
    <t>Josuvachinta</t>
  </si>
  <si>
    <t>MCL1327</t>
  </si>
  <si>
    <t>Zeennat Mulla</t>
  </si>
  <si>
    <t>MCL1328</t>
  </si>
  <si>
    <t>MCL1329</t>
  </si>
  <si>
    <t>Pazhanivel S</t>
  </si>
  <si>
    <t>Srinivasan G</t>
  </si>
  <si>
    <t>MCL1331</t>
  </si>
  <si>
    <t>Sujeeth R</t>
  </si>
  <si>
    <t>MCL1333</t>
  </si>
  <si>
    <t>Vivekananthan SG</t>
  </si>
  <si>
    <t>MCL1335</t>
  </si>
  <si>
    <t>Swetha B</t>
  </si>
  <si>
    <t>MCL1336</t>
  </si>
  <si>
    <t>Suresh Kumar P</t>
  </si>
  <si>
    <t>MCL1337</t>
  </si>
  <si>
    <t>Sathya B</t>
  </si>
  <si>
    <t>MCL1339</t>
  </si>
  <si>
    <t>Rajalingam T</t>
  </si>
  <si>
    <t>Deputy General Manager - Roads</t>
  </si>
  <si>
    <t>Highways</t>
  </si>
  <si>
    <t>SWD , Chennai</t>
  </si>
  <si>
    <t>MCL1341</t>
  </si>
  <si>
    <t>Ram Mohan T</t>
  </si>
  <si>
    <t>MCL1342</t>
  </si>
  <si>
    <t>Lakshmi Narayanan K</t>
  </si>
  <si>
    <t>Brindavan</t>
  </si>
  <si>
    <t>MCL1343</t>
  </si>
  <si>
    <t>Venkhatesh US</t>
  </si>
  <si>
    <t>Manager - Funding</t>
  </si>
  <si>
    <t>MCL1345</t>
  </si>
  <si>
    <t>Krishna Moorthi E</t>
  </si>
  <si>
    <t>MCL1346</t>
  </si>
  <si>
    <t>MCL1347</t>
  </si>
  <si>
    <t>Ramesh D</t>
  </si>
  <si>
    <t>MCL1348</t>
  </si>
  <si>
    <t>Srinivasan V E</t>
  </si>
  <si>
    <t>MCL1351</t>
  </si>
  <si>
    <t>Premangshu Bhowmick</t>
  </si>
  <si>
    <t>CSO</t>
  </si>
  <si>
    <t>MCL1353</t>
  </si>
  <si>
    <t>Sudhakar D</t>
  </si>
  <si>
    <t>MCL1361</t>
  </si>
  <si>
    <t>Elayaraja R</t>
  </si>
  <si>
    <t>MCL1362</t>
  </si>
  <si>
    <t>James P</t>
  </si>
  <si>
    <t>Senior Executive - Stores</t>
  </si>
  <si>
    <t>MCL1363</t>
  </si>
  <si>
    <t>Ramesh Kumar R</t>
  </si>
  <si>
    <t>Assistant Manager - Safety</t>
  </si>
  <si>
    <t>MCL1364</t>
  </si>
  <si>
    <t>Atul Raja</t>
  </si>
  <si>
    <t>Group Vice President - Corp Comm Group</t>
  </si>
  <si>
    <t>MCL1365</t>
  </si>
  <si>
    <t>Anish Ravindran</t>
  </si>
  <si>
    <t>Trichy</t>
  </si>
  <si>
    <t>MCL1368</t>
  </si>
  <si>
    <t>Mukesh Kumar Chaubey</t>
  </si>
  <si>
    <t>MCL1369</t>
  </si>
  <si>
    <t>Kaushal Kumar</t>
  </si>
  <si>
    <t>MCL1371</t>
  </si>
  <si>
    <t>Anuranjan Kumar Singh</t>
  </si>
  <si>
    <t>MCL1372</t>
  </si>
  <si>
    <t>Raj Kumar Garg</t>
  </si>
  <si>
    <t>Executive - Purchase</t>
  </si>
  <si>
    <t>MCL1373</t>
  </si>
  <si>
    <t>Sudipta Kumar Nayak</t>
  </si>
  <si>
    <t>Senior Executive - Server Admin</t>
  </si>
  <si>
    <t>MCL1376</t>
  </si>
  <si>
    <t>Mukesh Kumar Bisht</t>
  </si>
  <si>
    <t>MCL1385</t>
  </si>
  <si>
    <t>Venkataraman AS</t>
  </si>
  <si>
    <t>MCL1378</t>
  </si>
  <si>
    <t>Seyed Mohamed MT</t>
  </si>
  <si>
    <t>MCL1381</t>
  </si>
  <si>
    <t>Selvakumar MG</t>
  </si>
  <si>
    <t>Assistant Manager - Admin</t>
  </si>
  <si>
    <t>MCL1382</t>
  </si>
  <si>
    <t>Sivakumar G</t>
  </si>
  <si>
    <t>Senior Business Analyst - Finance</t>
  </si>
  <si>
    <t>MCL1383</t>
  </si>
  <si>
    <t>Palaniyappa B</t>
  </si>
  <si>
    <t>MCL1384</t>
  </si>
  <si>
    <t>Kanstan M</t>
  </si>
  <si>
    <t>MCL1386</t>
  </si>
  <si>
    <t>Vallikannan AT</t>
  </si>
  <si>
    <t>MCL1391</t>
  </si>
  <si>
    <t>Jai Prabhu CS</t>
  </si>
  <si>
    <t>Assistant Manager - Recruitment</t>
  </si>
  <si>
    <t>MCL1392</t>
  </si>
  <si>
    <t>Thangaraj V</t>
  </si>
  <si>
    <t>MCL1393</t>
  </si>
  <si>
    <t>Mathusuthanan B</t>
  </si>
  <si>
    <t>MCL1394</t>
  </si>
  <si>
    <t>Tamil Oliyan J</t>
  </si>
  <si>
    <t>MEP</t>
  </si>
  <si>
    <t>MCL1396</t>
  </si>
  <si>
    <t>Radhakrishnan V</t>
  </si>
  <si>
    <t>General Manager - Planning</t>
  </si>
  <si>
    <t>MCL1398</t>
  </si>
  <si>
    <t>Muruganathan KV</t>
  </si>
  <si>
    <t>Senior Manager - Information Security</t>
  </si>
  <si>
    <t>MCL1399</t>
  </si>
  <si>
    <t>Rangapriya Goutham</t>
  </si>
  <si>
    <t>MCL1400</t>
  </si>
  <si>
    <t>Mohan A</t>
  </si>
  <si>
    <t>MCL1404</t>
  </si>
  <si>
    <t>Nittin Rajiv Durai A</t>
  </si>
  <si>
    <t>MCL1405</t>
  </si>
  <si>
    <t>Balan R</t>
  </si>
  <si>
    <t>MCL1406</t>
  </si>
  <si>
    <t xml:space="preserve">Leo Prabhu </t>
  </si>
  <si>
    <t>Deputy Manager - Operations</t>
  </si>
  <si>
    <t>MCL1409</t>
  </si>
  <si>
    <t>Rajendra Bahadur Sonker</t>
  </si>
  <si>
    <t>Engineer - Electrical &amp; Mechanical</t>
  </si>
  <si>
    <t>MCL1410</t>
  </si>
  <si>
    <t>Ajit Kumar Paswan</t>
  </si>
  <si>
    <t>MCL1413</t>
  </si>
  <si>
    <t>Aravindthan T</t>
  </si>
  <si>
    <t>MCL1414</t>
  </si>
  <si>
    <t>Appalaswamy Naidu</t>
  </si>
  <si>
    <t>MCL1416</t>
  </si>
  <si>
    <t>Rama VS</t>
  </si>
  <si>
    <t>MCL1417</t>
  </si>
  <si>
    <t>Dharanidharan D</t>
  </si>
  <si>
    <t>MCL1421</t>
  </si>
  <si>
    <t>Kaliraj S</t>
  </si>
  <si>
    <t>Assistant Engineer - QC</t>
  </si>
  <si>
    <t>MCL1422</t>
  </si>
  <si>
    <t>Raneesh KP</t>
  </si>
  <si>
    <t>MCL1425</t>
  </si>
  <si>
    <t>Michael Jonas S</t>
  </si>
  <si>
    <t>MCL1428</t>
  </si>
  <si>
    <t>Radha Vijayaraghavan</t>
  </si>
  <si>
    <t>Deputy General Manager - Insurance</t>
  </si>
  <si>
    <t>MCL1429</t>
  </si>
  <si>
    <t>Harshad Joshi</t>
  </si>
  <si>
    <t>General Manager - Systems &amp; Operations</t>
  </si>
  <si>
    <t>MCL1431</t>
  </si>
  <si>
    <t>Chinnasamy R</t>
  </si>
  <si>
    <t>Assistant Engineer - Roads</t>
  </si>
  <si>
    <t>MCL1432</t>
  </si>
  <si>
    <t>Raghavan D</t>
  </si>
  <si>
    <t>General Manager - Finance (SAP)</t>
  </si>
  <si>
    <t>MCL1439</t>
  </si>
  <si>
    <t>Sunder Rao K</t>
  </si>
  <si>
    <t>Vice President - Commercial</t>
  </si>
  <si>
    <t>MCL1440</t>
  </si>
  <si>
    <t>Balamurugan M</t>
  </si>
  <si>
    <t>MCL1441</t>
  </si>
  <si>
    <t>Mahalakshmi K</t>
  </si>
  <si>
    <t>MCL1443</t>
  </si>
  <si>
    <t>Chandrasekaran M</t>
  </si>
  <si>
    <t>MCL1444</t>
  </si>
  <si>
    <t>Capt. Thiyagarajan K</t>
  </si>
  <si>
    <t>General Manager - Cargo Operations</t>
  </si>
  <si>
    <t>MCL1446</t>
  </si>
  <si>
    <t>Anandh M</t>
  </si>
  <si>
    <t>Assistant Engineer - HVAC</t>
  </si>
  <si>
    <t>MCL1447</t>
  </si>
  <si>
    <t>Karunamurthy C</t>
  </si>
  <si>
    <t>MCL1448</t>
  </si>
  <si>
    <t>Thirumurthy D</t>
  </si>
  <si>
    <t>sales</t>
  </si>
  <si>
    <t>MCL1450</t>
  </si>
  <si>
    <t>Arun Kumar B</t>
  </si>
  <si>
    <t>Senior Executive - Secretarial</t>
  </si>
  <si>
    <t>MCL1451</t>
  </si>
  <si>
    <t>Joseph Sahayarajan J</t>
  </si>
  <si>
    <t>MCL1454</t>
  </si>
  <si>
    <t>Gunasekaran P</t>
  </si>
  <si>
    <t>MCL1460</t>
  </si>
  <si>
    <t>Ananda Kumar K</t>
  </si>
  <si>
    <t>MCL1461</t>
  </si>
  <si>
    <t>Suseelan P</t>
  </si>
  <si>
    <t>MCL1462</t>
  </si>
  <si>
    <t>Subbiyan PV</t>
  </si>
  <si>
    <t>Assistant Vice President - Contracts</t>
  </si>
  <si>
    <t>MCL1464</t>
  </si>
  <si>
    <t>Suryanarayana B</t>
  </si>
  <si>
    <t>MCL1465</t>
  </si>
  <si>
    <t>Bhavani shankar</t>
  </si>
  <si>
    <t>Assistant Vice President - HR</t>
  </si>
  <si>
    <t>MCL1466</t>
  </si>
  <si>
    <t>Shripad S Joshi</t>
  </si>
  <si>
    <t>MCL1468</t>
  </si>
  <si>
    <t>Durai Murugan PVK</t>
  </si>
  <si>
    <t>legal</t>
  </si>
  <si>
    <t>MCL1469</t>
  </si>
  <si>
    <t>Poonacha PB</t>
  </si>
  <si>
    <t>General Manager - Technical</t>
  </si>
  <si>
    <t>MCL1472</t>
  </si>
  <si>
    <t>Mohan K</t>
  </si>
  <si>
    <t>Senior Engineer-Projects</t>
  </si>
  <si>
    <t>MCL1476</t>
  </si>
  <si>
    <t>Petchi Muthu C</t>
  </si>
  <si>
    <t>Assistant Engineer-Projects</t>
  </si>
  <si>
    <t>MCL1478</t>
  </si>
  <si>
    <t>Deepa J</t>
  </si>
  <si>
    <t>MCL1479</t>
  </si>
  <si>
    <t>MCL1480</t>
  </si>
  <si>
    <t>Ponnan J</t>
  </si>
  <si>
    <t>Manager -Projects</t>
  </si>
  <si>
    <t>MCL1482</t>
  </si>
  <si>
    <t>Muthuratnam S</t>
  </si>
  <si>
    <t>Deputy General Manager - Electrical</t>
  </si>
  <si>
    <t>MCL1483</t>
  </si>
  <si>
    <t>Raja Thamilmallan S</t>
  </si>
  <si>
    <t>Assistant Engineer -Projects</t>
  </si>
  <si>
    <t>MCL1485</t>
  </si>
  <si>
    <t>Venkatesan V</t>
  </si>
  <si>
    <t>MCL1488</t>
  </si>
  <si>
    <t>Vinothkumar S</t>
  </si>
  <si>
    <t>Engineer -Projects</t>
  </si>
  <si>
    <t>MCL1489</t>
  </si>
  <si>
    <t>Pranayajit Mohapatra</t>
  </si>
  <si>
    <t>Executive -Accounts</t>
  </si>
  <si>
    <t>MCL1490</t>
  </si>
  <si>
    <t>Ganesan J</t>
  </si>
  <si>
    <t>MCL1491</t>
  </si>
  <si>
    <t>Prabhu K</t>
  </si>
  <si>
    <t>Executive-Stores</t>
  </si>
  <si>
    <t>MCL1492</t>
  </si>
  <si>
    <t>Padmanaban V</t>
  </si>
  <si>
    <t>Senior Engineer -Projects</t>
  </si>
  <si>
    <t>MCL1493</t>
  </si>
  <si>
    <t>Senthil S</t>
  </si>
  <si>
    <t>MCL1494</t>
  </si>
  <si>
    <t>Anbu K</t>
  </si>
  <si>
    <t>Senior Executive -Stores</t>
  </si>
  <si>
    <t>MCL1495</t>
  </si>
  <si>
    <t>Sathya Raj S</t>
  </si>
  <si>
    <t>MCL1497</t>
  </si>
  <si>
    <t>Mareeswaran A</t>
  </si>
  <si>
    <t>Assistant Engineer - Surveyor</t>
  </si>
  <si>
    <t>MCL1498</t>
  </si>
  <si>
    <t>Arun S</t>
  </si>
  <si>
    <t>MCL1500</t>
  </si>
  <si>
    <t>Ganesshram AP</t>
  </si>
  <si>
    <t>Chief Executive Officer - NCTPL &amp; SAI</t>
  </si>
  <si>
    <t>NCTPL &amp; SAI</t>
  </si>
  <si>
    <t>MCL1502</t>
  </si>
  <si>
    <t>Somasundaram T</t>
  </si>
  <si>
    <t>General Manager - Finance &amp; Accounts</t>
  </si>
  <si>
    <t>MCL1504</t>
  </si>
  <si>
    <t>Nagarajan B</t>
  </si>
  <si>
    <t>MCL1506</t>
  </si>
  <si>
    <t>Ramesh V</t>
  </si>
  <si>
    <t>Senior Executive - Business Analyst</t>
  </si>
  <si>
    <t>MCL1507</t>
  </si>
  <si>
    <t>Ganesh B</t>
  </si>
  <si>
    <t>MCL1509</t>
  </si>
  <si>
    <t>Gavaskar M</t>
  </si>
  <si>
    <t>MCL1510</t>
  </si>
  <si>
    <t>Subramaniyan G</t>
  </si>
  <si>
    <t>MCL1513</t>
  </si>
  <si>
    <t>Sandy T S</t>
  </si>
  <si>
    <t>Assistant General Manager - Project Finance</t>
  </si>
  <si>
    <t>MCL1514</t>
  </si>
  <si>
    <t>Stalin M</t>
  </si>
  <si>
    <t>MCL1515</t>
  </si>
  <si>
    <t>Assistant Manager - Horticulture</t>
  </si>
  <si>
    <t>MCL1516</t>
  </si>
  <si>
    <t>Vinaitheerthan VS</t>
  </si>
  <si>
    <t>Vice President - Projects</t>
  </si>
  <si>
    <t>MCL1517</t>
  </si>
  <si>
    <t>Raja Sekhar Kowtha</t>
  </si>
  <si>
    <t>Manager - IR &amp; Welfare</t>
  </si>
  <si>
    <t>MCL1519</t>
  </si>
  <si>
    <t>Prasad P</t>
  </si>
  <si>
    <t>MCL1520</t>
  </si>
  <si>
    <t>Satish Singampalli</t>
  </si>
  <si>
    <t>MCL1521</t>
  </si>
  <si>
    <t>Balachandar R</t>
  </si>
  <si>
    <t>Assistant Manager - Design</t>
  </si>
  <si>
    <t>MCL1522</t>
  </si>
  <si>
    <t>Suresh Kumar A</t>
  </si>
  <si>
    <t>MCL1525</t>
  </si>
  <si>
    <t>Vignesh J</t>
  </si>
  <si>
    <t>MCL1526</t>
  </si>
  <si>
    <t>Pooja Singh</t>
  </si>
  <si>
    <t>Manager Key Account</t>
  </si>
  <si>
    <t>Corporate Sales</t>
  </si>
  <si>
    <t>MCL1527</t>
  </si>
  <si>
    <t xml:space="preserve">Paul Arun </t>
  </si>
  <si>
    <t>MCL1528</t>
  </si>
  <si>
    <t>Sankar Babu V</t>
  </si>
  <si>
    <t>MCL1530</t>
  </si>
  <si>
    <t>Vasudevan R</t>
  </si>
  <si>
    <t>MCL1531</t>
  </si>
  <si>
    <t>Venkatesh Veeraraghavan</t>
  </si>
  <si>
    <t>Manager - Architect</t>
  </si>
  <si>
    <t>MCL1532</t>
  </si>
  <si>
    <t>Rajmohan R</t>
  </si>
  <si>
    <t>MCL1533</t>
  </si>
  <si>
    <t>Senthilkumar P</t>
  </si>
  <si>
    <t xml:space="preserve">Bondhur Site </t>
  </si>
  <si>
    <t>MCL1534</t>
  </si>
  <si>
    <t>Vinod Kumar Tulsian</t>
  </si>
  <si>
    <t>Senior Executive - Purchase</t>
  </si>
  <si>
    <t>MCL1535</t>
  </si>
  <si>
    <t>Shashi Kumar</t>
  </si>
  <si>
    <t>Senior Manager - MEP</t>
  </si>
  <si>
    <t>MCL1536</t>
  </si>
  <si>
    <t>Sameer Kumar Shukla</t>
  </si>
  <si>
    <t>MCL1538</t>
  </si>
  <si>
    <t>John Kennedy Gomez</t>
  </si>
  <si>
    <t>MCL1540</t>
  </si>
  <si>
    <t>Vasanthan G</t>
  </si>
  <si>
    <t>MCL1541</t>
  </si>
  <si>
    <t>Joe Paulson A</t>
  </si>
  <si>
    <t>General Manager  -  Contracts Management</t>
  </si>
  <si>
    <t>MCL1542</t>
  </si>
  <si>
    <t>Namasivayam N</t>
  </si>
  <si>
    <t>MCL1543</t>
  </si>
  <si>
    <t>Ranjith Kumar K</t>
  </si>
  <si>
    <t>MCL1544</t>
  </si>
  <si>
    <t>Venkatesh K</t>
  </si>
  <si>
    <t>MCL1546</t>
  </si>
  <si>
    <t>Sathya Sivakkumar</t>
  </si>
  <si>
    <t>Manager - Civil</t>
  </si>
  <si>
    <t>MCL1547</t>
  </si>
  <si>
    <t>MCL1548</t>
  </si>
  <si>
    <t>Sreenivasan R</t>
  </si>
  <si>
    <t>Senior Executive  - Admin</t>
  </si>
  <si>
    <t>MCL1550</t>
  </si>
  <si>
    <t>Dhanam Jayan BL</t>
  </si>
  <si>
    <t>MCL1551</t>
  </si>
  <si>
    <t>Ananda Prakash S</t>
  </si>
  <si>
    <t>MCL1554</t>
  </si>
  <si>
    <t>Garima Jantwal</t>
  </si>
  <si>
    <t>MCL1555</t>
  </si>
  <si>
    <t>Elango C</t>
  </si>
  <si>
    <t>Manager - Compliance</t>
  </si>
  <si>
    <t>MCL1556</t>
  </si>
  <si>
    <t>Ramakrishna Rao B</t>
  </si>
  <si>
    <t>General Manager - MEP</t>
  </si>
  <si>
    <t>MCL1557</t>
  </si>
  <si>
    <t>Jeya Tharmaseelan RT</t>
  </si>
  <si>
    <t>MCL1558</t>
  </si>
  <si>
    <t>Babu Sridhar M</t>
  </si>
  <si>
    <t>MCL1560</t>
  </si>
  <si>
    <t>Chitravel M</t>
  </si>
  <si>
    <t>PADCO,Pondy</t>
  </si>
  <si>
    <t>MCL1561</t>
  </si>
  <si>
    <t>Jobin John Philip</t>
  </si>
  <si>
    <t>Junior Engineer - P &amp; M</t>
  </si>
  <si>
    <t>MCL1563</t>
  </si>
  <si>
    <t>Uthirakumar K</t>
  </si>
  <si>
    <t>MCL1565</t>
  </si>
  <si>
    <t>Ahamed Ramali S</t>
  </si>
  <si>
    <t>Junior Executive - Commercial</t>
  </si>
  <si>
    <t>MCL1569</t>
  </si>
  <si>
    <t>Vijay R</t>
  </si>
  <si>
    <t>MCL1570</t>
  </si>
  <si>
    <t>Srikant Ramana Ika</t>
  </si>
  <si>
    <t>Assistant Vice President - Administration</t>
  </si>
  <si>
    <t>MCL1572</t>
  </si>
  <si>
    <t>Karthikeyan C</t>
  </si>
  <si>
    <t>MCL1578</t>
  </si>
  <si>
    <t>Raamachandren K</t>
  </si>
  <si>
    <t>Deputy General Manager - Sales</t>
  </si>
  <si>
    <t>MCL1583</t>
  </si>
  <si>
    <t>Aruna Subramanian</t>
  </si>
  <si>
    <t xml:space="preserve">Senior Manager - Training &amp; Development </t>
  </si>
  <si>
    <t>MCL1585</t>
  </si>
  <si>
    <t>Guna R</t>
  </si>
  <si>
    <t>Manager - Project Planning &amp; Control</t>
  </si>
  <si>
    <t>MCL1586</t>
  </si>
  <si>
    <t>Thilak D</t>
  </si>
  <si>
    <t>Executive - Administration</t>
  </si>
  <si>
    <t>MCL1587</t>
  </si>
  <si>
    <t>Kesavulu M</t>
  </si>
  <si>
    <t>F &amp; A</t>
  </si>
  <si>
    <t>MCL1588</t>
  </si>
  <si>
    <t>Dhanapal A</t>
  </si>
  <si>
    <t>MCL1593</t>
  </si>
  <si>
    <t>Santhkumar R</t>
  </si>
  <si>
    <t>MCL1595</t>
  </si>
  <si>
    <t>Hariharan M</t>
  </si>
  <si>
    <t>MCL1602</t>
  </si>
  <si>
    <t>Ramesh Kannan V</t>
  </si>
  <si>
    <t>MCL1603</t>
  </si>
  <si>
    <t>Srinivasan S</t>
  </si>
  <si>
    <t>MCL1605</t>
  </si>
  <si>
    <t>Meyyappan S</t>
  </si>
  <si>
    <t>MCL1607</t>
  </si>
  <si>
    <t>Satish Vadivelu</t>
  </si>
  <si>
    <t>General Manager - Corporate Communications</t>
  </si>
  <si>
    <t>MCL1608</t>
  </si>
  <si>
    <t>Ramakrishnan GA</t>
  </si>
  <si>
    <t>AVP - Infrastruture &amp; Liaisoning</t>
  </si>
  <si>
    <t>MCL1609</t>
  </si>
  <si>
    <t>Sandeep Kumar CB</t>
  </si>
  <si>
    <t>Assistant Manager - Project Finance</t>
  </si>
  <si>
    <t>MCL1611</t>
  </si>
  <si>
    <t>Subramanian P</t>
  </si>
  <si>
    <t>Deputy Manager -  Tendering / Proposals</t>
  </si>
  <si>
    <t>MCL1613</t>
  </si>
  <si>
    <t>Arunkumar A</t>
  </si>
  <si>
    <t>MCL1614</t>
  </si>
  <si>
    <t>Vinoth Kumar TS</t>
  </si>
  <si>
    <t>MCL1615</t>
  </si>
  <si>
    <t>Vijayakumaar TR</t>
  </si>
  <si>
    <t>MCL1616</t>
  </si>
  <si>
    <t>Boopathi R</t>
  </si>
  <si>
    <t>MCL1620</t>
  </si>
  <si>
    <t>Nachu Nagappan</t>
  </si>
  <si>
    <t>MCL1623</t>
  </si>
  <si>
    <t>Velvizhy</t>
  </si>
  <si>
    <t>MCL1625</t>
  </si>
  <si>
    <t>Gokula Balan K</t>
  </si>
  <si>
    <t>Deputy Manager - Logistics</t>
  </si>
  <si>
    <t>MCL1629</t>
  </si>
  <si>
    <t>Mani Jayachandran</t>
  </si>
  <si>
    <t>MCL1633</t>
  </si>
  <si>
    <t>Verma Sandeep Ramnayan</t>
  </si>
  <si>
    <t>Batching Plant Engineer</t>
  </si>
  <si>
    <t>MCL1635</t>
  </si>
  <si>
    <t>Jayakkannan N</t>
  </si>
  <si>
    <t>MCL1636</t>
  </si>
  <si>
    <t>Leslie Prince L</t>
  </si>
  <si>
    <t>MCL1637</t>
  </si>
  <si>
    <t>Siva Sankar Reddy</t>
  </si>
  <si>
    <t>MCL1639</t>
  </si>
  <si>
    <t>Veeramani S</t>
  </si>
  <si>
    <t>MCL1640</t>
  </si>
  <si>
    <t>Bhaskar V</t>
  </si>
  <si>
    <t>MCL1641</t>
  </si>
  <si>
    <t>Anandkumar J</t>
  </si>
  <si>
    <t>MCL1642</t>
  </si>
  <si>
    <t>Sathish Karri</t>
  </si>
  <si>
    <t>MCL1644</t>
  </si>
  <si>
    <t>Balakumaran V</t>
  </si>
  <si>
    <t>MCL1645</t>
  </si>
  <si>
    <t>MCL1649</t>
  </si>
  <si>
    <t>Kirubakaran K</t>
  </si>
  <si>
    <t>MCL1650</t>
  </si>
  <si>
    <t>Logesh A</t>
  </si>
  <si>
    <t>MCL1652</t>
  </si>
  <si>
    <t>Sankara Subramaniyan Chandru</t>
  </si>
  <si>
    <t>Deputy Manager - F &amp; A</t>
  </si>
  <si>
    <t>MCL1653</t>
  </si>
  <si>
    <t>Karthick G</t>
  </si>
  <si>
    <t>Junior Executive - Accounts</t>
  </si>
  <si>
    <t>MCL1654</t>
  </si>
  <si>
    <t>Aravind P</t>
  </si>
  <si>
    <t>MCL1655</t>
  </si>
  <si>
    <t>Anand B</t>
  </si>
  <si>
    <t>MCL1656</t>
  </si>
  <si>
    <t>Krishnamurthy S</t>
  </si>
  <si>
    <t>MCL1657</t>
  </si>
  <si>
    <t>Tamilselvan K</t>
  </si>
  <si>
    <t>MCL1658</t>
  </si>
  <si>
    <t>Thirumalai Kumar S</t>
  </si>
  <si>
    <t>MCL1659</t>
  </si>
  <si>
    <t>Nagaraju G</t>
  </si>
  <si>
    <t>MCL1660</t>
  </si>
  <si>
    <t>Bikash Kumar Sipani</t>
  </si>
  <si>
    <t>MCL1661</t>
  </si>
  <si>
    <t>Sateesh D R</t>
  </si>
  <si>
    <t>Senior Graphics Designer</t>
  </si>
  <si>
    <t>MCL1663</t>
  </si>
  <si>
    <t>Jayakrishnan CP</t>
  </si>
  <si>
    <t>General Manager - Business Development</t>
  </si>
  <si>
    <t>MCL1667</t>
  </si>
  <si>
    <t>Pramod Kumar Kothamasu</t>
  </si>
  <si>
    <t>MCL1668</t>
  </si>
  <si>
    <t>Ramesh Kumar Reddy</t>
  </si>
  <si>
    <t>MCL1671</t>
  </si>
  <si>
    <t>Vetrivel T</t>
  </si>
  <si>
    <t>MCL1674</t>
  </si>
  <si>
    <t>Thamizselvan K</t>
  </si>
  <si>
    <t>MCL1675</t>
  </si>
  <si>
    <t>Muthupandi M</t>
  </si>
  <si>
    <t>MCL1676</t>
  </si>
  <si>
    <t>Vezhavendan G</t>
  </si>
  <si>
    <t>MCL1680</t>
  </si>
  <si>
    <t>Rajkumar PM</t>
  </si>
  <si>
    <t>MCL1682</t>
  </si>
  <si>
    <t>Kapil Chopra</t>
  </si>
  <si>
    <t>Assistant Manager - Corporate Affairs</t>
  </si>
  <si>
    <t>MCL1683</t>
  </si>
  <si>
    <t>Sunil Kumar Singh</t>
  </si>
  <si>
    <t>MCL1684</t>
  </si>
  <si>
    <t>Lakshminarayanan AC</t>
  </si>
  <si>
    <t>MCL1686</t>
  </si>
  <si>
    <t>Saravanan M</t>
  </si>
  <si>
    <t>MCL1688</t>
  </si>
  <si>
    <t>Sudhakar CR</t>
  </si>
  <si>
    <t>MCL1691</t>
  </si>
  <si>
    <t>Sivaprakasam K</t>
  </si>
  <si>
    <t>MCL1692</t>
  </si>
  <si>
    <t>Jayaraj B</t>
  </si>
  <si>
    <t>Junior Executive - Treasury</t>
  </si>
  <si>
    <t>Operational Treasury</t>
  </si>
  <si>
    <t>MCL1697</t>
  </si>
  <si>
    <t>Shahjahan L</t>
  </si>
  <si>
    <t>Engineer - Billing</t>
  </si>
  <si>
    <t>MCL1698</t>
  </si>
  <si>
    <t>Chandra Prabu R</t>
  </si>
  <si>
    <t>MCL1700</t>
  </si>
  <si>
    <t>Venkatesan PT</t>
  </si>
  <si>
    <t>Manager - Stores</t>
  </si>
  <si>
    <t>MCL1702</t>
  </si>
  <si>
    <t>Muthuvel A</t>
  </si>
  <si>
    <t>MCL1703</t>
  </si>
  <si>
    <t>Saravanan B</t>
  </si>
  <si>
    <t>MCL1706</t>
  </si>
  <si>
    <t>Chenthil M</t>
  </si>
  <si>
    <t>MCL1707</t>
  </si>
  <si>
    <t>Kathiravan R</t>
  </si>
  <si>
    <t>MCL1709</t>
  </si>
  <si>
    <t>Madana Jahir M</t>
  </si>
  <si>
    <t>MCL1713</t>
  </si>
  <si>
    <t>Govindrajan S</t>
  </si>
  <si>
    <t>MCL1715</t>
  </si>
  <si>
    <t>Sanjib Kumar Roy</t>
  </si>
  <si>
    <t>MCL1716</t>
  </si>
  <si>
    <t>Madhusudhanan PV</t>
  </si>
  <si>
    <t>Senior General Manager - Planning &amp; Design</t>
  </si>
  <si>
    <t>MCL1717</t>
  </si>
  <si>
    <t>Purushothaman G</t>
  </si>
  <si>
    <t>Senior Draughtsman</t>
  </si>
  <si>
    <t>MCL1718</t>
  </si>
  <si>
    <t>Kiran D</t>
  </si>
  <si>
    <t>Executive - Corporate Communication</t>
  </si>
  <si>
    <t>MCL1719</t>
  </si>
  <si>
    <t>Suresh Anand V</t>
  </si>
  <si>
    <t>Assistant Vice President - Port Operations</t>
  </si>
  <si>
    <t>MCL1720</t>
  </si>
  <si>
    <t>Raghavendra Alluri</t>
  </si>
  <si>
    <t>MCL1722</t>
  </si>
  <si>
    <t>Ramkumar V</t>
  </si>
  <si>
    <t>MCL1727</t>
  </si>
  <si>
    <t>Deepan Chakravarthi P</t>
  </si>
  <si>
    <t>MCL1733</t>
  </si>
  <si>
    <t>Krishna PVSS</t>
  </si>
  <si>
    <t>MCL1734</t>
  </si>
  <si>
    <t>Prasad G</t>
  </si>
  <si>
    <t>MCL1736</t>
  </si>
  <si>
    <t>Kartheeswaran M</t>
  </si>
  <si>
    <t>MCL1737</t>
  </si>
  <si>
    <t>Neeraru Raja R</t>
  </si>
  <si>
    <t>MCL1739</t>
  </si>
  <si>
    <t>Suresh P</t>
  </si>
  <si>
    <t>MCL1740</t>
  </si>
  <si>
    <t>Arunachalam R</t>
  </si>
  <si>
    <t>MCL1741</t>
  </si>
  <si>
    <t>Sai Giridhar A</t>
  </si>
  <si>
    <t>Deputy General Manager - Marketing Communication</t>
  </si>
  <si>
    <t>MCL1742</t>
  </si>
  <si>
    <t>Shahul Hameed Ibrahim EI</t>
  </si>
  <si>
    <t>Deputy Manager - Treasury</t>
  </si>
  <si>
    <t>MCL1744</t>
  </si>
  <si>
    <t>Preeth T</t>
  </si>
  <si>
    <t>Junior Engineer - Maintenance</t>
  </si>
  <si>
    <t>MCL1745</t>
  </si>
  <si>
    <t>Chaitanya U</t>
  </si>
  <si>
    <t>MCL1746</t>
  </si>
  <si>
    <t>Hibathulla SM</t>
  </si>
  <si>
    <t>MCL1748</t>
  </si>
  <si>
    <t>Edward Raj Kumar J</t>
  </si>
  <si>
    <t>MCL1753</t>
  </si>
  <si>
    <t>Aparna Sinha</t>
  </si>
  <si>
    <t>MCL1754</t>
  </si>
  <si>
    <t>Viswakumar PK</t>
  </si>
  <si>
    <t>MCL1755</t>
  </si>
  <si>
    <t>Elavarasan K</t>
  </si>
  <si>
    <t>Senior Engineer - Civil</t>
  </si>
  <si>
    <t>MCL1756</t>
  </si>
  <si>
    <t>Saravanan N</t>
  </si>
  <si>
    <t>MCL1757</t>
  </si>
  <si>
    <t>Yuvarajan S</t>
  </si>
  <si>
    <t>MCL1760</t>
  </si>
  <si>
    <t>Prabu T</t>
  </si>
  <si>
    <t>MCL1761</t>
  </si>
  <si>
    <t>Velu N</t>
  </si>
  <si>
    <t>MCL1762</t>
  </si>
  <si>
    <t>Ravindranath S</t>
  </si>
  <si>
    <t>MCL1763</t>
  </si>
  <si>
    <t>MCL1764</t>
  </si>
  <si>
    <t>Ashok R Jamakhandi</t>
  </si>
  <si>
    <t>Assistant Engineer - Project Management</t>
  </si>
  <si>
    <t xml:space="preserve">Bijapur Site </t>
  </si>
  <si>
    <t>MCL1765</t>
  </si>
  <si>
    <t>Sandip B Nimje</t>
  </si>
  <si>
    <t>MCL1766</t>
  </si>
  <si>
    <t>Purushothaman PG</t>
  </si>
  <si>
    <t>Senior Executive - Finance &amp; Account</t>
  </si>
  <si>
    <t>MCL1767</t>
  </si>
  <si>
    <t>Sivaram R</t>
  </si>
  <si>
    <t>MCL1768</t>
  </si>
  <si>
    <t>Sunil Kapur</t>
  </si>
  <si>
    <t>MCL1769</t>
  </si>
  <si>
    <t>Vishwanath R</t>
  </si>
  <si>
    <t>MCL1770</t>
  </si>
  <si>
    <t>Ramesh Kumar I</t>
  </si>
  <si>
    <t>MCL1771</t>
  </si>
  <si>
    <t>Sathyanarayana P</t>
  </si>
  <si>
    <t>MCL1772</t>
  </si>
  <si>
    <t xml:space="preserve">Sathishkumar Kakumani </t>
  </si>
  <si>
    <t>MCL1774</t>
  </si>
  <si>
    <t>Giju Antony EA</t>
  </si>
  <si>
    <t>Manger - Project Planning &amp; Control</t>
  </si>
  <si>
    <t>Project Planning &amp; Control</t>
  </si>
  <si>
    <t>MCL1776</t>
  </si>
  <si>
    <t>Jatan Chandrasen</t>
  </si>
  <si>
    <t>MCL1665</t>
  </si>
  <si>
    <t>Munavar Sheriff</t>
  </si>
  <si>
    <t>Executive Director - EPC</t>
  </si>
  <si>
    <t>MCL1783</t>
  </si>
  <si>
    <t>Anand A</t>
  </si>
  <si>
    <t>MCL1786</t>
  </si>
  <si>
    <t>Kannan A</t>
  </si>
  <si>
    <t>MCL1787</t>
  </si>
  <si>
    <t>Krishnakumar J</t>
  </si>
  <si>
    <t>MCL1788</t>
  </si>
  <si>
    <t>Nanthakumar P</t>
  </si>
  <si>
    <t>Senior Engineer- Electrical ( Construction )</t>
  </si>
  <si>
    <t>MCL1789</t>
  </si>
  <si>
    <t>Iqbal Singh Kalsi</t>
  </si>
  <si>
    <t>Punjab</t>
  </si>
  <si>
    <t>MCL1791</t>
  </si>
  <si>
    <t>Chellappa N</t>
  </si>
  <si>
    <t>MCL1792</t>
  </si>
  <si>
    <t>Nobin Nandi</t>
  </si>
  <si>
    <t>Senior Surveyor</t>
  </si>
  <si>
    <t>MCL1794</t>
  </si>
  <si>
    <t>Naveen Nekkala</t>
  </si>
  <si>
    <t>MCL1795</t>
  </si>
  <si>
    <t>Praveen P</t>
  </si>
  <si>
    <t>MCL1796</t>
  </si>
  <si>
    <t>Arunmozhi Nagarajan</t>
  </si>
  <si>
    <t>Senior Engineer- Electrical</t>
  </si>
  <si>
    <t>MCL1798</t>
  </si>
  <si>
    <t>Anami Narwar</t>
  </si>
  <si>
    <t>MCL1799</t>
  </si>
  <si>
    <t>Aparna Gautam</t>
  </si>
  <si>
    <t>Academic Counselor</t>
  </si>
  <si>
    <t>MCL1801</t>
  </si>
  <si>
    <t>Manjunath M S K</t>
  </si>
  <si>
    <t>MCL1804</t>
  </si>
  <si>
    <t>Pavan Kumar A</t>
  </si>
  <si>
    <t>MCL1805</t>
  </si>
  <si>
    <t>Anees Kumar K</t>
  </si>
  <si>
    <t>Assistant Engineer- Billing</t>
  </si>
  <si>
    <t>Billing Engineer</t>
  </si>
  <si>
    <t>MCL1806</t>
  </si>
  <si>
    <t>Jagadheesan B</t>
  </si>
  <si>
    <t>MCL1807</t>
  </si>
  <si>
    <t>Arulselvan V</t>
  </si>
  <si>
    <t>Senior Executive - Commercial</t>
  </si>
  <si>
    <t>MCL1808</t>
  </si>
  <si>
    <t>Belal Ahmed</t>
  </si>
  <si>
    <t>MCL1811</t>
  </si>
  <si>
    <t>Udhayakumar R</t>
  </si>
  <si>
    <t>MCL1814</t>
  </si>
  <si>
    <t>Sathya Rao R J</t>
  </si>
  <si>
    <t>MCL1816</t>
  </si>
  <si>
    <t>Kiran M Shejekar</t>
  </si>
  <si>
    <t>Assistant Manager - Legal &amp; Liaisoning</t>
  </si>
  <si>
    <t>Bellary</t>
  </si>
  <si>
    <t>MCL1818</t>
  </si>
  <si>
    <t>Raghavendra Reddy T</t>
  </si>
  <si>
    <t>MCL1819</t>
  </si>
  <si>
    <t>Rajesh P</t>
  </si>
  <si>
    <t>MCL1820</t>
  </si>
  <si>
    <t>Ramamoorthy A</t>
  </si>
  <si>
    <t>Manager - Civil Maintenance</t>
  </si>
  <si>
    <t>MCL1822</t>
  </si>
  <si>
    <t>Saravanamuthu P</t>
  </si>
  <si>
    <t>Manager - HR &amp; IR</t>
  </si>
  <si>
    <t>MCL1826</t>
  </si>
  <si>
    <t>Sreenivasan K B</t>
  </si>
  <si>
    <t>MCL1827</t>
  </si>
  <si>
    <t>Jagadeesan S</t>
  </si>
  <si>
    <t>Manager - Estimation</t>
  </si>
  <si>
    <t>MCL1828</t>
  </si>
  <si>
    <t xml:space="preserve">Singamuthu N </t>
  </si>
  <si>
    <t>MCL1830</t>
  </si>
  <si>
    <t>Karthigaiselvam A</t>
  </si>
  <si>
    <t>P&amp;M</t>
  </si>
  <si>
    <t xml:space="preserve">S </t>
  </si>
  <si>
    <t>MCL1831</t>
  </si>
  <si>
    <t>Dinesh Nishad</t>
  </si>
  <si>
    <t>MCL1832</t>
  </si>
  <si>
    <t>Jebaraj Sylvester J</t>
  </si>
  <si>
    <t>MCL1833</t>
  </si>
  <si>
    <t>Javeed Akther</t>
  </si>
  <si>
    <t>MCL1835</t>
  </si>
  <si>
    <t>Jayas T</t>
  </si>
  <si>
    <t>MCL1837</t>
  </si>
  <si>
    <t>Saravanan E K</t>
  </si>
  <si>
    <t>MCL1839</t>
  </si>
  <si>
    <t>Jayachandran S</t>
  </si>
  <si>
    <t>MCL1840</t>
  </si>
  <si>
    <t>Premkumar P</t>
  </si>
  <si>
    <t>MCL1841</t>
  </si>
  <si>
    <t>Santhana Karuppu K</t>
  </si>
  <si>
    <t>MCL1843</t>
  </si>
  <si>
    <t>Hajamaideen S</t>
  </si>
  <si>
    <t>MCL1845</t>
  </si>
  <si>
    <t>Ramalingam N</t>
  </si>
  <si>
    <t>Manager - Cargo Operations</t>
  </si>
  <si>
    <t>MCL1846</t>
  </si>
  <si>
    <t>Rajesh Kumar P</t>
  </si>
  <si>
    <t>MCL1847</t>
  </si>
  <si>
    <t>Sarathkumar R</t>
  </si>
  <si>
    <t>MCL1848</t>
  </si>
  <si>
    <t>Senraj P</t>
  </si>
  <si>
    <t>MCL1849</t>
  </si>
  <si>
    <t>Manikandan T</t>
  </si>
  <si>
    <t>MCL1852</t>
  </si>
  <si>
    <t>Manoranjan Badagharo</t>
  </si>
  <si>
    <t>MCL1853</t>
  </si>
  <si>
    <t>Ziaur Rahman M</t>
  </si>
  <si>
    <t>Assistant Executive - F &amp; A</t>
  </si>
  <si>
    <t>MCL1854</t>
  </si>
  <si>
    <t>Jaikumar N</t>
  </si>
  <si>
    <t>MCL1855</t>
  </si>
  <si>
    <t>Selva Ganesh S</t>
  </si>
  <si>
    <t>Assistant Manager - Commercial</t>
  </si>
  <si>
    <t>MCL1858</t>
  </si>
  <si>
    <t>Murali Krishnan P K</t>
  </si>
  <si>
    <t>MCL1859</t>
  </si>
  <si>
    <t>Satish Kumar P</t>
  </si>
  <si>
    <t>Assistant General Manager - P &amp; M</t>
  </si>
  <si>
    <t>MCL1860</t>
  </si>
  <si>
    <t>Martin Caleb</t>
  </si>
  <si>
    <t>Manager - Liaison</t>
  </si>
  <si>
    <t>MCL1861</t>
  </si>
  <si>
    <t>Sarma S V R</t>
  </si>
  <si>
    <t>General Manager - Construction</t>
  </si>
  <si>
    <t>MCL1862</t>
  </si>
  <si>
    <t>Rukmangathan V</t>
  </si>
  <si>
    <t>MCL1864</t>
  </si>
  <si>
    <t>Senior Engineer - Quality Control</t>
  </si>
  <si>
    <t>MCL1867</t>
  </si>
  <si>
    <t>Saravanaperumal S</t>
  </si>
  <si>
    <t>MCL1870</t>
  </si>
  <si>
    <t>Praduman Pratap Singh</t>
  </si>
  <si>
    <t>MCL1871</t>
  </si>
  <si>
    <t>Prabhu Narayan Yadav</t>
  </si>
  <si>
    <t>MCL1872</t>
  </si>
  <si>
    <t>Rajiv Bagga</t>
  </si>
  <si>
    <t>MCL1874</t>
  </si>
  <si>
    <t>Ravikumar R R</t>
  </si>
  <si>
    <t>MCL1875</t>
  </si>
  <si>
    <t>Raja G</t>
  </si>
  <si>
    <t>MCL1876</t>
  </si>
  <si>
    <t>Rajaganapathy R</t>
  </si>
  <si>
    <t>MCL1877</t>
  </si>
  <si>
    <t>Mahendran T</t>
  </si>
  <si>
    <t>MCL1878</t>
  </si>
  <si>
    <t>Swaminathan R</t>
  </si>
  <si>
    <t>Manager - Quality Control</t>
  </si>
  <si>
    <t>MCL1879</t>
  </si>
  <si>
    <t>Dinesh Kumar G</t>
  </si>
  <si>
    <t>MCL1880</t>
  </si>
  <si>
    <t>Shenbaga Saravana Kumar E</t>
  </si>
  <si>
    <t>MCL1881</t>
  </si>
  <si>
    <t>Boominathan V</t>
  </si>
  <si>
    <t>MCL1882</t>
  </si>
  <si>
    <t xml:space="preserve">Gnanaprakasam V </t>
  </si>
  <si>
    <t>MCL1884</t>
  </si>
  <si>
    <t>Kannan P</t>
  </si>
  <si>
    <t>Junior Engineer - Billing</t>
  </si>
  <si>
    <t>MCL1885</t>
  </si>
  <si>
    <t xml:space="preserve">Mritunjoy Kumar </t>
  </si>
  <si>
    <t>MCL1888</t>
  </si>
  <si>
    <t>Umesh Kumar Maurya</t>
  </si>
  <si>
    <t>MCL1889</t>
  </si>
  <si>
    <t>Djodinadan K</t>
  </si>
  <si>
    <t>Deputy Manager - Civil</t>
  </si>
  <si>
    <t>MCL1890</t>
  </si>
  <si>
    <t>Sudhakaran T</t>
  </si>
  <si>
    <t>MCL1891</t>
  </si>
  <si>
    <t>Soundarya K</t>
  </si>
  <si>
    <t>MCL1892</t>
  </si>
  <si>
    <t>Prabhu Vijaya Krishna P</t>
  </si>
  <si>
    <t>MCL1893</t>
  </si>
  <si>
    <t>Ganesh Kumar K</t>
  </si>
  <si>
    <t>Assistant Engineer - Fire Fighting</t>
  </si>
  <si>
    <t>MCL1894</t>
  </si>
  <si>
    <t>Prem Krishnan S</t>
  </si>
  <si>
    <t>MCL1895</t>
  </si>
  <si>
    <t>Prakash R</t>
  </si>
  <si>
    <t>MCL1897</t>
  </si>
  <si>
    <t>Ramachandran S</t>
  </si>
  <si>
    <t>Assistant General Manager - Sales</t>
  </si>
  <si>
    <t>MCL1899</t>
  </si>
  <si>
    <t>Executive - Commercial</t>
  </si>
  <si>
    <t>MCL1901</t>
  </si>
  <si>
    <t>Thirumavalavan S</t>
  </si>
  <si>
    <t>Senior Engineer - Plant &amp; Machinery</t>
  </si>
  <si>
    <t>MCL1902</t>
  </si>
  <si>
    <t>Vadivelu V</t>
  </si>
  <si>
    <t>Executive - F&amp; A</t>
  </si>
  <si>
    <t>MCL1903</t>
  </si>
  <si>
    <t>Balaji J</t>
  </si>
  <si>
    <t>MCL1904</t>
  </si>
  <si>
    <t>Sathiyaraj T</t>
  </si>
  <si>
    <t>MCL1905</t>
  </si>
  <si>
    <t>Ramesh Reddy Kesani</t>
  </si>
  <si>
    <t>MCL1906</t>
  </si>
  <si>
    <t>Venkataraman P</t>
  </si>
  <si>
    <t>MCL1907</t>
  </si>
  <si>
    <t>Senior Manager- Projects</t>
  </si>
  <si>
    <t>MCL1908</t>
  </si>
  <si>
    <t>Balatchandar M</t>
  </si>
  <si>
    <t>Engineer-Billing</t>
  </si>
  <si>
    <t>MCL1909</t>
  </si>
  <si>
    <t>Debashish Bhowmick</t>
  </si>
  <si>
    <t>AVP- Planning &amp; Project Management</t>
  </si>
  <si>
    <t xml:space="preserve">Kolkata </t>
  </si>
  <si>
    <t>MCL1910</t>
  </si>
  <si>
    <t>Executive-Adminstraton</t>
  </si>
  <si>
    <t>MCL1911</t>
  </si>
  <si>
    <t>Mahendran M</t>
  </si>
  <si>
    <t>Senior Manager - Project</t>
  </si>
  <si>
    <t xml:space="preserve">Assistant Engineer </t>
  </si>
  <si>
    <t>MCL1912</t>
  </si>
  <si>
    <t>Gandhi Prabhu Srinivasan</t>
  </si>
  <si>
    <t>MCL1915</t>
  </si>
  <si>
    <t>Shanmugavel T</t>
  </si>
  <si>
    <t>MCL1916</t>
  </si>
  <si>
    <t>Vedanayaki B</t>
  </si>
  <si>
    <t>Executive - Sales</t>
  </si>
  <si>
    <t>MCL1917</t>
  </si>
  <si>
    <t>Lissi K</t>
  </si>
  <si>
    <t>MCL1918</t>
  </si>
  <si>
    <t>Sathya R</t>
  </si>
  <si>
    <t>Saravanan G</t>
  </si>
  <si>
    <t>MCL1919</t>
  </si>
  <si>
    <t>Kathiresan M</t>
  </si>
  <si>
    <t>MCL1920</t>
  </si>
  <si>
    <t>Sangeetha Ramesh K</t>
  </si>
  <si>
    <t>MCL1921</t>
  </si>
  <si>
    <t>MCL1923</t>
  </si>
  <si>
    <t>Dhanamurugan S</t>
  </si>
  <si>
    <t>TR 2</t>
  </si>
  <si>
    <t xml:space="preserve">Graduate Engineer Trainee </t>
  </si>
  <si>
    <t>MCL1924</t>
  </si>
  <si>
    <t>Dewakar Raja A S</t>
  </si>
  <si>
    <t xml:space="preserve">Senior General Manager </t>
  </si>
  <si>
    <t>MCL1925</t>
  </si>
  <si>
    <t>Selvakumar G</t>
  </si>
  <si>
    <t xml:space="preserve">Vice President </t>
  </si>
  <si>
    <t>MCL1926</t>
  </si>
  <si>
    <t>Jijo Mon Mathew</t>
  </si>
  <si>
    <t>Deputy Manager  - CSR</t>
  </si>
  <si>
    <t>MCL1927</t>
  </si>
  <si>
    <t>Hari Baboo</t>
  </si>
  <si>
    <t>Senior General Manager - Technical</t>
  </si>
  <si>
    <t>MCL1929</t>
  </si>
  <si>
    <t>Jayaraj Nair</t>
  </si>
  <si>
    <t>Manager - Project</t>
  </si>
  <si>
    <t>MCL1931</t>
  </si>
  <si>
    <t>Chandrasekar R</t>
  </si>
  <si>
    <t xml:space="preserve">M </t>
  </si>
  <si>
    <t>Trainee-Electrical</t>
  </si>
  <si>
    <t>MCL1932</t>
  </si>
  <si>
    <t>Baskar S</t>
  </si>
  <si>
    <t>CSR Advisor</t>
  </si>
  <si>
    <t>MCL1933</t>
  </si>
  <si>
    <t>Senthil Kumar G</t>
  </si>
  <si>
    <t>MCL1934</t>
  </si>
  <si>
    <t>Durai Raj R J</t>
  </si>
  <si>
    <t>Manager-Projects</t>
  </si>
  <si>
    <t>MCL1935</t>
  </si>
  <si>
    <t>Bharath Kumar</t>
  </si>
  <si>
    <t>Executive Secretary</t>
  </si>
  <si>
    <t>MCL1936</t>
  </si>
  <si>
    <t>Uvaraja V P</t>
  </si>
  <si>
    <t>Senior Executive - MIS</t>
  </si>
  <si>
    <t>MCL1937</t>
  </si>
  <si>
    <t>Murali K</t>
  </si>
  <si>
    <t>MCL1938</t>
  </si>
  <si>
    <t>Praveen Dilip</t>
  </si>
  <si>
    <t>Assistant Manager - Sales</t>
  </si>
  <si>
    <t>MCL1939</t>
  </si>
  <si>
    <t>Kamalakannan S</t>
  </si>
  <si>
    <t>MCL1940</t>
  </si>
  <si>
    <t>Mitali A</t>
  </si>
  <si>
    <t>MCL1941</t>
  </si>
  <si>
    <t>Vijay Kumar Chandore</t>
  </si>
  <si>
    <t>Manager - Electrical</t>
  </si>
  <si>
    <t>Assistant  Manager</t>
  </si>
  <si>
    <t>MCL1942</t>
  </si>
  <si>
    <t>Pon Prabha</t>
  </si>
  <si>
    <t>MCL1943</t>
  </si>
  <si>
    <t>Arul Murugan K</t>
  </si>
  <si>
    <t>Engineer-Planning</t>
  </si>
  <si>
    <t>MCL1946</t>
  </si>
  <si>
    <t>Robert Roche A</t>
  </si>
  <si>
    <t>Deputy Manager - Public Relations</t>
  </si>
  <si>
    <t>Public Relatoin</t>
  </si>
  <si>
    <t>MCL1950</t>
  </si>
  <si>
    <t>Sathish Kumar Saravanan</t>
  </si>
  <si>
    <t>MCL1951</t>
  </si>
  <si>
    <t>Ramalingam K</t>
  </si>
  <si>
    <t>MCL1953</t>
  </si>
  <si>
    <t>Kanagaraj V</t>
  </si>
  <si>
    <t>Engineer - Quality Control</t>
  </si>
  <si>
    <t>Quality Control</t>
  </si>
  <si>
    <t>MCL1954</t>
  </si>
  <si>
    <t>Binod Kumar Kushawaha</t>
  </si>
  <si>
    <t>Engineer- Projects</t>
  </si>
  <si>
    <t>MCL1955</t>
  </si>
  <si>
    <t>Shakti Sharan Mishra</t>
  </si>
  <si>
    <t>MCL1956</t>
  </si>
  <si>
    <t>Deepak Singh</t>
  </si>
  <si>
    <t>MCL1961</t>
  </si>
  <si>
    <t>Naser Ali</t>
  </si>
  <si>
    <t>MCL1962</t>
  </si>
  <si>
    <t>Kesavan N Y</t>
  </si>
  <si>
    <t>Assistant Manager - CSD</t>
  </si>
  <si>
    <t>Site Office</t>
  </si>
  <si>
    <t>MCL1963</t>
  </si>
  <si>
    <t>Rupendra Dev Jaiswal</t>
  </si>
  <si>
    <t>Executive - Planning &amp; Project Management</t>
  </si>
  <si>
    <t>MCL1964</t>
  </si>
  <si>
    <t>Arul Ananda Prabu T</t>
  </si>
  <si>
    <t xml:space="preserve">Chief Human Resource Officer </t>
  </si>
  <si>
    <t>MCL1965</t>
  </si>
  <si>
    <t>Venkadesh K</t>
  </si>
  <si>
    <t>MCL1966</t>
  </si>
  <si>
    <t>Balakrishnan C</t>
  </si>
  <si>
    <t>MCL1967</t>
  </si>
  <si>
    <t>Suresh Kumar S</t>
  </si>
  <si>
    <t>MCL1968</t>
  </si>
  <si>
    <t>Ramkumar R</t>
  </si>
  <si>
    <t>MCL1969</t>
  </si>
  <si>
    <t>Murugan A S</t>
  </si>
  <si>
    <t>MCL1970</t>
  </si>
  <si>
    <t>Sujatha M</t>
  </si>
  <si>
    <t>MCL1971</t>
  </si>
  <si>
    <t>Palaniappan P</t>
  </si>
  <si>
    <t>Deputy Manager - Compliance</t>
  </si>
  <si>
    <t>MCL1972</t>
  </si>
  <si>
    <t>Hem Kumar D</t>
  </si>
  <si>
    <t>Executive - SAP</t>
  </si>
  <si>
    <t>MCL1973</t>
  </si>
  <si>
    <t>Jothiraj P</t>
  </si>
  <si>
    <t>Senior Manager - Stores</t>
  </si>
  <si>
    <t>MCL1974</t>
  </si>
  <si>
    <t>Jibran Ullah M M</t>
  </si>
  <si>
    <t>Junior Executive - SAP Support</t>
  </si>
  <si>
    <t>MCL1975</t>
  </si>
  <si>
    <t>Prem Kumar V</t>
  </si>
  <si>
    <t>Assistant General Manager - HR</t>
  </si>
  <si>
    <t>MCL1976</t>
  </si>
  <si>
    <t>Karthikesan D</t>
  </si>
  <si>
    <t>MCL1977</t>
  </si>
  <si>
    <t>Esakkimuthu P</t>
  </si>
  <si>
    <t>MCL1978</t>
  </si>
  <si>
    <t>Venkat Rangan Jeyaraman</t>
  </si>
  <si>
    <t>MCL1979</t>
  </si>
  <si>
    <t>Mohan Babu</t>
  </si>
  <si>
    <t>MCL1980</t>
  </si>
  <si>
    <t>Vasanth J</t>
  </si>
  <si>
    <t>TR 1</t>
  </si>
  <si>
    <t>Diploma Engineer Trainee</t>
  </si>
  <si>
    <t>MCL1982</t>
  </si>
  <si>
    <t>Jayamurthi K</t>
  </si>
  <si>
    <t>MCL1984</t>
  </si>
  <si>
    <t>Jagadeesan E</t>
  </si>
  <si>
    <t>MCL1985</t>
  </si>
  <si>
    <t>Javeed Ahmed A</t>
  </si>
  <si>
    <t>MCL1986</t>
  </si>
  <si>
    <t>William Jerald S</t>
  </si>
  <si>
    <t>MCL1987</t>
  </si>
  <si>
    <t>Nithyanantham S</t>
  </si>
  <si>
    <t>Trainee - Projects</t>
  </si>
  <si>
    <t>MCL1988</t>
  </si>
  <si>
    <t>Niyaz Ahmed T</t>
  </si>
  <si>
    <t>MCL1989</t>
  </si>
  <si>
    <t>Ranjit Kumar G</t>
  </si>
  <si>
    <t>MCL1991</t>
  </si>
  <si>
    <t>Ram Shankar P</t>
  </si>
  <si>
    <t>MCL1992</t>
  </si>
  <si>
    <t>Guruprasad R</t>
  </si>
  <si>
    <t>Deputy Manager - QA / QC</t>
  </si>
  <si>
    <t>MCL1993</t>
  </si>
  <si>
    <t>Jayaseelan S</t>
  </si>
  <si>
    <t>MCL1994</t>
  </si>
  <si>
    <t>Patel Vinod Singh</t>
  </si>
  <si>
    <t>Assistant Manager - MEP</t>
  </si>
  <si>
    <t>MCL1995</t>
  </si>
  <si>
    <t>Arumugam R</t>
  </si>
  <si>
    <t>MCL1996</t>
  </si>
  <si>
    <t>Ramesh C</t>
  </si>
  <si>
    <t>MCL1999</t>
  </si>
  <si>
    <t>Kathiresan C</t>
  </si>
  <si>
    <t>MCL2000</t>
  </si>
  <si>
    <t>Anantha Subramanian V</t>
  </si>
  <si>
    <t>Senior Executive - Finance</t>
  </si>
  <si>
    <t>MCL2005</t>
  </si>
  <si>
    <t>Peter Raj V M</t>
  </si>
  <si>
    <t>Executive Secretary to ED</t>
  </si>
  <si>
    <t>MCL2006</t>
  </si>
  <si>
    <t>Raja S</t>
  </si>
  <si>
    <t>Senior Manager - Site Electrical</t>
  </si>
  <si>
    <t>MCL2007</t>
  </si>
  <si>
    <t>Justin Mathew</t>
  </si>
  <si>
    <t>MCL2008</t>
  </si>
  <si>
    <t>Diwakar V</t>
  </si>
  <si>
    <t>MCL2010</t>
  </si>
  <si>
    <t>MCL2011</t>
  </si>
  <si>
    <t>Vijayakmar S</t>
  </si>
  <si>
    <t>MCL2012</t>
  </si>
  <si>
    <t>Ramesh Singh M G</t>
  </si>
  <si>
    <t>MCL2014</t>
  </si>
  <si>
    <t>Muralikrishnan K M</t>
  </si>
  <si>
    <t>FIRELUXUR, Bangalore</t>
  </si>
  <si>
    <t>MCL2015</t>
  </si>
  <si>
    <t>Sathiyaraj N</t>
  </si>
  <si>
    <t>Stadium</t>
  </si>
  <si>
    <t>MCL2016</t>
  </si>
  <si>
    <t>Anandraj M</t>
  </si>
  <si>
    <t>MCL2017</t>
  </si>
  <si>
    <t>Balamurugan K</t>
  </si>
  <si>
    <t>MCL2018</t>
  </si>
  <si>
    <t>Rohini Pathi</t>
  </si>
  <si>
    <t>Senior Manager - Marketing</t>
  </si>
  <si>
    <t>MCL2019</t>
  </si>
  <si>
    <t>Subash Sankar S</t>
  </si>
  <si>
    <t>Junior Engineer - HSE</t>
  </si>
  <si>
    <t>MCL2020</t>
  </si>
  <si>
    <t>Kalairaja V</t>
  </si>
  <si>
    <t>Senior Officer - HSE</t>
  </si>
  <si>
    <t>MCL2021</t>
  </si>
  <si>
    <t>Nathan D</t>
  </si>
  <si>
    <t>Junior Engineer - Quantity Control</t>
  </si>
  <si>
    <t>MCL2022</t>
  </si>
  <si>
    <t>Malaya Kumar Sahoo</t>
  </si>
  <si>
    <t>Senior Executive - Admin ( P &amp; M )</t>
  </si>
  <si>
    <t>MCL2023</t>
  </si>
  <si>
    <t>Deputy General Manager - Finance &amp; Accounts</t>
  </si>
  <si>
    <t>MCL2025</t>
  </si>
  <si>
    <t>Surender Maish</t>
  </si>
  <si>
    <t>MCL2028</t>
  </si>
  <si>
    <t>Anuj Varshney</t>
  </si>
  <si>
    <t>MCL2030</t>
  </si>
  <si>
    <t>Mahendra Kumar Mishra</t>
  </si>
  <si>
    <t>MCL2034</t>
  </si>
  <si>
    <t>Anitha Devi</t>
  </si>
  <si>
    <t>MCL2037</t>
  </si>
  <si>
    <t>Albert A</t>
  </si>
  <si>
    <t>MCL2038</t>
  </si>
  <si>
    <t>Jeyaharinath V</t>
  </si>
  <si>
    <t>MCL2040</t>
  </si>
  <si>
    <t>Vinoth Kumar V</t>
  </si>
  <si>
    <t>Graduate Engineer Trainee - Electrical</t>
  </si>
  <si>
    <t>MCL2042</t>
  </si>
  <si>
    <t>Sandeep Reddy</t>
  </si>
  <si>
    <t>MCL2044</t>
  </si>
  <si>
    <t>Muthukumaran C</t>
  </si>
  <si>
    <t>MCL2045</t>
  </si>
  <si>
    <t>Nallathambi P</t>
  </si>
  <si>
    <t>DGM - Structural Design &amp; Optimisation</t>
  </si>
  <si>
    <t>Design &amp; Optimization</t>
  </si>
  <si>
    <t>MCL2046</t>
  </si>
  <si>
    <t>Biswajit Dash</t>
  </si>
  <si>
    <t>Senior Executive - Cargo Opertaions</t>
  </si>
  <si>
    <t>MCL2047</t>
  </si>
  <si>
    <t>Venkataramanan A</t>
  </si>
  <si>
    <t>Executive - Statutory Compliances</t>
  </si>
  <si>
    <t>MCL2050</t>
  </si>
  <si>
    <t>Hariom Trivedi</t>
  </si>
  <si>
    <t>Graduate Engineer Trainee - Civil</t>
  </si>
  <si>
    <t>MCL2051</t>
  </si>
  <si>
    <t>Santosh Kumar Srivastava</t>
  </si>
  <si>
    <t>MCL2052</t>
  </si>
  <si>
    <t>Harendra Singh</t>
  </si>
  <si>
    <t>MCL2053</t>
  </si>
  <si>
    <t>Suresh Kumar K</t>
  </si>
  <si>
    <t>Deputy General Manager - Contracts</t>
  </si>
  <si>
    <t>Contracts</t>
  </si>
  <si>
    <t>MCL2054</t>
  </si>
  <si>
    <t>Sasi Kumar T</t>
  </si>
  <si>
    <t>MCL2055</t>
  </si>
  <si>
    <t>Venkata Ravi Mohan U</t>
  </si>
  <si>
    <t>Senior Executive - Cost Control</t>
  </si>
  <si>
    <t>MCL2056</t>
  </si>
  <si>
    <t>Mohamed Abdul Gani</t>
  </si>
  <si>
    <t>Graduate Engineer Trainee  - Projects</t>
  </si>
  <si>
    <t>MCL2057</t>
  </si>
  <si>
    <t>Mohamed Anvar Sathath</t>
  </si>
  <si>
    <t>MCL2058</t>
  </si>
  <si>
    <t>Santhanakrishnan V</t>
  </si>
  <si>
    <t>MCL2059</t>
  </si>
  <si>
    <t>Deputy Manager  - Quality Control</t>
  </si>
  <si>
    <t>MCL2060</t>
  </si>
  <si>
    <t>Panneer Selvam C</t>
  </si>
  <si>
    <t>MCL2061</t>
  </si>
  <si>
    <t>Barwin Cruz</t>
  </si>
  <si>
    <t>Assistant Manager - Tank Farm</t>
  </si>
  <si>
    <t>MCL2062</t>
  </si>
  <si>
    <t>Akhil Alex</t>
  </si>
  <si>
    <t>Graduate Engineer Trainee</t>
  </si>
  <si>
    <t>MCL2063</t>
  </si>
  <si>
    <t>Vikas Bharti</t>
  </si>
  <si>
    <t>MCL2064</t>
  </si>
  <si>
    <t>Faizali S</t>
  </si>
  <si>
    <t>MCL2065</t>
  </si>
  <si>
    <t>Anand Kumar T</t>
  </si>
  <si>
    <t>MCL2066</t>
  </si>
  <si>
    <t>Sutha E</t>
  </si>
  <si>
    <t>Engineer  - Projects</t>
  </si>
  <si>
    <t>MCL2067</t>
  </si>
  <si>
    <t>Vasudevan D</t>
  </si>
  <si>
    <t>MCL2068</t>
  </si>
  <si>
    <t>Krishnamoorthy G</t>
  </si>
  <si>
    <t>MCL2070</t>
  </si>
  <si>
    <t>Syed Abdul Latif Thambi Sab S</t>
  </si>
  <si>
    <t>Assistant Executive - Accounts</t>
  </si>
  <si>
    <t>MCL2071</t>
  </si>
  <si>
    <t>Karthick S</t>
  </si>
  <si>
    <t>MCL2072</t>
  </si>
  <si>
    <t>Muthuvelan A M</t>
  </si>
  <si>
    <t>MCL2073</t>
  </si>
  <si>
    <t>Dhamodharan A</t>
  </si>
  <si>
    <t>MCL2075</t>
  </si>
  <si>
    <t>Senthil G</t>
  </si>
  <si>
    <t>General Manager - Sales</t>
  </si>
  <si>
    <t>MCL2076</t>
  </si>
  <si>
    <t>Ranganathan S</t>
  </si>
  <si>
    <t>MCL2077</t>
  </si>
  <si>
    <t>Samervil G</t>
  </si>
  <si>
    <t>MCL2078</t>
  </si>
  <si>
    <t>Hariharan B</t>
  </si>
  <si>
    <t>MCL2079</t>
  </si>
  <si>
    <t>Ponmanikandan P</t>
  </si>
  <si>
    <t>MCL2080</t>
  </si>
  <si>
    <t>Anzil A</t>
  </si>
  <si>
    <t>MCL2081</t>
  </si>
  <si>
    <t>Ramya R</t>
  </si>
  <si>
    <t>MCL2082</t>
  </si>
  <si>
    <t>Nithyanantham J</t>
  </si>
  <si>
    <t>Billing</t>
  </si>
  <si>
    <t>MCL2083</t>
  </si>
  <si>
    <t>Mathiyazhagan K</t>
  </si>
  <si>
    <t>MCL2084</t>
  </si>
  <si>
    <t>Navaneetha Krishnan P</t>
  </si>
  <si>
    <t>Deputy Manager - MIS</t>
  </si>
  <si>
    <t>MCL2085</t>
  </si>
  <si>
    <t>Haidar Ali</t>
  </si>
  <si>
    <t>MCL2086</t>
  </si>
  <si>
    <t>Kamaraj T</t>
  </si>
  <si>
    <t>MCL2087</t>
  </si>
  <si>
    <t>Lawrance S</t>
  </si>
  <si>
    <t>MCL2089</t>
  </si>
  <si>
    <t>Thirukumar K</t>
  </si>
  <si>
    <t>MCL2090</t>
  </si>
  <si>
    <t>Rajeev Kumar Nalli</t>
  </si>
  <si>
    <t>MCL2091</t>
  </si>
  <si>
    <t>Prabhakaran S</t>
  </si>
  <si>
    <t>MCL2093</t>
  </si>
  <si>
    <t>Srinath V</t>
  </si>
  <si>
    <t>Deputy Manager - Sub Contractors Management / Local Procurement / Site Admin</t>
  </si>
  <si>
    <t>MCL2095</t>
  </si>
  <si>
    <t>Gopi Krishna Reddy G</t>
  </si>
  <si>
    <t>Assistant Manager - F &amp; A</t>
  </si>
  <si>
    <t>MCL2096</t>
  </si>
  <si>
    <t>Assistant Engineer - Tendering</t>
  </si>
  <si>
    <t>MCL2097</t>
  </si>
  <si>
    <t>Siva N</t>
  </si>
  <si>
    <t>MCL2098</t>
  </si>
  <si>
    <t>Kannan S</t>
  </si>
  <si>
    <t>MCL2099</t>
  </si>
  <si>
    <t>Manikandan S</t>
  </si>
  <si>
    <t>MCL2100</t>
  </si>
  <si>
    <t>Selvaraj K</t>
  </si>
  <si>
    <t>Salem APT</t>
  </si>
  <si>
    <t>MCL2101</t>
  </si>
  <si>
    <t>Nizamudeen A</t>
  </si>
  <si>
    <t>Assistant Engineer - Plumbing</t>
  </si>
  <si>
    <t>MCL2102</t>
  </si>
  <si>
    <t>Sikkandar Bhadusha</t>
  </si>
  <si>
    <t>MCL2103</t>
  </si>
  <si>
    <t>Venkatesh N</t>
  </si>
  <si>
    <t xml:space="preserve">MCL2104 </t>
  </si>
  <si>
    <t>Sivaraj R</t>
  </si>
  <si>
    <t>MCL2105</t>
  </si>
  <si>
    <t>Ramasundaram S</t>
  </si>
  <si>
    <t>MCL2106</t>
  </si>
  <si>
    <t>Sekhar Mahabhashyam</t>
  </si>
  <si>
    <t>Deputy General Manager - Environment</t>
  </si>
  <si>
    <t>MCL2108</t>
  </si>
  <si>
    <t>Sudhan D</t>
  </si>
  <si>
    <t>MCL2111</t>
  </si>
  <si>
    <t>Saminathan R</t>
  </si>
  <si>
    <t>Trainee - Draughtsman</t>
  </si>
  <si>
    <t>MCL2112</t>
  </si>
  <si>
    <t>Prem Kannan R</t>
  </si>
  <si>
    <t>MCL2113</t>
  </si>
  <si>
    <t>Deepak Prashanth R</t>
  </si>
  <si>
    <t>MCL2114</t>
  </si>
  <si>
    <t>Prajosh P R</t>
  </si>
  <si>
    <t>MCL2115</t>
  </si>
  <si>
    <t>Manimaran S</t>
  </si>
  <si>
    <t>MCL2116</t>
  </si>
  <si>
    <t>Pandian A</t>
  </si>
  <si>
    <t>MCL2117</t>
  </si>
  <si>
    <t>Selvakumaran J</t>
  </si>
  <si>
    <t>MCL2118</t>
  </si>
  <si>
    <t>Sivabalan K</t>
  </si>
  <si>
    <t>MCL2119</t>
  </si>
  <si>
    <t>Manickavelan S</t>
  </si>
  <si>
    <t>Engineer - Tendering</t>
  </si>
  <si>
    <t>MCL2120</t>
  </si>
  <si>
    <t>Tamilselvan V</t>
  </si>
  <si>
    <t>MCL2121</t>
  </si>
  <si>
    <t>Murugesan B</t>
  </si>
  <si>
    <t>MCL2122</t>
  </si>
  <si>
    <t>Vivek G</t>
  </si>
  <si>
    <t>MCL2123</t>
  </si>
  <si>
    <t>Saravanakumar R</t>
  </si>
  <si>
    <t>MCL2124</t>
  </si>
  <si>
    <t>Khader Shariff A</t>
  </si>
  <si>
    <t>MCL2125</t>
  </si>
  <si>
    <t>Shanmugasundaram V</t>
  </si>
  <si>
    <t>MCL2126</t>
  </si>
  <si>
    <t>Mourougayane Sivanandame</t>
  </si>
  <si>
    <t>MCL2127</t>
  </si>
  <si>
    <t>Mohamed Basha J</t>
  </si>
  <si>
    <t>MCL2129</t>
  </si>
  <si>
    <t>Gowthaman K</t>
  </si>
  <si>
    <t>MCL2130</t>
  </si>
  <si>
    <t>MCL2131</t>
  </si>
  <si>
    <t>Rajesh Gupta</t>
  </si>
  <si>
    <t>MCL2132</t>
  </si>
  <si>
    <t>Mariappan T</t>
  </si>
  <si>
    <t>MCL2133</t>
  </si>
  <si>
    <t>Sasi Kumar G</t>
  </si>
  <si>
    <t>Senior Engineer - Tendering</t>
  </si>
  <si>
    <t>MCL2134</t>
  </si>
  <si>
    <t>Rajesh Kumar C</t>
  </si>
  <si>
    <t>MCL2135</t>
  </si>
  <si>
    <t>Varadharajan S</t>
  </si>
  <si>
    <t>MCL2136</t>
  </si>
  <si>
    <t>Bibin Mathews</t>
  </si>
  <si>
    <t>MCL2137</t>
  </si>
  <si>
    <t>MCL2138</t>
  </si>
  <si>
    <t>Rajesh K</t>
  </si>
  <si>
    <t>Senior Executive - Sales</t>
  </si>
  <si>
    <t>MCL2139</t>
  </si>
  <si>
    <t>Dharmaraja V</t>
  </si>
  <si>
    <t>MCL2141</t>
  </si>
  <si>
    <t>Devi Priya C</t>
  </si>
  <si>
    <t>Executive - CSD</t>
  </si>
  <si>
    <t>MCL2143</t>
  </si>
  <si>
    <t>Sathish Kumar U</t>
  </si>
  <si>
    <t>Assistant Executive - Human Resources</t>
  </si>
  <si>
    <t>MCL2144</t>
  </si>
  <si>
    <t>Dileepa Dharshani</t>
  </si>
  <si>
    <t>MCL2145</t>
  </si>
  <si>
    <t>Karthik G</t>
  </si>
  <si>
    <t>MCL2146</t>
  </si>
  <si>
    <t>Kiran Panjam</t>
  </si>
  <si>
    <t>MCL2147</t>
  </si>
  <si>
    <t>Karthikeyan K</t>
  </si>
  <si>
    <t>MCL2148</t>
  </si>
  <si>
    <t>Arunagiri K</t>
  </si>
  <si>
    <t>MCL2149</t>
  </si>
  <si>
    <t>Deepak Kumar G V S</t>
  </si>
  <si>
    <t>Purchase</t>
  </si>
  <si>
    <t>MCL2150</t>
  </si>
  <si>
    <t>Saravanakumar V</t>
  </si>
  <si>
    <t>MCL2151</t>
  </si>
  <si>
    <t>Punidha Subas Chandra Bose</t>
  </si>
  <si>
    <t>Graduate Trainee - Environment</t>
  </si>
  <si>
    <t>MCL2152</t>
  </si>
  <si>
    <t>Rajendiran K</t>
  </si>
  <si>
    <t>Assistant - Environment</t>
  </si>
  <si>
    <t>MCL2153</t>
  </si>
  <si>
    <t>Karthik D</t>
  </si>
  <si>
    <t>Graduate Engineer Trainee - Mechanical</t>
  </si>
  <si>
    <t>MCL2154</t>
  </si>
  <si>
    <t>Dinesh Babu R</t>
  </si>
  <si>
    <t>MCL2155</t>
  </si>
  <si>
    <t>Karuppusamy K</t>
  </si>
  <si>
    <t>MCL2156</t>
  </si>
  <si>
    <t>Kanoja Kumar Pradhan</t>
  </si>
  <si>
    <t>MCL2157</t>
  </si>
  <si>
    <t>Arul Magesh A</t>
  </si>
  <si>
    <t>MCL2158</t>
  </si>
  <si>
    <t>Gunaseelan M</t>
  </si>
  <si>
    <t>MCL2159</t>
  </si>
  <si>
    <t>S. Saravanan</t>
  </si>
  <si>
    <t>MCL2160</t>
  </si>
  <si>
    <t>Senthamari R</t>
  </si>
  <si>
    <t>MCL2161</t>
  </si>
  <si>
    <t>Murtaza Hasan</t>
  </si>
  <si>
    <t>MCL2162</t>
  </si>
  <si>
    <t>Atma Ram</t>
  </si>
  <si>
    <t>Co - Ordination Executive</t>
  </si>
  <si>
    <t>MCL2163</t>
  </si>
  <si>
    <t>Yograj Bhardwaj</t>
  </si>
  <si>
    <t>Manager - Billing &amp; Co - Ordination</t>
  </si>
  <si>
    <t>MCL2164</t>
  </si>
  <si>
    <t>Sugavanam S V</t>
  </si>
  <si>
    <t>Manager  - Equipment Maintenance</t>
  </si>
  <si>
    <t>MCL2165</t>
  </si>
  <si>
    <t>Muniasamy A</t>
  </si>
  <si>
    <t>MCL2166</t>
  </si>
  <si>
    <t>Sathish .K</t>
  </si>
  <si>
    <t>Senior Enecutive - Administration</t>
  </si>
  <si>
    <t>MCL2167</t>
  </si>
  <si>
    <t>Peer Mohamed .M</t>
  </si>
  <si>
    <t>MCL2168</t>
  </si>
  <si>
    <t>Senthil kumar .K</t>
  </si>
  <si>
    <t>Deputy Manager - Qantitl Surveyor</t>
  </si>
  <si>
    <t>MCL2169</t>
  </si>
  <si>
    <t>Rajesh .K</t>
  </si>
  <si>
    <t>MCL2170</t>
  </si>
  <si>
    <t>Rathakumar .P</t>
  </si>
  <si>
    <t>MCL2171</t>
  </si>
  <si>
    <t xml:space="preserve">Selvaraj  </t>
  </si>
  <si>
    <t>MCL2172</t>
  </si>
  <si>
    <t>Parthiban .D</t>
  </si>
  <si>
    <t>MCL2173</t>
  </si>
  <si>
    <t>Srinivasa Kumar.P</t>
  </si>
  <si>
    <t>MCL2174</t>
  </si>
  <si>
    <t>Yuv ganesh .B</t>
  </si>
  <si>
    <t>Assistant Engineer - Project</t>
  </si>
  <si>
    <t>MCL2175</t>
  </si>
  <si>
    <t>Sundarapandian .G</t>
  </si>
  <si>
    <t>MCL2176</t>
  </si>
  <si>
    <t>Satchithanantham .N</t>
  </si>
  <si>
    <t>MCL2177</t>
  </si>
  <si>
    <t>Bagavandoss .D</t>
  </si>
  <si>
    <t>MCL2178</t>
  </si>
  <si>
    <t>Perumal .N.M</t>
  </si>
  <si>
    <t>Senior Engineer - QS &amp; Billing</t>
  </si>
  <si>
    <t>MCL2179</t>
  </si>
  <si>
    <t>Dhanaraj .R</t>
  </si>
  <si>
    <t>Salem WPT</t>
  </si>
  <si>
    <t>MCL2180</t>
  </si>
  <si>
    <t>Ajit Anandrao Patil</t>
  </si>
  <si>
    <t xml:space="preserve"> Maharashtra</t>
  </si>
  <si>
    <t>MCL2182</t>
  </si>
  <si>
    <t>Ajil Kumar .N</t>
  </si>
  <si>
    <t>MCL2183</t>
  </si>
  <si>
    <t>Azhagunesan .G.R</t>
  </si>
  <si>
    <t>MCL2184</t>
  </si>
  <si>
    <t>Pattani Kumar A</t>
  </si>
  <si>
    <t>MCL2185</t>
  </si>
  <si>
    <t>C Palanivel</t>
  </si>
  <si>
    <t>MCL2186</t>
  </si>
  <si>
    <t>Balasubramanian K</t>
  </si>
  <si>
    <t>MCL2187</t>
  </si>
  <si>
    <t>Sathish Kumar R</t>
  </si>
  <si>
    <t>MCL2189</t>
  </si>
  <si>
    <t>S. Kanagaraj</t>
  </si>
  <si>
    <t>MCL2190</t>
  </si>
  <si>
    <t>Buvaneshwaran .P</t>
  </si>
  <si>
    <t>MCL2191</t>
  </si>
  <si>
    <t>Kalaichelvan .T</t>
  </si>
  <si>
    <t>MCL2192</t>
  </si>
  <si>
    <t>Mani .C</t>
  </si>
  <si>
    <t>MCL2194</t>
  </si>
  <si>
    <t>Muthukumaran .A</t>
  </si>
  <si>
    <t>MCL2195</t>
  </si>
  <si>
    <t>Manas Banerjee</t>
  </si>
  <si>
    <t>Hotel Projects</t>
  </si>
  <si>
    <t>MCL2196</t>
  </si>
  <si>
    <t>S. Karthigeyan</t>
  </si>
  <si>
    <t>MCL2197</t>
  </si>
  <si>
    <t>Joseph Stanislus</t>
  </si>
  <si>
    <t>MCL2198</t>
  </si>
  <si>
    <t>MCL2199</t>
  </si>
  <si>
    <t>L P Raman</t>
  </si>
  <si>
    <t xml:space="preserve">Senior Vice President </t>
  </si>
  <si>
    <t>LNG Projects &amp; Planning</t>
  </si>
  <si>
    <t>MCL2201</t>
  </si>
  <si>
    <t>P.Thiviyanathan</t>
  </si>
  <si>
    <t>Assistant Ship Unloader Operator</t>
  </si>
  <si>
    <t>MCL2202</t>
  </si>
  <si>
    <t>M Annadurai</t>
  </si>
  <si>
    <t>MCL2203</t>
  </si>
  <si>
    <t>G.Venkataraman</t>
  </si>
  <si>
    <t>MCL2204</t>
  </si>
  <si>
    <t>T.S. Suresh</t>
  </si>
  <si>
    <t>MCL2205</t>
  </si>
  <si>
    <t>Duraisingam .M</t>
  </si>
  <si>
    <t>MCL2206</t>
  </si>
  <si>
    <t>Balaji .C</t>
  </si>
  <si>
    <t>MCL2207</t>
  </si>
  <si>
    <t>Ganesh .P</t>
  </si>
  <si>
    <t>MCL2208</t>
  </si>
  <si>
    <t>Priyadharshini K</t>
  </si>
  <si>
    <t>MCL2209</t>
  </si>
  <si>
    <t>Nagaraj K</t>
  </si>
  <si>
    <t xml:space="preserve">Office </t>
  </si>
  <si>
    <t>MCL2210</t>
  </si>
  <si>
    <t>Vishal Kumar</t>
  </si>
  <si>
    <t>MCL2211</t>
  </si>
  <si>
    <t>S.Jeyaraman</t>
  </si>
  <si>
    <t>Manager- Project Planning &amp; Control</t>
  </si>
  <si>
    <t>MCL2212</t>
  </si>
  <si>
    <t>T.K.Sreekumar</t>
  </si>
  <si>
    <t>Deputy Manager - Machanical</t>
  </si>
  <si>
    <t>MCL2213</t>
  </si>
  <si>
    <t>Senthil .P</t>
  </si>
  <si>
    <t>MCL2214</t>
  </si>
  <si>
    <t>J. Muguntha Gopal</t>
  </si>
  <si>
    <t>MCL2215</t>
  </si>
  <si>
    <t>Umesh Jangi</t>
  </si>
  <si>
    <t>MCL2216</t>
  </si>
  <si>
    <t>Venkataramanan .V</t>
  </si>
  <si>
    <t>Engineer - QS &amp; Billing</t>
  </si>
  <si>
    <t>MCL2217</t>
  </si>
  <si>
    <t>Thilagar .SM</t>
  </si>
  <si>
    <t>MCL2218</t>
  </si>
  <si>
    <t>Shanmugam .M</t>
  </si>
  <si>
    <t>Senior Engineer _ Projects</t>
  </si>
  <si>
    <t>MCL2219</t>
  </si>
  <si>
    <t>Sathish Kumar .M</t>
  </si>
  <si>
    <t>MCL2220</t>
  </si>
  <si>
    <t>Sivarama Subramanian .P</t>
  </si>
  <si>
    <t>Fish Landing Nagore</t>
  </si>
  <si>
    <t>MCL2221</t>
  </si>
  <si>
    <t>Sripriyaa C</t>
  </si>
  <si>
    <t>Assistant Executive -  Taxation</t>
  </si>
  <si>
    <t>MCL2222</t>
  </si>
  <si>
    <t>Deepak Kumar Patro</t>
  </si>
  <si>
    <t>Assistant Manager - Finance &amp; Accounts</t>
  </si>
  <si>
    <t>MCL2223</t>
  </si>
  <si>
    <t>Kumaraguru .k</t>
  </si>
  <si>
    <t>MCL2224</t>
  </si>
  <si>
    <t>Ravishankar .S</t>
  </si>
  <si>
    <t>MCL2225</t>
  </si>
  <si>
    <t>Syed Mohamed . S</t>
  </si>
  <si>
    <t>MCL2226</t>
  </si>
  <si>
    <t xml:space="preserve">Shreys Kadapala                 </t>
  </si>
  <si>
    <t>MCL2227</t>
  </si>
  <si>
    <t>V. Ramkumar Nadar</t>
  </si>
  <si>
    <t>MCL2228</t>
  </si>
  <si>
    <t>G.X.Anand</t>
  </si>
  <si>
    <t>MCL2229</t>
  </si>
  <si>
    <t>R.Sabarish</t>
  </si>
  <si>
    <t>MCL2230</t>
  </si>
  <si>
    <t>Vijay Donald .V</t>
  </si>
  <si>
    <t>JM4</t>
  </si>
  <si>
    <t>MCL2231</t>
  </si>
  <si>
    <t>Sivakumar .R</t>
  </si>
  <si>
    <t>JM2</t>
  </si>
  <si>
    <t>MCL2233</t>
  </si>
  <si>
    <t>Aravinthan .M</t>
  </si>
  <si>
    <t>MCL2234</t>
  </si>
  <si>
    <t>Krishnamoorthi .C</t>
  </si>
  <si>
    <t>Century Saras</t>
  </si>
  <si>
    <t>MCL2235</t>
  </si>
  <si>
    <t xml:space="preserve">Prakash </t>
  </si>
  <si>
    <t>MM2</t>
  </si>
  <si>
    <t>Manager - F &amp; A</t>
  </si>
  <si>
    <t>MCL2236</t>
  </si>
  <si>
    <t>Alagarsamy R</t>
  </si>
  <si>
    <t>MCL2237</t>
  </si>
  <si>
    <t>Prabakar V</t>
  </si>
  <si>
    <t>MCL2238</t>
  </si>
  <si>
    <t>Srinivasan .K</t>
  </si>
  <si>
    <t>MCL2239</t>
  </si>
  <si>
    <t>Sarfraz Nawaz</t>
  </si>
  <si>
    <t>MCL2240</t>
  </si>
  <si>
    <t>Maharaja Pandian .M</t>
  </si>
  <si>
    <t>MCL2241</t>
  </si>
  <si>
    <t>Ramanishankar .P</t>
  </si>
  <si>
    <t>MCL2242</t>
  </si>
  <si>
    <t>Mahesh Kumar .K.P</t>
  </si>
  <si>
    <t>MCL2243</t>
  </si>
  <si>
    <t>S. Parivallal</t>
  </si>
  <si>
    <t>Management Trainee – Cargo Operations</t>
  </si>
  <si>
    <t>MCL2244</t>
  </si>
  <si>
    <t>Anand Priy</t>
  </si>
  <si>
    <t>MCL2245</t>
  </si>
  <si>
    <t>Kalaiyarasan M</t>
  </si>
  <si>
    <t>Junior Oficer</t>
  </si>
  <si>
    <t>MCL2246</t>
  </si>
  <si>
    <t>T. Saravanan</t>
  </si>
  <si>
    <t>MCL2247</t>
  </si>
  <si>
    <t>G. Bharath Kumar Reddy</t>
  </si>
  <si>
    <t>Assistant Officer - Cargo</t>
  </si>
  <si>
    <t>MCL2248</t>
  </si>
  <si>
    <t>Hans Raj</t>
  </si>
  <si>
    <t>MCL2249</t>
  </si>
  <si>
    <t>S. Kumaraguru</t>
  </si>
  <si>
    <t>Senior Manager - Accounts</t>
  </si>
  <si>
    <t>MCL2250</t>
  </si>
  <si>
    <t>Kumar Arjunan</t>
  </si>
  <si>
    <t>MCL2251</t>
  </si>
  <si>
    <t xml:space="preserve">Kumaresh Murthy M </t>
  </si>
  <si>
    <t>Deputy General Manager - Technical Audit</t>
  </si>
  <si>
    <t>Technical Audit</t>
  </si>
  <si>
    <t>MCL2252</t>
  </si>
  <si>
    <t>Sudhakar Nadupalle </t>
  </si>
  <si>
    <t>Head – Liasioning, Security &amp; Estate Management </t>
  </si>
  <si>
    <t>Estate Management</t>
  </si>
  <si>
    <t>MCL2253</t>
  </si>
  <si>
    <t>Shiyath Mohmaed.J</t>
  </si>
  <si>
    <t>Document Controller</t>
  </si>
  <si>
    <t>MCL2254</t>
  </si>
  <si>
    <t>Mohamed Raza Akram Khansha J</t>
  </si>
  <si>
    <t>Anania Infratructure</t>
  </si>
  <si>
    <t>MCL2255</t>
  </si>
  <si>
    <t>Aslam Hayath S I</t>
  </si>
  <si>
    <t>MCL2256</t>
  </si>
  <si>
    <t>B. Muralidhar</t>
  </si>
  <si>
    <t>Manager - Tankfarm Operations</t>
  </si>
  <si>
    <t>Tankfarm</t>
  </si>
  <si>
    <t>MCL2257</t>
  </si>
  <si>
    <t>Ramesh Kumar .T</t>
  </si>
  <si>
    <t>MCL2258</t>
  </si>
  <si>
    <t>Vellaisamy .G</t>
  </si>
  <si>
    <t>Junior officer - HSE</t>
  </si>
  <si>
    <t>MCL2259</t>
  </si>
  <si>
    <t>Nivas Sheriff .A</t>
  </si>
  <si>
    <t>Executive - SAP Support</t>
  </si>
  <si>
    <t>Bangalore Office</t>
  </si>
  <si>
    <t>MCL2260</t>
  </si>
  <si>
    <t>Syed Mohamed Buhari .S</t>
  </si>
  <si>
    <t>Executive - F &amp; A</t>
  </si>
  <si>
    <t>Century Project, Bangalore</t>
  </si>
  <si>
    <t>MCL2261</t>
  </si>
  <si>
    <t>Pravin Sabapathy.P</t>
  </si>
  <si>
    <t>MCL2262</t>
  </si>
  <si>
    <t>Vijay Ganesh.K</t>
  </si>
  <si>
    <t>MCL2263</t>
  </si>
  <si>
    <t>Karthikeyan.K</t>
  </si>
  <si>
    <t>SWD</t>
  </si>
  <si>
    <t>MCL2264</t>
  </si>
  <si>
    <t>Praveen Paul</t>
  </si>
  <si>
    <t>Deputy Manager – Bagging Machine Operations</t>
  </si>
  <si>
    <t>MCL2265</t>
  </si>
  <si>
    <t>Rajendra Prasad Sahu</t>
  </si>
  <si>
    <t>Bhavnagar</t>
  </si>
  <si>
    <t>MCL2266</t>
  </si>
  <si>
    <t>S. Sundara Rajan</t>
  </si>
  <si>
    <t>Security Officer</t>
  </si>
  <si>
    <t>Security</t>
  </si>
  <si>
    <t>MCL2267</t>
  </si>
  <si>
    <t>G. Murali Krishna</t>
  </si>
  <si>
    <t>Deputy General Manager - Tankfarm Operation</t>
  </si>
  <si>
    <t>MCL2268</t>
  </si>
  <si>
    <t>Sathishkumar .P</t>
  </si>
  <si>
    <t>MCL2270</t>
  </si>
  <si>
    <t>Murukan.S</t>
  </si>
  <si>
    <t>MCL2271</t>
  </si>
  <si>
    <t>Sudhakar.J</t>
  </si>
  <si>
    <t>Assistant Engineer - Billing</t>
  </si>
  <si>
    <t>MCL2272</t>
  </si>
  <si>
    <t>Thirumalai Muthukumar.R</t>
  </si>
  <si>
    <t>Junior Engineer - QS</t>
  </si>
  <si>
    <t>MCL2273</t>
  </si>
  <si>
    <t>Arun.S</t>
  </si>
  <si>
    <t>Savithajalih</t>
  </si>
  <si>
    <t>MCL2274</t>
  </si>
  <si>
    <t>Vikram Singh</t>
  </si>
  <si>
    <t>MCL2275</t>
  </si>
  <si>
    <t xml:space="preserve"> Chhote Lal Rai</t>
  </si>
  <si>
    <t>Uttra Pradesh</t>
  </si>
  <si>
    <t>MCL2276</t>
  </si>
  <si>
    <t>Jerald Peter Damien. J</t>
  </si>
  <si>
    <t>Deputy General Manager - QA/QC</t>
  </si>
  <si>
    <t>MCL2278</t>
  </si>
  <si>
    <t>Chandrasekar A</t>
  </si>
  <si>
    <t>MCL2279</t>
  </si>
  <si>
    <t>Vinayagamurthy</t>
  </si>
  <si>
    <t>MCL2280</t>
  </si>
  <si>
    <t>Pasupathy T</t>
  </si>
  <si>
    <t>MCL2281</t>
  </si>
  <si>
    <t>Naresh Singh</t>
  </si>
  <si>
    <t>MCL2282</t>
  </si>
  <si>
    <t>Hariprabhu .T</t>
  </si>
  <si>
    <t>MCL2283</t>
  </si>
  <si>
    <t>Mansoor Ali</t>
  </si>
  <si>
    <t>MCL2284</t>
  </si>
  <si>
    <t>Shailendra Raghav</t>
  </si>
  <si>
    <t>MCL2285</t>
  </si>
  <si>
    <t>Hiren Dave</t>
  </si>
  <si>
    <t xml:space="preserve">Assistant General Manager </t>
  </si>
  <si>
    <t>Ahmedabad</t>
  </si>
  <si>
    <t>MCL2286</t>
  </si>
  <si>
    <t>A.Bawadeen</t>
  </si>
  <si>
    <t>MCL2287</t>
  </si>
  <si>
    <t>Chelladurai .S</t>
  </si>
  <si>
    <t>MCL2288</t>
  </si>
  <si>
    <t>Anand.B.U</t>
  </si>
  <si>
    <t>MCL2289</t>
  </si>
  <si>
    <t>Meikandan K</t>
  </si>
  <si>
    <t>Assistan Manager</t>
  </si>
  <si>
    <t xml:space="preserve">Assistant Manager </t>
  </si>
  <si>
    <t>MCL2290</t>
  </si>
  <si>
    <t>Naubahar Singh</t>
  </si>
  <si>
    <t>MCL2291</t>
  </si>
  <si>
    <t>Bhuvaneshwari. M</t>
  </si>
  <si>
    <t>Assistan Engineer</t>
  </si>
  <si>
    <t>Planniing</t>
  </si>
  <si>
    <t>MCL2293</t>
  </si>
  <si>
    <t>S Ashok Kumar</t>
  </si>
  <si>
    <t>MCL2294</t>
  </si>
  <si>
    <t>C. Venkatesh</t>
  </si>
  <si>
    <t>MCL2295</t>
  </si>
  <si>
    <t>Raja rajan K</t>
  </si>
  <si>
    <t>MCL2296</t>
  </si>
  <si>
    <t>Deepak Kumar.G</t>
  </si>
  <si>
    <t>MCL2297</t>
  </si>
  <si>
    <t>Thamizh Selvan .A</t>
  </si>
  <si>
    <t>Salam WTP</t>
  </si>
  <si>
    <t>MCL2298</t>
  </si>
  <si>
    <t>Mohamed Atham Kajee</t>
  </si>
  <si>
    <t>Savithanjali</t>
  </si>
  <si>
    <t>MCL2299</t>
  </si>
  <si>
    <t>Emerstone Kingsley Peter</t>
  </si>
  <si>
    <t>Container Operations</t>
  </si>
  <si>
    <t>MCL2300</t>
  </si>
  <si>
    <t>Samraj. R</t>
  </si>
  <si>
    <t>MCL2301</t>
  </si>
  <si>
    <t>C.Senthilkumaran</t>
  </si>
  <si>
    <t>MCL2302</t>
  </si>
  <si>
    <t>Srinivasagan.K</t>
  </si>
  <si>
    <t>MCL2303</t>
  </si>
  <si>
    <t>Manikandakumar.V</t>
  </si>
  <si>
    <t>MCL2304</t>
  </si>
  <si>
    <t>Elango.J</t>
  </si>
  <si>
    <t>MCL2305</t>
  </si>
  <si>
    <t>Sundar.N</t>
  </si>
  <si>
    <t>Salem SWD</t>
  </si>
  <si>
    <t>MCL2306</t>
  </si>
  <si>
    <t>K. Natarajan</t>
  </si>
  <si>
    <t>MCL2307</t>
  </si>
  <si>
    <t>Kumar.S.A</t>
  </si>
  <si>
    <t>Engineer - Plumbing</t>
  </si>
  <si>
    <t>MCL2308</t>
  </si>
  <si>
    <t>S. Arulventhan</t>
  </si>
  <si>
    <t xml:space="preserve">Deputy General Manager – Projects </t>
  </si>
  <si>
    <t>MCL2309</t>
  </si>
  <si>
    <t xml:space="preserve">Jatin Didwania </t>
  </si>
  <si>
    <t>MCL2310</t>
  </si>
  <si>
    <t>J Gounasekaran</t>
  </si>
  <si>
    <t>MCL2311</t>
  </si>
  <si>
    <t>B. Vijay</t>
  </si>
  <si>
    <t>MCL2312</t>
  </si>
  <si>
    <t>S.Chandran</t>
  </si>
  <si>
    <t>MCL2313</t>
  </si>
  <si>
    <t>Saravanan.G</t>
  </si>
  <si>
    <t>MCL2314</t>
  </si>
  <si>
    <t>Krishnan.G</t>
  </si>
  <si>
    <t>MCL2315</t>
  </si>
  <si>
    <t>Ashok Kumar Singh</t>
  </si>
  <si>
    <t>Project</t>
  </si>
  <si>
    <t>MCL2316</t>
  </si>
  <si>
    <t>Moorthy D</t>
  </si>
  <si>
    <t>Navin's</t>
  </si>
  <si>
    <t>MCL2317</t>
  </si>
  <si>
    <t>Vino Rateesh</t>
  </si>
  <si>
    <t>MCL2318</t>
  </si>
  <si>
    <t>Sandeep Kumar</t>
  </si>
  <si>
    <t>MCL2319</t>
  </si>
  <si>
    <t>Jay Kumar Yadav</t>
  </si>
  <si>
    <t xml:space="preserve">Delhi </t>
  </si>
  <si>
    <t>MCL2320</t>
  </si>
  <si>
    <t>C.V.Vijaya Kumar </t>
  </si>
  <si>
    <t>Vice President  - International Business Development</t>
  </si>
  <si>
    <t>MCL2321</t>
  </si>
  <si>
    <t>Kumaresan D</t>
  </si>
  <si>
    <t>MCL2322</t>
  </si>
  <si>
    <t>Ravi P</t>
  </si>
  <si>
    <t>MCL2323</t>
  </si>
  <si>
    <t>T. Umesh Balaji</t>
  </si>
  <si>
    <t>MCL2324</t>
  </si>
  <si>
    <t>Siva Kumar.S</t>
  </si>
  <si>
    <t>MCL2325</t>
  </si>
  <si>
    <t>N.K. Sankar</t>
  </si>
  <si>
    <t>MCL2326</t>
  </si>
  <si>
    <t>S.B. Manikandan</t>
  </si>
  <si>
    <t>MCL2327</t>
  </si>
  <si>
    <t>Dinesh Packiasamy.S</t>
  </si>
  <si>
    <t>MCL2328</t>
  </si>
  <si>
    <t>Raj Kumar E</t>
  </si>
  <si>
    <t>Executieve</t>
  </si>
  <si>
    <t>Navins</t>
  </si>
  <si>
    <t>MCL2329</t>
  </si>
  <si>
    <t>Dharmvir</t>
  </si>
  <si>
    <t>MCL2330</t>
  </si>
  <si>
    <t>Vinayagam. S</t>
  </si>
  <si>
    <t>Engineer - Estimation</t>
  </si>
  <si>
    <t>Design &amp; Optimisation</t>
  </si>
  <si>
    <t>MCL2331</t>
  </si>
  <si>
    <t>Alagesan.S</t>
  </si>
  <si>
    <t>Deputy Manager -Planning</t>
  </si>
  <si>
    <t>MCL2332</t>
  </si>
  <si>
    <t>N.Jaganathan</t>
  </si>
  <si>
    <t>Senior General Manager – Projects</t>
  </si>
  <si>
    <t>MCL2333</t>
  </si>
  <si>
    <t>K.K. Rathish Kumar</t>
  </si>
  <si>
    <t>Deputy General Manager – Security &amp; Vigilance</t>
  </si>
  <si>
    <t xml:space="preserve">Security </t>
  </si>
  <si>
    <t>MCL2334</t>
  </si>
  <si>
    <t>Michael Meria Francis</t>
  </si>
  <si>
    <t>MCL2335</t>
  </si>
  <si>
    <t>Ravi Kumar</t>
  </si>
  <si>
    <t>Junior Engineer - Civil</t>
  </si>
  <si>
    <t>MCL2336</t>
  </si>
  <si>
    <t>G.Jayakumar</t>
  </si>
  <si>
    <t>Cargo operations</t>
  </si>
  <si>
    <t>MCL2337</t>
  </si>
  <si>
    <t>Chandramouli</t>
  </si>
  <si>
    <t>MCL2338</t>
  </si>
  <si>
    <t>L. Loganathan</t>
  </si>
  <si>
    <t>Deputy Manager – Container Operations</t>
  </si>
  <si>
    <t>Years of Exp MCL</t>
  </si>
  <si>
    <t xml:space="preserve">Department </t>
  </si>
  <si>
    <t>S.No</t>
  </si>
  <si>
    <t>Using vlook-up identify the department, location, Gender and Grade of the specified employee
All employee data are available in sheet 1 named Data Dump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</si>
</sst>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3">
    <font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10"/>
      <name val="Helv"/>
      <charset val="20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indexed="8"/>
      <name val="Cambria"/>
      <family val="1"/>
    </font>
    <font>
      <sz val="11"/>
      <name val="Cambria"/>
      <family val="1"/>
    </font>
    <font>
      <sz val="11"/>
      <color indexed="8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75">
    <xf numFmtId="0" fontId="0" fillId="0" borderId="0" xfId="0">
      <alignment vertical="top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5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" fontId="3" fillId="3" borderId="1" xfId="1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0" fillId="0" borderId="0" xfId="0" applyNumberFormat="1" applyAlignment="1"/>
    <xf numFmtId="164" fontId="4" fillId="5" borderId="1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</cellXfs>
  <cellStyles count="2">
    <cellStyle name="Normal" xfId="0" builtinId="0"/>
    <cellStyle name="Normal_Sheet1" xfId="1" xr:uid="{E7787E3F-6C50-48F9-9358-77FECBB94BE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8D6F-D8D3-4DB9-A699-789675BC186A}">
  <sheetPr>
    <tabColor indexed="12"/>
    <pageSetUpPr fitToPage="1"/>
  </sheetPr>
  <dimension ref="A1:CL1271"/>
  <sheetViews>
    <sheetView showGridLines="0" zoomScale="85" zoomScaleNormal="85" workbookViewId="0">
      <pane xSplit="3" ySplit="1" topLeftCell="D1246" activePane="bottomRight" state="frozen"/>
      <selection pane="topRight" activeCell="D1" sqref="D1"/>
      <selection pane="bottomLeft" activeCell="A2" sqref="A2"/>
      <selection pane="bottomRight" activeCell="B1251" sqref="B1251:C1256"/>
    </sheetView>
  </sheetViews>
  <sheetFormatPr defaultRowHeight="35.25" customHeight="1"/>
  <cols>
    <col min="1" max="1" width="11.44140625" style="5" bestFit="1" customWidth="1"/>
    <col min="2" max="2" width="13.6640625" style="5" bestFit="1" customWidth="1"/>
    <col min="3" max="3" width="34.109375" style="5" bestFit="1" customWidth="1"/>
    <col min="4" max="4" width="13.44140625" style="5" customWidth="1"/>
    <col min="5" max="5" width="10.88671875" style="5" customWidth="1"/>
    <col min="6" max="6" width="10.33203125" style="5" customWidth="1"/>
    <col min="7" max="7" width="12.44140625" style="5" customWidth="1"/>
    <col min="8" max="8" width="10" style="5" customWidth="1"/>
    <col min="9" max="9" width="10.88671875" style="5" customWidth="1"/>
    <col min="10" max="10" width="12.33203125" style="5" customWidth="1"/>
    <col min="11" max="11" width="66.5546875" style="5" customWidth="1"/>
    <col min="12" max="12" width="30.33203125" style="5" customWidth="1"/>
    <col min="13" max="13" width="25.5546875" style="5" customWidth="1"/>
    <col min="14" max="14" width="19.88671875" style="62" customWidth="1"/>
    <col min="15" max="15" width="20.88671875" style="5" customWidth="1"/>
    <col min="16" max="16" width="17.109375" style="5" customWidth="1"/>
    <col min="17" max="17" width="20" style="5" customWidth="1"/>
    <col min="18" max="18" width="26.5546875" style="5" bestFit="1" customWidth="1"/>
    <col min="19" max="19" width="16.44140625" style="5" bestFit="1" customWidth="1"/>
    <col min="20" max="20" width="15.6640625" style="5" bestFit="1" customWidth="1"/>
    <col min="21" max="167" width="8.88671875" style="5"/>
    <col min="168" max="168" width="11.44140625" style="5" bestFit="1" customWidth="1"/>
    <col min="169" max="169" width="13.6640625" style="5" bestFit="1" customWidth="1"/>
    <col min="170" max="170" width="34.109375" style="5" bestFit="1" customWidth="1"/>
    <col min="171" max="171" width="13.44140625" style="5" customWidth="1"/>
    <col min="172" max="172" width="12.33203125" style="5" customWidth="1"/>
    <col min="173" max="173" width="10.88671875" style="5" customWidth="1"/>
    <col min="174" max="174" width="10.33203125" style="5" customWidth="1"/>
    <col min="175" max="175" width="12.44140625" style="5" customWidth="1"/>
    <col min="176" max="176" width="10" style="5" customWidth="1"/>
    <col min="177" max="177" width="10.88671875" style="5" customWidth="1"/>
    <col min="178" max="178" width="12.33203125" style="5" customWidth="1"/>
    <col min="179" max="179" width="66.5546875" style="5" customWidth="1"/>
    <col min="180" max="180" width="30.33203125" style="5" customWidth="1"/>
    <col min="181" max="181" width="25.5546875" style="5" customWidth="1"/>
    <col min="182" max="182" width="16.44140625" style="5" customWidth="1"/>
    <col min="183" max="183" width="16.109375" style="5" customWidth="1"/>
    <col min="184" max="184" width="19.33203125" style="5" customWidth="1"/>
    <col min="185" max="185" width="19.88671875" style="5" customWidth="1"/>
    <col min="186" max="186" width="20.88671875" style="5" customWidth="1"/>
    <col min="187" max="187" width="17.109375" style="5" customWidth="1"/>
    <col min="188" max="188" width="17" style="5" customWidth="1"/>
    <col min="189" max="189" width="17.6640625" style="5" customWidth="1"/>
    <col min="190" max="190" width="14.109375" style="5" customWidth="1"/>
    <col min="191" max="191" width="15.109375" style="5" customWidth="1"/>
    <col min="192" max="192" width="19.5546875" style="5" customWidth="1"/>
    <col min="193" max="193" width="20" style="5" customWidth="1"/>
    <col min="194" max="194" width="20.109375" style="5" customWidth="1"/>
    <col min="195" max="195" width="30.6640625" style="5" customWidth="1"/>
    <col min="196" max="196" width="26.44140625" style="5" customWidth="1"/>
    <col min="197" max="197" width="21.109375" style="5" customWidth="1"/>
    <col min="198" max="198" width="29.5546875" style="5" customWidth="1"/>
    <col min="199" max="199" width="10.88671875" style="5" customWidth="1"/>
    <col min="200" max="200" width="10.33203125" style="5" customWidth="1"/>
    <col min="201" max="201" width="16.33203125" style="5" customWidth="1"/>
    <col min="202" max="202" width="14.44140625" style="5" customWidth="1"/>
    <col min="203" max="203" width="25.6640625" style="5" customWidth="1"/>
    <col min="204" max="204" width="10.88671875" style="5" customWidth="1"/>
    <col min="205" max="205" width="19.5546875" style="5" customWidth="1"/>
    <col min="206" max="206" width="13.44140625" style="5" customWidth="1"/>
    <col min="207" max="207" width="15.109375" style="5" customWidth="1"/>
    <col min="208" max="208" width="24.88671875" style="5" customWidth="1"/>
    <col min="209" max="209" width="10.88671875" style="5" customWidth="1"/>
    <col min="210" max="210" width="13.5546875" style="5" customWidth="1"/>
    <col min="211" max="211" width="13.44140625" style="5" customWidth="1"/>
    <col min="212" max="212" width="15.109375" style="5" customWidth="1"/>
    <col min="213" max="213" width="16.44140625" style="5" customWidth="1"/>
    <col min="214" max="214" width="11.5546875" style="5" customWidth="1"/>
    <col min="215" max="215" width="13.44140625" style="5" customWidth="1"/>
    <col min="216" max="216" width="16.33203125" style="5" customWidth="1"/>
    <col min="217" max="217" width="45.6640625" style="5" bestFit="1" customWidth="1"/>
    <col min="218" max="218" width="31.6640625" style="5" bestFit="1" customWidth="1"/>
    <col min="219" max="219" width="18.88671875" style="5" bestFit="1" customWidth="1"/>
    <col min="220" max="220" width="115.44140625" style="5" bestFit="1" customWidth="1"/>
    <col min="221" max="221" width="26.5546875" style="5" bestFit="1" customWidth="1"/>
    <col min="222" max="222" width="118.109375" style="5" bestFit="1" customWidth="1"/>
    <col min="223" max="223" width="26.5546875" style="5" bestFit="1" customWidth="1"/>
    <col min="224" max="224" width="17.88671875" style="5" bestFit="1" customWidth="1"/>
    <col min="225" max="225" width="16" style="5" customWidth="1"/>
    <col min="226" max="226" width="18.88671875" style="5" bestFit="1" customWidth="1"/>
    <col min="227" max="227" width="22" style="5" customWidth="1"/>
    <col min="228" max="228" width="29.88671875" style="5" bestFit="1" customWidth="1"/>
    <col min="229" max="229" width="46.5546875" style="5" bestFit="1" customWidth="1"/>
    <col min="230" max="230" width="47.5546875" style="5" bestFit="1" customWidth="1"/>
    <col min="231" max="231" width="39.109375" style="5" bestFit="1" customWidth="1"/>
    <col min="232" max="232" width="20.6640625" style="5" bestFit="1" customWidth="1"/>
    <col min="233" max="233" width="17.33203125" style="5" bestFit="1" customWidth="1"/>
    <col min="234" max="234" width="33.109375" style="5" bestFit="1" customWidth="1"/>
    <col min="235" max="235" width="43.88671875" style="5" bestFit="1" customWidth="1"/>
    <col min="236" max="236" width="43.5546875" style="5" bestFit="1" customWidth="1"/>
    <col min="237" max="237" width="16.109375" style="5" bestFit="1" customWidth="1"/>
    <col min="238" max="238" width="17.33203125" style="5" bestFit="1" customWidth="1"/>
    <col min="239" max="239" width="28.6640625" style="5" bestFit="1" customWidth="1"/>
    <col min="240" max="240" width="44.33203125" style="5" bestFit="1" customWidth="1"/>
    <col min="241" max="241" width="38" style="5" bestFit="1" customWidth="1"/>
    <col min="242" max="242" width="16.109375" style="5" bestFit="1" customWidth="1"/>
    <col min="243" max="243" width="17.33203125" style="5" bestFit="1" customWidth="1"/>
    <col min="244" max="244" width="20.33203125" style="5" bestFit="1" customWidth="1"/>
    <col min="245" max="245" width="29.44140625" style="5" bestFit="1" customWidth="1"/>
    <col min="246" max="246" width="28.44140625" style="5" bestFit="1" customWidth="1"/>
    <col min="247" max="247" width="16.109375" style="5" bestFit="1" customWidth="1"/>
    <col min="248" max="248" width="17.33203125" style="5" bestFit="1" customWidth="1"/>
    <col min="249" max="249" width="63.109375" style="5" bestFit="1" customWidth="1"/>
    <col min="250" max="250" width="43.5546875" style="5" bestFit="1" customWidth="1"/>
    <col min="251" max="251" width="32.44140625" style="5" bestFit="1" customWidth="1"/>
    <col min="252" max="252" width="22.6640625" style="5" bestFit="1" customWidth="1"/>
    <col min="253" max="253" width="56.5546875" style="5" bestFit="1" customWidth="1"/>
    <col min="254" max="254" width="39.5546875" style="5" bestFit="1" customWidth="1"/>
    <col min="255" max="255" width="24.6640625" style="5" bestFit="1" customWidth="1"/>
    <col min="256" max="256" width="61.88671875" style="5" bestFit="1" customWidth="1"/>
    <col min="257" max="257" width="29.33203125" style="5" bestFit="1" customWidth="1"/>
    <col min="258" max="258" width="29.5546875" style="5" bestFit="1" customWidth="1"/>
    <col min="259" max="259" width="64.33203125" style="5" bestFit="1" customWidth="1"/>
    <col min="260" max="260" width="37" style="5" bestFit="1" customWidth="1"/>
    <col min="261" max="261" width="26.109375" style="5" bestFit="1" customWidth="1"/>
    <col min="262" max="262" width="14.44140625" style="5" bestFit="1" customWidth="1"/>
    <col min="263" max="263" width="16.44140625" style="5" bestFit="1" customWidth="1"/>
    <col min="264" max="264" width="15.6640625" style="5" bestFit="1" customWidth="1"/>
    <col min="265" max="266" width="19" style="5" bestFit="1" customWidth="1"/>
    <col min="267" max="267" width="25.5546875" style="5" customWidth="1"/>
    <col min="268" max="268" width="25.44140625" style="5" customWidth="1"/>
    <col min="269" max="423" width="8.88671875" style="5"/>
    <col min="424" max="424" width="11.44140625" style="5" bestFit="1" customWidth="1"/>
    <col min="425" max="425" width="13.6640625" style="5" bestFit="1" customWidth="1"/>
    <col min="426" max="426" width="34.109375" style="5" bestFit="1" customWidth="1"/>
    <col min="427" max="427" width="13.44140625" style="5" customWidth="1"/>
    <col min="428" max="428" width="12.33203125" style="5" customWidth="1"/>
    <col min="429" max="429" width="10.88671875" style="5" customWidth="1"/>
    <col min="430" max="430" width="10.33203125" style="5" customWidth="1"/>
    <col min="431" max="431" width="12.44140625" style="5" customWidth="1"/>
    <col min="432" max="432" width="10" style="5" customWidth="1"/>
    <col min="433" max="433" width="10.88671875" style="5" customWidth="1"/>
    <col min="434" max="434" width="12.33203125" style="5" customWidth="1"/>
    <col min="435" max="435" width="66.5546875" style="5" customWidth="1"/>
    <col min="436" max="436" width="30.33203125" style="5" customWidth="1"/>
    <col min="437" max="437" width="25.5546875" style="5" customWidth="1"/>
    <col min="438" max="438" width="16.44140625" style="5" customWidth="1"/>
    <col min="439" max="439" width="16.109375" style="5" customWidth="1"/>
    <col min="440" max="440" width="19.33203125" style="5" customWidth="1"/>
    <col min="441" max="441" width="19.88671875" style="5" customWidth="1"/>
    <col min="442" max="442" width="20.88671875" style="5" customWidth="1"/>
    <col min="443" max="443" width="17.109375" style="5" customWidth="1"/>
    <col min="444" max="444" width="17" style="5" customWidth="1"/>
    <col min="445" max="445" width="17.6640625" style="5" customWidth="1"/>
    <col min="446" max="446" width="14.109375" style="5" customWidth="1"/>
    <col min="447" max="447" width="15.109375" style="5" customWidth="1"/>
    <col min="448" max="448" width="19.5546875" style="5" customWidth="1"/>
    <col min="449" max="449" width="20" style="5" customWidth="1"/>
    <col min="450" max="450" width="20.109375" style="5" customWidth="1"/>
    <col min="451" max="451" width="30.6640625" style="5" customWidth="1"/>
    <col min="452" max="452" width="26.44140625" style="5" customWidth="1"/>
    <col min="453" max="453" width="21.109375" style="5" customWidth="1"/>
    <col min="454" max="454" width="29.5546875" style="5" customWidth="1"/>
    <col min="455" max="455" width="10.88671875" style="5" customWidth="1"/>
    <col min="456" max="456" width="10.33203125" style="5" customWidth="1"/>
    <col min="457" max="457" width="16.33203125" style="5" customWidth="1"/>
    <col min="458" max="458" width="14.44140625" style="5" customWidth="1"/>
    <col min="459" max="459" width="25.6640625" style="5" customWidth="1"/>
    <col min="460" max="460" width="10.88671875" style="5" customWidth="1"/>
    <col min="461" max="461" width="19.5546875" style="5" customWidth="1"/>
    <col min="462" max="462" width="13.44140625" style="5" customWidth="1"/>
    <col min="463" max="463" width="15.109375" style="5" customWidth="1"/>
    <col min="464" max="464" width="24.88671875" style="5" customWidth="1"/>
    <col min="465" max="465" width="10.88671875" style="5" customWidth="1"/>
    <col min="466" max="466" width="13.5546875" style="5" customWidth="1"/>
    <col min="467" max="467" width="13.44140625" style="5" customWidth="1"/>
    <col min="468" max="468" width="15.109375" style="5" customWidth="1"/>
    <col min="469" max="469" width="16.44140625" style="5" customWidth="1"/>
    <col min="470" max="470" width="11.5546875" style="5" customWidth="1"/>
    <col min="471" max="471" width="13.44140625" style="5" customWidth="1"/>
    <col min="472" max="472" width="16.33203125" style="5" customWidth="1"/>
    <col min="473" max="473" width="45.6640625" style="5" bestFit="1" customWidth="1"/>
    <col min="474" max="474" width="31.6640625" style="5" bestFit="1" customWidth="1"/>
    <col min="475" max="475" width="18.88671875" style="5" bestFit="1" customWidth="1"/>
    <col min="476" max="476" width="115.44140625" style="5" bestFit="1" customWidth="1"/>
    <col min="477" max="477" width="26.5546875" style="5" bestFit="1" customWidth="1"/>
    <col min="478" max="478" width="118.109375" style="5" bestFit="1" customWidth="1"/>
    <col min="479" max="479" width="26.5546875" style="5" bestFit="1" customWidth="1"/>
    <col min="480" max="480" width="17.88671875" style="5" bestFit="1" customWidth="1"/>
    <col min="481" max="481" width="16" style="5" customWidth="1"/>
    <col min="482" max="482" width="18.88671875" style="5" bestFit="1" customWidth="1"/>
    <col min="483" max="483" width="22" style="5" customWidth="1"/>
    <col min="484" max="484" width="29.88671875" style="5" bestFit="1" customWidth="1"/>
    <col min="485" max="485" width="46.5546875" style="5" bestFit="1" customWidth="1"/>
    <col min="486" max="486" width="47.5546875" style="5" bestFit="1" customWidth="1"/>
    <col min="487" max="487" width="39.109375" style="5" bestFit="1" customWidth="1"/>
    <col min="488" max="488" width="20.6640625" style="5" bestFit="1" customWidth="1"/>
    <col min="489" max="489" width="17.33203125" style="5" bestFit="1" customWidth="1"/>
    <col min="490" max="490" width="33.109375" style="5" bestFit="1" customWidth="1"/>
    <col min="491" max="491" width="43.88671875" style="5" bestFit="1" customWidth="1"/>
    <col min="492" max="492" width="43.5546875" style="5" bestFit="1" customWidth="1"/>
    <col min="493" max="493" width="16.109375" style="5" bestFit="1" customWidth="1"/>
    <col min="494" max="494" width="17.33203125" style="5" bestFit="1" customWidth="1"/>
    <col min="495" max="495" width="28.6640625" style="5" bestFit="1" customWidth="1"/>
    <col min="496" max="496" width="44.33203125" style="5" bestFit="1" customWidth="1"/>
    <col min="497" max="497" width="38" style="5" bestFit="1" customWidth="1"/>
    <col min="498" max="498" width="16.109375" style="5" bestFit="1" customWidth="1"/>
    <col min="499" max="499" width="17.33203125" style="5" bestFit="1" customWidth="1"/>
    <col min="500" max="500" width="20.33203125" style="5" bestFit="1" customWidth="1"/>
    <col min="501" max="501" width="29.44140625" style="5" bestFit="1" customWidth="1"/>
    <col min="502" max="502" width="28.44140625" style="5" bestFit="1" customWidth="1"/>
    <col min="503" max="503" width="16.109375" style="5" bestFit="1" customWidth="1"/>
    <col min="504" max="504" width="17.33203125" style="5" bestFit="1" customWidth="1"/>
    <col min="505" max="505" width="63.109375" style="5" bestFit="1" customWidth="1"/>
    <col min="506" max="506" width="43.5546875" style="5" bestFit="1" customWidth="1"/>
    <col min="507" max="507" width="32.44140625" style="5" bestFit="1" customWidth="1"/>
    <col min="508" max="508" width="22.6640625" style="5" bestFit="1" customWidth="1"/>
    <col min="509" max="509" width="56.5546875" style="5" bestFit="1" customWidth="1"/>
    <col min="510" max="510" width="39.5546875" style="5" bestFit="1" customWidth="1"/>
    <col min="511" max="511" width="24.6640625" style="5" bestFit="1" customWidth="1"/>
    <col min="512" max="512" width="61.88671875" style="5" bestFit="1" customWidth="1"/>
    <col min="513" max="513" width="29.33203125" style="5" bestFit="1" customWidth="1"/>
    <col min="514" max="514" width="29.5546875" style="5" bestFit="1" customWidth="1"/>
    <col min="515" max="515" width="64.33203125" style="5" bestFit="1" customWidth="1"/>
    <col min="516" max="516" width="37" style="5" bestFit="1" customWidth="1"/>
    <col min="517" max="517" width="26.109375" style="5" bestFit="1" customWidth="1"/>
    <col min="518" max="518" width="14.44140625" style="5" bestFit="1" customWidth="1"/>
    <col min="519" max="519" width="16.44140625" style="5" bestFit="1" customWidth="1"/>
    <col min="520" max="520" width="15.6640625" style="5" bestFit="1" customWidth="1"/>
    <col min="521" max="522" width="19" style="5" bestFit="1" customWidth="1"/>
    <col min="523" max="523" width="25.5546875" style="5" customWidth="1"/>
    <col min="524" max="524" width="25.44140625" style="5" customWidth="1"/>
    <col min="525" max="679" width="8.88671875" style="5"/>
    <col min="680" max="680" width="11.44140625" style="5" bestFit="1" customWidth="1"/>
    <col min="681" max="681" width="13.6640625" style="5" bestFit="1" customWidth="1"/>
    <col min="682" max="682" width="34.109375" style="5" bestFit="1" customWidth="1"/>
    <col min="683" max="683" width="13.44140625" style="5" customWidth="1"/>
    <col min="684" max="684" width="12.33203125" style="5" customWidth="1"/>
    <col min="685" max="685" width="10.88671875" style="5" customWidth="1"/>
    <col min="686" max="686" width="10.33203125" style="5" customWidth="1"/>
    <col min="687" max="687" width="12.44140625" style="5" customWidth="1"/>
    <col min="688" max="688" width="10" style="5" customWidth="1"/>
    <col min="689" max="689" width="10.88671875" style="5" customWidth="1"/>
    <col min="690" max="690" width="12.33203125" style="5" customWidth="1"/>
    <col min="691" max="691" width="66.5546875" style="5" customWidth="1"/>
    <col min="692" max="692" width="30.33203125" style="5" customWidth="1"/>
    <col min="693" max="693" width="25.5546875" style="5" customWidth="1"/>
    <col min="694" max="694" width="16.44140625" style="5" customWidth="1"/>
    <col min="695" max="695" width="16.109375" style="5" customWidth="1"/>
    <col min="696" max="696" width="19.33203125" style="5" customWidth="1"/>
    <col min="697" max="697" width="19.88671875" style="5" customWidth="1"/>
    <col min="698" max="698" width="20.88671875" style="5" customWidth="1"/>
    <col min="699" max="699" width="17.109375" style="5" customWidth="1"/>
    <col min="700" max="700" width="17" style="5" customWidth="1"/>
    <col min="701" max="701" width="17.6640625" style="5" customWidth="1"/>
    <col min="702" max="702" width="14.109375" style="5" customWidth="1"/>
    <col min="703" max="703" width="15.109375" style="5" customWidth="1"/>
    <col min="704" max="704" width="19.5546875" style="5" customWidth="1"/>
    <col min="705" max="705" width="20" style="5" customWidth="1"/>
    <col min="706" max="706" width="20.109375" style="5" customWidth="1"/>
    <col min="707" max="707" width="30.6640625" style="5" customWidth="1"/>
    <col min="708" max="708" width="26.44140625" style="5" customWidth="1"/>
    <col min="709" max="709" width="21.109375" style="5" customWidth="1"/>
    <col min="710" max="710" width="29.5546875" style="5" customWidth="1"/>
    <col min="711" max="711" width="10.88671875" style="5" customWidth="1"/>
    <col min="712" max="712" width="10.33203125" style="5" customWidth="1"/>
    <col min="713" max="713" width="16.33203125" style="5" customWidth="1"/>
    <col min="714" max="714" width="14.44140625" style="5" customWidth="1"/>
    <col min="715" max="715" width="25.6640625" style="5" customWidth="1"/>
    <col min="716" max="716" width="10.88671875" style="5" customWidth="1"/>
    <col min="717" max="717" width="19.5546875" style="5" customWidth="1"/>
    <col min="718" max="718" width="13.44140625" style="5" customWidth="1"/>
    <col min="719" max="719" width="15.109375" style="5" customWidth="1"/>
    <col min="720" max="720" width="24.88671875" style="5" customWidth="1"/>
    <col min="721" max="721" width="10.88671875" style="5" customWidth="1"/>
    <col min="722" max="722" width="13.5546875" style="5" customWidth="1"/>
    <col min="723" max="723" width="13.44140625" style="5" customWidth="1"/>
    <col min="724" max="724" width="15.109375" style="5" customWidth="1"/>
    <col min="725" max="725" width="16.44140625" style="5" customWidth="1"/>
    <col min="726" max="726" width="11.5546875" style="5" customWidth="1"/>
    <col min="727" max="727" width="13.44140625" style="5" customWidth="1"/>
    <col min="728" max="728" width="16.33203125" style="5" customWidth="1"/>
    <col min="729" max="729" width="45.6640625" style="5" bestFit="1" customWidth="1"/>
    <col min="730" max="730" width="31.6640625" style="5" bestFit="1" customWidth="1"/>
    <col min="731" max="731" width="18.88671875" style="5" bestFit="1" customWidth="1"/>
    <col min="732" max="732" width="115.44140625" style="5" bestFit="1" customWidth="1"/>
    <col min="733" max="733" width="26.5546875" style="5" bestFit="1" customWidth="1"/>
    <col min="734" max="734" width="118.109375" style="5" bestFit="1" customWidth="1"/>
    <col min="735" max="735" width="26.5546875" style="5" bestFit="1" customWidth="1"/>
    <col min="736" max="736" width="17.88671875" style="5" bestFit="1" customWidth="1"/>
    <col min="737" max="737" width="16" style="5" customWidth="1"/>
    <col min="738" max="738" width="18.88671875" style="5" bestFit="1" customWidth="1"/>
    <col min="739" max="739" width="22" style="5" customWidth="1"/>
    <col min="740" max="740" width="29.88671875" style="5" bestFit="1" customWidth="1"/>
    <col min="741" max="741" width="46.5546875" style="5" bestFit="1" customWidth="1"/>
    <col min="742" max="742" width="47.5546875" style="5" bestFit="1" customWidth="1"/>
    <col min="743" max="743" width="39.109375" style="5" bestFit="1" customWidth="1"/>
    <col min="744" max="744" width="20.6640625" style="5" bestFit="1" customWidth="1"/>
    <col min="745" max="745" width="17.33203125" style="5" bestFit="1" customWidth="1"/>
    <col min="746" max="746" width="33.109375" style="5" bestFit="1" customWidth="1"/>
    <col min="747" max="747" width="43.88671875" style="5" bestFit="1" customWidth="1"/>
    <col min="748" max="748" width="43.5546875" style="5" bestFit="1" customWidth="1"/>
    <col min="749" max="749" width="16.109375" style="5" bestFit="1" customWidth="1"/>
    <col min="750" max="750" width="17.33203125" style="5" bestFit="1" customWidth="1"/>
    <col min="751" max="751" width="28.6640625" style="5" bestFit="1" customWidth="1"/>
    <col min="752" max="752" width="44.33203125" style="5" bestFit="1" customWidth="1"/>
    <col min="753" max="753" width="38" style="5" bestFit="1" customWidth="1"/>
    <col min="754" max="754" width="16.109375" style="5" bestFit="1" customWidth="1"/>
    <col min="755" max="755" width="17.33203125" style="5" bestFit="1" customWidth="1"/>
    <col min="756" max="756" width="20.33203125" style="5" bestFit="1" customWidth="1"/>
    <col min="757" max="757" width="29.44140625" style="5" bestFit="1" customWidth="1"/>
    <col min="758" max="758" width="28.44140625" style="5" bestFit="1" customWidth="1"/>
    <col min="759" max="759" width="16.109375" style="5" bestFit="1" customWidth="1"/>
    <col min="760" max="760" width="17.33203125" style="5" bestFit="1" customWidth="1"/>
    <col min="761" max="761" width="63.109375" style="5" bestFit="1" customWidth="1"/>
    <col min="762" max="762" width="43.5546875" style="5" bestFit="1" customWidth="1"/>
    <col min="763" max="763" width="32.44140625" style="5" bestFit="1" customWidth="1"/>
    <col min="764" max="764" width="22.6640625" style="5" bestFit="1" customWidth="1"/>
    <col min="765" max="765" width="56.5546875" style="5" bestFit="1" customWidth="1"/>
    <col min="766" max="766" width="39.5546875" style="5" bestFit="1" customWidth="1"/>
    <col min="767" max="767" width="24.6640625" style="5" bestFit="1" customWidth="1"/>
    <col min="768" max="768" width="61.88671875" style="5" bestFit="1" customWidth="1"/>
    <col min="769" max="769" width="29.33203125" style="5" bestFit="1" customWidth="1"/>
    <col min="770" max="770" width="29.5546875" style="5" bestFit="1" customWidth="1"/>
    <col min="771" max="771" width="64.33203125" style="5" bestFit="1" customWidth="1"/>
    <col min="772" max="772" width="37" style="5" bestFit="1" customWidth="1"/>
    <col min="773" max="773" width="26.109375" style="5" bestFit="1" customWidth="1"/>
    <col min="774" max="774" width="14.44140625" style="5" bestFit="1" customWidth="1"/>
    <col min="775" max="775" width="16.44140625" style="5" bestFit="1" customWidth="1"/>
    <col min="776" max="776" width="15.6640625" style="5" bestFit="1" customWidth="1"/>
    <col min="777" max="778" width="19" style="5" bestFit="1" customWidth="1"/>
    <col min="779" max="779" width="25.5546875" style="5" customWidth="1"/>
    <col min="780" max="780" width="25.44140625" style="5" customWidth="1"/>
    <col min="781" max="935" width="8.88671875" style="5"/>
    <col min="936" max="936" width="11.44140625" style="5" bestFit="1" customWidth="1"/>
    <col min="937" max="937" width="13.6640625" style="5" bestFit="1" customWidth="1"/>
    <col min="938" max="938" width="34.109375" style="5" bestFit="1" customWidth="1"/>
    <col min="939" max="939" width="13.44140625" style="5" customWidth="1"/>
    <col min="940" max="940" width="12.33203125" style="5" customWidth="1"/>
    <col min="941" max="941" width="10.88671875" style="5" customWidth="1"/>
    <col min="942" max="942" width="10.33203125" style="5" customWidth="1"/>
    <col min="943" max="943" width="12.44140625" style="5" customWidth="1"/>
    <col min="944" max="944" width="10" style="5" customWidth="1"/>
    <col min="945" max="945" width="10.88671875" style="5" customWidth="1"/>
    <col min="946" max="946" width="12.33203125" style="5" customWidth="1"/>
    <col min="947" max="947" width="66.5546875" style="5" customWidth="1"/>
    <col min="948" max="948" width="30.33203125" style="5" customWidth="1"/>
    <col min="949" max="949" width="25.5546875" style="5" customWidth="1"/>
    <col min="950" max="950" width="16.44140625" style="5" customWidth="1"/>
    <col min="951" max="951" width="16.109375" style="5" customWidth="1"/>
    <col min="952" max="952" width="19.33203125" style="5" customWidth="1"/>
    <col min="953" max="953" width="19.88671875" style="5" customWidth="1"/>
    <col min="954" max="954" width="20.88671875" style="5" customWidth="1"/>
    <col min="955" max="955" width="17.109375" style="5" customWidth="1"/>
    <col min="956" max="956" width="17" style="5" customWidth="1"/>
    <col min="957" max="957" width="17.6640625" style="5" customWidth="1"/>
    <col min="958" max="958" width="14.109375" style="5" customWidth="1"/>
    <col min="959" max="959" width="15.109375" style="5" customWidth="1"/>
    <col min="960" max="960" width="19.5546875" style="5" customWidth="1"/>
    <col min="961" max="961" width="20" style="5" customWidth="1"/>
    <col min="962" max="962" width="20.109375" style="5" customWidth="1"/>
    <col min="963" max="963" width="30.6640625" style="5" customWidth="1"/>
    <col min="964" max="964" width="26.44140625" style="5" customWidth="1"/>
    <col min="965" max="965" width="21.109375" style="5" customWidth="1"/>
    <col min="966" max="966" width="29.5546875" style="5" customWidth="1"/>
    <col min="967" max="967" width="10.88671875" style="5" customWidth="1"/>
    <col min="968" max="968" width="10.33203125" style="5" customWidth="1"/>
    <col min="969" max="969" width="16.33203125" style="5" customWidth="1"/>
    <col min="970" max="970" width="14.44140625" style="5" customWidth="1"/>
    <col min="971" max="971" width="25.6640625" style="5" customWidth="1"/>
    <col min="972" max="972" width="10.88671875" style="5" customWidth="1"/>
    <col min="973" max="973" width="19.5546875" style="5" customWidth="1"/>
    <col min="974" max="974" width="13.44140625" style="5" customWidth="1"/>
    <col min="975" max="975" width="15.109375" style="5" customWidth="1"/>
    <col min="976" max="976" width="24.88671875" style="5" customWidth="1"/>
    <col min="977" max="977" width="10.88671875" style="5" customWidth="1"/>
    <col min="978" max="978" width="13.5546875" style="5" customWidth="1"/>
    <col min="979" max="979" width="13.44140625" style="5" customWidth="1"/>
    <col min="980" max="980" width="15.109375" style="5" customWidth="1"/>
    <col min="981" max="981" width="16.44140625" style="5" customWidth="1"/>
    <col min="982" max="982" width="11.5546875" style="5" customWidth="1"/>
    <col min="983" max="983" width="13.44140625" style="5" customWidth="1"/>
    <col min="984" max="984" width="16.33203125" style="5" customWidth="1"/>
    <col min="985" max="985" width="45.6640625" style="5" bestFit="1" customWidth="1"/>
    <col min="986" max="986" width="31.6640625" style="5" bestFit="1" customWidth="1"/>
    <col min="987" max="987" width="18.88671875" style="5" bestFit="1" customWidth="1"/>
    <col min="988" max="988" width="115.44140625" style="5" bestFit="1" customWidth="1"/>
    <col min="989" max="989" width="26.5546875" style="5" bestFit="1" customWidth="1"/>
    <col min="990" max="990" width="118.109375" style="5" bestFit="1" customWidth="1"/>
    <col min="991" max="991" width="26.5546875" style="5" bestFit="1" customWidth="1"/>
    <col min="992" max="992" width="17.88671875" style="5" bestFit="1" customWidth="1"/>
    <col min="993" max="993" width="16" style="5" customWidth="1"/>
    <col min="994" max="994" width="18.88671875" style="5" bestFit="1" customWidth="1"/>
    <col min="995" max="995" width="22" style="5" customWidth="1"/>
    <col min="996" max="996" width="29.88671875" style="5" bestFit="1" customWidth="1"/>
    <col min="997" max="997" width="46.5546875" style="5" bestFit="1" customWidth="1"/>
    <col min="998" max="998" width="47.5546875" style="5" bestFit="1" customWidth="1"/>
    <col min="999" max="999" width="39.109375" style="5" bestFit="1" customWidth="1"/>
    <col min="1000" max="1000" width="20.6640625" style="5" bestFit="1" customWidth="1"/>
    <col min="1001" max="1001" width="17.33203125" style="5" bestFit="1" customWidth="1"/>
    <col min="1002" max="1002" width="33.109375" style="5" bestFit="1" customWidth="1"/>
    <col min="1003" max="1003" width="43.88671875" style="5" bestFit="1" customWidth="1"/>
    <col min="1004" max="1004" width="43.5546875" style="5" bestFit="1" customWidth="1"/>
    <col min="1005" max="1005" width="16.109375" style="5" bestFit="1" customWidth="1"/>
    <col min="1006" max="1006" width="17.33203125" style="5" bestFit="1" customWidth="1"/>
    <col min="1007" max="1007" width="28.6640625" style="5" bestFit="1" customWidth="1"/>
    <col min="1008" max="1008" width="44.33203125" style="5" bestFit="1" customWidth="1"/>
    <col min="1009" max="1009" width="38" style="5" bestFit="1" customWidth="1"/>
    <col min="1010" max="1010" width="16.109375" style="5" bestFit="1" customWidth="1"/>
    <col min="1011" max="1011" width="17.33203125" style="5" bestFit="1" customWidth="1"/>
    <col min="1012" max="1012" width="20.33203125" style="5" bestFit="1" customWidth="1"/>
    <col min="1013" max="1013" width="29.44140625" style="5" bestFit="1" customWidth="1"/>
    <col min="1014" max="1014" width="28.44140625" style="5" bestFit="1" customWidth="1"/>
    <col min="1015" max="1015" width="16.109375" style="5" bestFit="1" customWidth="1"/>
    <col min="1016" max="1016" width="17.33203125" style="5" bestFit="1" customWidth="1"/>
    <col min="1017" max="1017" width="63.109375" style="5" bestFit="1" customWidth="1"/>
    <col min="1018" max="1018" width="43.5546875" style="5" bestFit="1" customWidth="1"/>
    <col min="1019" max="1019" width="32.44140625" style="5" bestFit="1" customWidth="1"/>
    <col min="1020" max="1020" width="22.6640625" style="5" bestFit="1" customWidth="1"/>
    <col min="1021" max="1021" width="56.5546875" style="5" bestFit="1" customWidth="1"/>
    <col min="1022" max="1022" width="39.5546875" style="5" bestFit="1" customWidth="1"/>
    <col min="1023" max="1023" width="24.6640625" style="5" bestFit="1" customWidth="1"/>
    <col min="1024" max="1024" width="61.88671875" style="5" bestFit="1" customWidth="1"/>
    <col min="1025" max="1025" width="29.33203125" style="5" bestFit="1" customWidth="1"/>
    <col min="1026" max="1026" width="29.5546875" style="5" bestFit="1" customWidth="1"/>
    <col min="1027" max="1027" width="64.33203125" style="5" bestFit="1" customWidth="1"/>
    <col min="1028" max="1028" width="37" style="5" bestFit="1" customWidth="1"/>
    <col min="1029" max="1029" width="26.109375" style="5" bestFit="1" customWidth="1"/>
    <col min="1030" max="1030" width="14.44140625" style="5" bestFit="1" customWidth="1"/>
    <col min="1031" max="1031" width="16.44140625" style="5" bestFit="1" customWidth="1"/>
    <col min="1032" max="1032" width="15.6640625" style="5" bestFit="1" customWidth="1"/>
    <col min="1033" max="1034" width="19" style="5" bestFit="1" customWidth="1"/>
    <col min="1035" max="1035" width="25.5546875" style="5" customWidth="1"/>
    <col min="1036" max="1036" width="25.44140625" style="5" customWidth="1"/>
    <col min="1037" max="1191" width="8.88671875" style="5"/>
    <col min="1192" max="1192" width="11.44140625" style="5" bestFit="1" customWidth="1"/>
    <col min="1193" max="1193" width="13.6640625" style="5" bestFit="1" customWidth="1"/>
    <col min="1194" max="1194" width="34.109375" style="5" bestFit="1" customWidth="1"/>
    <col min="1195" max="1195" width="13.44140625" style="5" customWidth="1"/>
    <col min="1196" max="1196" width="12.33203125" style="5" customWidth="1"/>
    <col min="1197" max="1197" width="10.88671875" style="5" customWidth="1"/>
    <col min="1198" max="1198" width="10.33203125" style="5" customWidth="1"/>
    <col min="1199" max="1199" width="12.44140625" style="5" customWidth="1"/>
    <col min="1200" max="1200" width="10" style="5" customWidth="1"/>
    <col min="1201" max="1201" width="10.88671875" style="5" customWidth="1"/>
    <col min="1202" max="1202" width="12.33203125" style="5" customWidth="1"/>
    <col min="1203" max="1203" width="66.5546875" style="5" customWidth="1"/>
    <col min="1204" max="1204" width="30.33203125" style="5" customWidth="1"/>
    <col min="1205" max="1205" width="25.5546875" style="5" customWidth="1"/>
    <col min="1206" max="1206" width="16.44140625" style="5" customWidth="1"/>
    <col min="1207" max="1207" width="16.109375" style="5" customWidth="1"/>
    <col min="1208" max="1208" width="19.33203125" style="5" customWidth="1"/>
    <col min="1209" max="1209" width="19.88671875" style="5" customWidth="1"/>
    <col min="1210" max="1210" width="20.88671875" style="5" customWidth="1"/>
    <col min="1211" max="1211" width="17.109375" style="5" customWidth="1"/>
    <col min="1212" max="1212" width="17" style="5" customWidth="1"/>
    <col min="1213" max="1213" width="17.6640625" style="5" customWidth="1"/>
    <col min="1214" max="1214" width="14.109375" style="5" customWidth="1"/>
    <col min="1215" max="1215" width="15.109375" style="5" customWidth="1"/>
    <col min="1216" max="1216" width="19.5546875" style="5" customWidth="1"/>
    <col min="1217" max="1217" width="20" style="5" customWidth="1"/>
    <col min="1218" max="1218" width="20.109375" style="5" customWidth="1"/>
    <col min="1219" max="1219" width="30.6640625" style="5" customWidth="1"/>
    <col min="1220" max="1220" width="26.44140625" style="5" customWidth="1"/>
    <col min="1221" max="1221" width="21.109375" style="5" customWidth="1"/>
    <col min="1222" max="1222" width="29.5546875" style="5" customWidth="1"/>
    <col min="1223" max="1223" width="10.88671875" style="5" customWidth="1"/>
    <col min="1224" max="1224" width="10.33203125" style="5" customWidth="1"/>
    <col min="1225" max="1225" width="16.33203125" style="5" customWidth="1"/>
    <col min="1226" max="1226" width="14.44140625" style="5" customWidth="1"/>
    <col min="1227" max="1227" width="25.6640625" style="5" customWidth="1"/>
    <col min="1228" max="1228" width="10.88671875" style="5" customWidth="1"/>
    <col min="1229" max="1229" width="19.5546875" style="5" customWidth="1"/>
    <col min="1230" max="1230" width="13.44140625" style="5" customWidth="1"/>
    <col min="1231" max="1231" width="15.109375" style="5" customWidth="1"/>
    <col min="1232" max="1232" width="24.88671875" style="5" customWidth="1"/>
    <col min="1233" max="1233" width="10.88671875" style="5" customWidth="1"/>
    <col min="1234" max="1234" width="13.5546875" style="5" customWidth="1"/>
    <col min="1235" max="1235" width="13.44140625" style="5" customWidth="1"/>
    <col min="1236" max="1236" width="15.109375" style="5" customWidth="1"/>
    <col min="1237" max="1237" width="16.44140625" style="5" customWidth="1"/>
    <col min="1238" max="1238" width="11.5546875" style="5" customWidth="1"/>
    <col min="1239" max="1239" width="13.44140625" style="5" customWidth="1"/>
    <col min="1240" max="1240" width="16.33203125" style="5" customWidth="1"/>
    <col min="1241" max="1241" width="45.6640625" style="5" bestFit="1" customWidth="1"/>
    <col min="1242" max="1242" width="31.6640625" style="5" bestFit="1" customWidth="1"/>
    <col min="1243" max="1243" width="18.88671875" style="5" bestFit="1" customWidth="1"/>
    <col min="1244" max="1244" width="115.44140625" style="5" bestFit="1" customWidth="1"/>
    <col min="1245" max="1245" width="26.5546875" style="5" bestFit="1" customWidth="1"/>
    <col min="1246" max="1246" width="118.109375" style="5" bestFit="1" customWidth="1"/>
    <col min="1247" max="1247" width="26.5546875" style="5" bestFit="1" customWidth="1"/>
    <col min="1248" max="1248" width="17.88671875" style="5" bestFit="1" customWidth="1"/>
    <col min="1249" max="1249" width="16" style="5" customWidth="1"/>
    <col min="1250" max="1250" width="18.88671875" style="5" bestFit="1" customWidth="1"/>
    <col min="1251" max="1251" width="22" style="5" customWidth="1"/>
    <col min="1252" max="1252" width="29.88671875" style="5" bestFit="1" customWidth="1"/>
    <col min="1253" max="1253" width="46.5546875" style="5" bestFit="1" customWidth="1"/>
    <col min="1254" max="1254" width="47.5546875" style="5" bestFit="1" customWidth="1"/>
    <col min="1255" max="1255" width="39.109375" style="5" bestFit="1" customWidth="1"/>
    <col min="1256" max="1256" width="20.6640625" style="5" bestFit="1" customWidth="1"/>
    <col min="1257" max="1257" width="17.33203125" style="5" bestFit="1" customWidth="1"/>
    <col min="1258" max="1258" width="33.109375" style="5" bestFit="1" customWidth="1"/>
    <col min="1259" max="1259" width="43.88671875" style="5" bestFit="1" customWidth="1"/>
    <col min="1260" max="1260" width="43.5546875" style="5" bestFit="1" customWidth="1"/>
    <col min="1261" max="1261" width="16.109375" style="5" bestFit="1" customWidth="1"/>
    <col min="1262" max="1262" width="17.33203125" style="5" bestFit="1" customWidth="1"/>
    <col min="1263" max="1263" width="28.6640625" style="5" bestFit="1" customWidth="1"/>
    <col min="1264" max="1264" width="44.33203125" style="5" bestFit="1" customWidth="1"/>
    <col min="1265" max="1265" width="38" style="5" bestFit="1" customWidth="1"/>
    <col min="1266" max="1266" width="16.109375" style="5" bestFit="1" customWidth="1"/>
    <col min="1267" max="1267" width="17.33203125" style="5" bestFit="1" customWidth="1"/>
    <col min="1268" max="1268" width="20.33203125" style="5" bestFit="1" customWidth="1"/>
    <col min="1269" max="1269" width="29.44140625" style="5" bestFit="1" customWidth="1"/>
    <col min="1270" max="1270" width="28.44140625" style="5" bestFit="1" customWidth="1"/>
    <col min="1271" max="1271" width="16.109375" style="5" bestFit="1" customWidth="1"/>
    <col min="1272" max="1272" width="17.33203125" style="5" bestFit="1" customWidth="1"/>
    <col min="1273" max="1273" width="63.109375" style="5" bestFit="1" customWidth="1"/>
    <col min="1274" max="1274" width="43.5546875" style="5" bestFit="1" customWidth="1"/>
    <col min="1275" max="1275" width="32.44140625" style="5" bestFit="1" customWidth="1"/>
    <col min="1276" max="1276" width="22.6640625" style="5" bestFit="1" customWidth="1"/>
    <col min="1277" max="1277" width="56.5546875" style="5" bestFit="1" customWidth="1"/>
    <col min="1278" max="1278" width="39.5546875" style="5" bestFit="1" customWidth="1"/>
    <col min="1279" max="1279" width="24.6640625" style="5" bestFit="1" customWidth="1"/>
    <col min="1280" max="1280" width="61.88671875" style="5" bestFit="1" customWidth="1"/>
    <col min="1281" max="1281" width="29.33203125" style="5" bestFit="1" customWidth="1"/>
    <col min="1282" max="1282" width="29.5546875" style="5" bestFit="1" customWidth="1"/>
    <col min="1283" max="1283" width="64.33203125" style="5" bestFit="1" customWidth="1"/>
    <col min="1284" max="1284" width="37" style="5" bestFit="1" customWidth="1"/>
    <col min="1285" max="1285" width="26.109375" style="5" bestFit="1" customWidth="1"/>
    <col min="1286" max="1286" width="14.44140625" style="5" bestFit="1" customWidth="1"/>
    <col min="1287" max="1287" width="16.44140625" style="5" bestFit="1" customWidth="1"/>
    <col min="1288" max="1288" width="15.6640625" style="5" bestFit="1" customWidth="1"/>
    <col min="1289" max="1290" width="19" style="5" bestFit="1" customWidth="1"/>
    <col min="1291" max="1291" width="25.5546875" style="5" customWidth="1"/>
    <col min="1292" max="1292" width="25.44140625" style="5" customWidth="1"/>
    <col min="1293" max="1447" width="8.88671875" style="5"/>
    <col min="1448" max="1448" width="11.44140625" style="5" bestFit="1" customWidth="1"/>
    <col min="1449" max="1449" width="13.6640625" style="5" bestFit="1" customWidth="1"/>
    <col min="1450" max="1450" width="34.109375" style="5" bestFit="1" customWidth="1"/>
    <col min="1451" max="1451" width="13.44140625" style="5" customWidth="1"/>
    <col min="1452" max="1452" width="12.33203125" style="5" customWidth="1"/>
    <col min="1453" max="1453" width="10.88671875" style="5" customWidth="1"/>
    <col min="1454" max="1454" width="10.33203125" style="5" customWidth="1"/>
    <col min="1455" max="1455" width="12.44140625" style="5" customWidth="1"/>
    <col min="1456" max="1456" width="10" style="5" customWidth="1"/>
    <col min="1457" max="1457" width="10.88671875" style="5" customWidth="1"/>
    <col min="1458" max="1458" width="12.33203125" style="5" customWidth="1"/>
    <col min="1459" max="1459" width="66.5546875" style="5" customWidth="1"/>
    <col min="1460" max="1460" width="30.33203125" style="5" customWidth="1"/>
    <col min="1461" max="1461" width="25.5546875" style="5" customWidth="1"/>
    <col min="1462" max="1462" width="16.44140625" style="5" customWidth="1"/>
    <col min="1463" max="1463" width="16.109375" style="5" customWidth="1"/>
    <col min="1464" max="1464" width="19.33203125" style="5" customWidth="1"/>
    <col min="1465" max="1465" width="19.88671875" style="5" customWidth="1"/>
    <col min="1466" max="1466" width="20.88671875" style="5" customWidth="1"/>
    <col min="1467" max="1467" width="17.109375" style="5" customWidth="1"/>
    <col min="1468" max="1468" width="17" style="5" customWidth="1"/>
    <col min="1469" max="1469" width="17.6640625" style="5" customWidth="1"/>
    <col min="1470" max="1470" width="14.109375" style="5" customWidth="1"/>
    <col min="1471" max="1471" width="15.109375" style="5" customWidth="1"/>
    <col min="1472" max="1472" width="19.5546875" style="5" customWidth="1"/>
    <col min="1473" max="1473" width="20" style="5" customWidth="1"/>
    <col min="1474" max="1474" width="20.109375" style="5" customWidth="1"/>
    <col min="1475" max="1475" width="30.6640625" style="5" customWidth="1"/>
    <col min="1476" max="1476" width="26.44140625" style="5" customWidth="1"/>
    <col min="1477" max="1477" width="21.109375" style="5" customWidth="1"/>
    <col min="1478" max="1478" width="29.5546875" style="5" customWidth="1"/>
    <col min="1479" max="1479" width="10.88671875" style="5" customWidth="1"/>
    <col min="1480" max="1480" width="10.33203125" style="5" customWidth="1"/>
    <col min="1481" max="1481" width="16.33203125" style="5" customWidth="1"/>
    <col min="1482" max="1482" width="14.44140625" style="5" customWidth="1"/>
    <col min="1483" max="1483" width="25.6640625" style="5" customWidth="1"/>
    <col min="1484" max="1484" width="10.88671875" style="5" customWidth="1"/>
    <col min="1485" max="1485" width="19.5546875" style="5" customWidth="1"/>
    <col min="1486" max="1486" width="13.44140625" style="5" customWidth="1"/>
    <col min="1487" max="1487" width="15.109375" style="5" customWidth="1"/>
    <col min="1488" max="1488" width="24.88671875" style="5" customWidth="1"/>
    <col min="1489" max="1489" width="10.88671875" style="5" customWidth="1"/>
    <col min="1490" max="1490" width="13.5546875" style="5" customWidth="1"/>
    <col min="1491" max="1491" width="13.44140625" style="5" customWidth="1"/>
    <col min="1492" max="1492" width="15.109375" style="5" customWidth="1"/>
    <col min="1493" max="1493" width="16.44140625" style="5" customWidth="1"/>
    <col min="1494" max="1494" width="11.5546875" style="5" customWidth="1"/>
    <col min="1495" max="1495" width="13.44140625" style="5" customWidth="1"/>
    <col min="1496" max="1496" width="16.33203125" style="5" customWidth="1"/>
    <col min="1497" max="1497" width="45.6640625" style="5" bestFit="1" customWidth="1"/>
    <col min="1498" max="1498" width="31.6640625" style="5" bestFit="1" customWidth="1"/>
    <col min="1499" max="1499" width="18.88671875" style="5" bestFit="1" customWidth="1"/>
    <col min="1500" max="1500" width="115.44140625" style="5" bestFit="1" customWidth="1"/>
    <col min="1501" max="1501" width="26.5546875" style="5" bestFit="1" customWidth="1"/>
    <col min="1502" max="1502" width="118.109375" style="5" bestFit="1" customWidth="1"/>
    <col min="1503" max="1503" width="26.5546875" style="5" bestFit="1" customWidth="1"/>
    <col min="1504" max="1504" width="17.88671875" style="5" bestFit="1" customWidth="1"/>
    <col min="1505" max="1505" width="16" style="5" customWidth="1"/>
    <col min="1506" max="1506" width="18.88671875" style="5" bestFit="1" customWidth="1"/>
    <col min="1507" max="1507" width="22" style="5" customWidth="1"/>
    <col min="1508" max="1508" width="29.88671875" style="5" bestFit="1" customWidth="1"/>
    <col min="1509" max="1509" width="46.5546875" style="5" bestFit="1" customWidth="1"/>
    <col min="1510" max="1510" width="47.5546875" style="5" bestFit="1" customWidth="1"/>
    <col min="1511" max="1511" width="39.109375" style="5" bestFit="1" customWidth="1"/>
    <col min="1512" max="1512" width="20.6640625" style="5" bestFit="1" customWidth="1"/>
    <col min="1513" max="1513" width="17.33203125" style="5" bestFit="1" customWidth="1"/>
    <col min="1514" max="1514" width="33.109375" style="5" bestFit="1" customWidth="1"/>
    <col min="1515" max="1515" width="43.88671875" style="5" bestFit="1" customWidth="1"/>
    <col min="1516" max="1516" width="43.5546875" style="5" bestFit="1" customWidth="1"/>
    <col min="1517" max="1517" width="16.109375" style="5" bestFit="1" customWidth="1"/>
    <col min="1518" max="1518" width="17.33203125" style="5" bestFit="1" customWidth="1"/>
    <col min="1519" max="1519" width="28.6640625" style="5" bestFit="1" customWidth="1"/>
    <col min="1520" max="1520" width="44.33203125" style="5" bestFit="1" customWidth="1"/>
    <col min="1521" max="1521" width="38" style="5" bestFit="1" customWidth="1"/>
    <col min="1522" max="1522" width="16.109375" style="5" bestFit="1" customWidth="1"/>
    <col min="1523" max="1523" width="17.33203125" style="5" bestFit="1" customWidth="1"/>
    <col min="1524" max="1524" width="20.33203125" style="5" bestFit="1" customWidth="1"/>
    <col min="1525" max="1525" width="29.44140625" style="5" bestFit="1" customWidth="1"/>
    <col min="1526" max="1526" width="28.44140625" style="5" bestFit="1" customWidth="1"/>
    <col min="1527" max="1527" width="16.109375" style="5" bestFit="1" customWidth="1"/>
    <col min="1528" max="1528" width="17.33203125" style="5" bestFit="1" customWidth="1"/>
    <col min="1529" max="1529" width="63.109375" style="5" bestFit="1" customWidth="1"/>
    <col min="1530" max="1530" width="43.5546875" style="5" bestFit="1" customWidth="1"/>
    <col min="1531" max="1531" width="32.44140625" style="5" bestFit="1" customWidth="1"/>
    <col min="1532" max="1532" width="22.6640625" style="5" bestFit="1" customWidth="1"/>
    <col min="1533" max="1533" width="56.5546875" style="5" bestFit="1" customWidth="1"/>
    <col min="1534" max="1534" width="39.5546875" style="5" bestFit="1" customWidth="1"/>
    <col min="1535" max="1535" width="24.6640625" style="5" bestFit="1" customWidth="1"/>
    <col min="1536" max="1536" width="61.88671875" style="5" bestFit="1" customWidth="1"/>
    <col min="1537" max="1537" width="29.33203125" style="5" bestFit="1" customWidth="1"/>
    <col min="1538" max="1538" width="29.5546875" style="5" bestFit="1" customWidth="1"/>
    <col min="1539" max="1539" width="64.33203125" style="5" bestFit="1" customWidth="1"/>
    <col min="1540" max="1540" width="37" style="5" bestFit="1" customWidth="1"/>
    <col min="1541" max="1541" width="26.109375" style="5" bestFit="1" customWidth="1"/>
    <col min="1542" max="1542" width="14.44140625" style="5" bestFit="1" customWidth="1"/>
    <col min="1543" max="1543" width="16.44140625" style="5" bestFit="1" customWidth="1"/>
    <col min="1544" max="1544" width="15.6640625" style="5" bestFit="1" customWidth="1"/>
    <col min="1545" max="1546" width="19" style="5" bestFit="1" customWidth="1"/>
    <col min="1547" max="1547" width="25.5546875" style="5" customWidth="1"/>
    <col min="1548" max="1548" width="25.44140625" style="5" customWidth="1"/>
    <col min="1549" max="1703" width="8.88671875" style="5"/>
    <col min="1704" max="1704" width="11.44140625" style="5" bestFit="1" customWidth="1"/>
    <col min="1705" max="1705" width="13.6640625" style="5" bestFit="1" customWidth="1"/>
    <col min="1706" max="1706" width="34.109375" style="5" bestFit="1" customWidth="1"/>
    <col min="1707" max="1707" width="13.44140625" style="5" customWidth="1"/>
    <col min="1708" max="1708" width="12.33203125" style="5" customWidth="1"/>
    <col min="1709" max="1709" width="10.88671875" style="5" customWidth="1"/>
    <col min="1710" max="1710" width="10.33203125" style="5" customWidth="1"/>
    <col min="1711" max="1711" width="12.44140625" style="5" customWidth="1"/>
    <col min="1712" max="1712" width="10" style="5" customWidth="1"/>
    <col min="1713" max="1713" width="10.88671875" style="5" customWidth="1"/>
    <col min="1714" max="1714" width="12.33203125" style="5" customWidth="1"/>
    <col min="1715" max="1715" width="66.5546875" style="5" customWidth="1"/>
    <col min="1716" max="1716" width="30.33203125" style="5" customWidth="1"/>
    <col min="1717" max="1717" width="25.5546875" style="5" customWidth="1"/>
    <col min="1718" max="1718" width="16.44140625" style="5" customWidth="1"/>
    <col min="1719" max="1719" width="16.109375" style="5" customWidth="1"/>
    <col min="1720" max="1720" width="19.33203125" style="5" customWidth="1"/>
    <col min="1721" max="1721" width="19.88671875" style="5" customWidth="1"/>
    <col min="1722" max="1722" width="20.88671875" style="5" customWidth="1"/>
    <col min="1723" max="1723" width="17.109375" style="5" customWidth="1"/>
    <col min="1724" max="1724" width="17" style="5" customWidth="1"/>
    <col min="1725" max="1725" width="17.6640625" style="5" customWidth="1"/>
    <col min="1726" max="1726" width="14.109375" style="5" customWidth="1"/>
    <col min="1727" max="1727" width="15.109375" style="5" customWidth="1"/>
    <col min="1728" max="1728" width="19.5546875" style="5" customWidth="1"/>
    <col min="1729" max="1729" width="20" style="5" customWidth="1"/>
    <col min="1730" max="1730" width="20.109375" style="5" customWidth="1"/>
    <col min="1731" max="1731" width="30.6640625" style="5" customWidth="1"/>
    <col min="1732" max="1732" width="26.44140625" style="5" customWidth="1"/>
    <col min="1733" max="1733" width="21.109375" style="5" customWidth="1"/>
    <col min="1734" max="1734" width="29.5546875" style="5" customWidth="1"/>
    <col min="1735" max="1735" width="10.88671875" style="5" customWidth="1"/>
    <col min="1736" max="1736" width="10.33203125" style="5" customWidth="1"/>
    <col min="1737" max="1737" width="16.33203125" style="5" customWidth="1"/>
    <col min="1738" max="1738" width="14.44140625" style="5" customWidth="1"/>
    <col min="1739" max="1739" width="25.6640625" style="5" customWidth="1"/>
    <col min="1740" max="1740" width="10.88671875" style="5" customWidth="1"/>
    <col min="1741" max="1741" width="19.5546875" style="5" customWidth="1"/>
    <col min="1742" max="1742" width="13.44140625" style="5" customWidth="1"/>
    <col min="1743" max="1743" width="15.109375" style="5" customWidth="1"/>
    <col min="1744" max="1744" width="24.88671875" style="5" customWidth="1"/>
    <col min="1745" max="1745" width="10.88671875" style="5" customWidth="1"/>
    <col min="1746" max="1746" width="13.5546875" style="5" customWidth="1"/>
    <col min="1747" max="1747" width="13.44140625" style="5" customWidth="1"/>
    <col min="1748" max="1748" width="15.109375" style="5" customWidth="1"/>
    <col min="1749" max="1749" width="16.44140625" style="5" customWidth="1"/>
    <col min="1750" max="1750" width="11.5546875" style="5" customWidth="1"/>
    <col min="1751" max="1751" width="13.44140625" style="5" customWidth="1"/>
    <col min="1752" max="1752" width="16.33203125" style="5" customWidth="1"/>
    <col min="1753" max="1753" width="45.6640625" style="5" bestFit="1" customWidth="1"/>
    <col min="1754" max="1754" width="31.6640625" style="5" bestFit="1" customWidth="1"/>
    <col min="1755" max="1755" width="18.88671875" style="5" bestFit="1" customWidth="1"/>
    <col min="1756" max="1756" width="115.44140625" style="5" bestFit="1" customWidth="1"/>
    <col min="1757" max="1757" width="26.5546875" style="5" bestFit="1" customWidth="1"/>
    <col min="1758" max="1758" width="118.109375" style="5" bestFit="1" customWidth="1"/>
    <col min="1759" max="1759" width="26.5546875" style="5" bestFit="1" customWidth="1"/>
    <col min="1760" max="1760" width="17.88671875" style="5" bestFit="1" customWidth="1"/>
    <col min="1761" max="1761" width="16" style="5" customWidth="1"/>
    <col min="1762" max="1762" width="18.88671875" style="5" bestFit="1" customWidth="1"/>
    <col min="1763" max="1763" width="22" style="5" customWidth="1"/>
    <col min="1764" max="1764" width="29.88671875" style="5" bestFit="1" customWidth="1"/>
    <col min="1765" max="1765" width="46.5546875" style="5" bestFit="1" customWidth="1"/>
    <col min="1766" max="1766" width="47.5546875" style="5" bestFit="1" customWidth="1"/>
    <col min="1767" max="1767" width="39.109375" style="5" bestFit="1" customWidth="1"/>
    <col min="1768" max="1768" width="20.6640625" style="5" bestFit="1" customWidth="1"/>
    <col min="1769" max="1769" width="17.33203125" style="5" bestFit="1" customWidth="1"/>
    <col min="1770" max="1770" width="33.109375" style="5" bestFit="1" customWidth="1"/>
    <col min="1771" max="1771" width="43.88671875" style="5" bestFit="1" customWidth="1"/>
    <col min="1772" max="1772" width="43.5546875" style="5" bestFit="1" customWidth="1"/>
    <col min="1773" max="1773" width="16.109375" style="5" bestFit="1" customWidth="1"/>
    <col min="1774" max="1774" width="17.33203125" style="5" bestFit="1" customWidth="1"/>
    <col min="1775" max="1775" width="28.6640625" style="5" bestFit="1" customWidth="1"/>
    <col min="1776" max="1776" width="44.33203125" style="5" bestFit="1" customWidth="1"/>
    <col min="1777" max="1777" width="38" style="5" bestFit="1" customWidth="1"/>
    <col min="1778" max="1778" width="16.109375" style="5" bestFit="1" customWidth="1"/>
    <col min="1779" max="1779" width="17.33203125" style="5" bestFit="1" customWidth="1"/>
    <col min="1780" max="1780" width="20.33203125" style="5" bestFit="1" customWidth="1"/>
    <col min="1781" max="1781" width="29.44140625" style="5" bestFit="1" customWidth="1"/>
    <col min="1782" max="1782" width="28.44140625" style="5" bestFit="1" customWidth="1"/>
    <col min="1783" max="1783" width="16.109375" style="5" bestFit="1" customWidth="1"/>
    <col min="1784" max="1784" width="17.33203125" style="5" bestFit="1" customWidth="1"/>
    <col min="1785" max="1785" width="63.109375" style="5" bestFit="1" customWidth="1"/>
    <col min="1786" max="1786" width="43.5546875" style="5" bestFit="1" customWidth="1"/>
    <col min="1787" max="1787" width="32.44140625" style="5" bestFit="1" customWidth="1"/>
    <col min="1788" max="1788" width="22.6640625" style="5" bestFit="1" customWidth="1"/>
    <col min="1789" max="1789" width="56.5546875" style="5" bestFit="1" customWidth="1"/>
    <col min="1790" max="1790" width="39.5546875" style="5" bestFit="1" customWidth="1"/>
    <col min="1791" max="1791" width="24.6640625" style="5" bestFit="1" customWidth="1"/>
    <col min="1792" max="1792" width="61.88671875" style="5" bestFit="1" customWidth="1"/>
    <col min="1793" max="1793" width="29.33203125" style="5" bestFit="1" customWidth="1"/>
    <col min="1794" max="1794" width="29.5546875" style="5" bestFit="1" customWidth="1"/>
    <col min="1795" max="1795" width="64.33203125" style="5" bestFit="1" customWidth="1"/>
    <col min="1796" max="1796" width="37" style="5" bestFit="1" customWidth="1"/>
    <col min="1797" max="1797" width="26.109375" style="5" bestFit="1" customWidth="1"/>
    <col min="1798" max="1798" width="14.44140625" style="5" bestFit="1" customWidth="1"/>
    <col min="1799" max="1799" width="16.44140625" style="5" bestFit="1" customWidth="1"/>
    <col min="1800" max="1800" width="15.6640625" style="5" bestFit="1" customWidth="1"/>
    <col min="1801" max="1802" width="19" style="5" bestFit="1" customWidth="1"/>
    <col min="1803" max="1803" width="25.5546875" style="5" customWidth="1"/>
    <col min="1804" max="1804" width="25.44140625" style="5" customWidth="1"/>
    <col min="1805" max="1959" width="8.88671875" style="5"/>
    <col min="1960" max="1960" width="11.44140625" style="5" bestFit="1" customWidth="1"/>
    <col min="1961" max="1961" width="13.6640625" style="5" bestFit="1" customWidth="1"/>
    <col min="1962" max="1962" width="34.109375" style="5" bestFit="1" customWidth="1"/>
    <col min="1963" max="1963" width="13.44140625" style="5" customWidth="1"/>
    <col min="1964" max="1964" width="12.33203125" style="5" customWidth="1"/>
    <col min="1965" max="1965" width="10.88671875" style="5" customWidth="1"/>
    <col min="1966" max="1966" width="10.33203125" style="5" customWidth="1"/>
    <col min="1967" max="1967" width="12.44140625" style="5" customWidth="1"/>
    <col min="1968" max="1968" width="10" style="5" customWidth="1"/>
    <col min="1969" max="1969" width="10.88671875" style="5" customWidth="1"/>
    <col min="1970" max="1970" width="12.33203125" style="5" customWidth="1"/>
    <col min="1971" max="1971" width="66.5546875" style="5" customWidth="1"/>
    <col min="1972" max="1972" width="30.33203125" style="5" customWidth="1"/>
    <col min="1973" max="1973" width="25.5546875" style="5" customWidth="1"/>
    <col min="1974" max="1974" width="16.44140625" style="5" customWidth="1"/>
    <col min="1975" max="1975" width="16.109375" style="5" customWidth="1"/>
    <col min="1976" max="1976" width="19.33203125" style="5" customWidth="1"/>
    <col min="1977" max="1977" width="19.88671875" style="5" customWidth="1"/>
    <col min="1978" max="1978" width="20.88671875" style="5" customWidth="1"/>
    <col min="1979" max="1979" width="17.109375" style="5" customWidth="1"/>
    <col min="1980" max="1980" width="17" style="5" customWidth="1"/>
    <col min="1981" max="1981" width="17.6640625" style="5" customWidth="1"/>
    <col min="1982" max="1982" width="14.109375" style="5" customWidth="1"/>
    <col min="1983" max="1983" width="15.109375" style="5" customWidth="1"/>
    <col min="1984" max="1984" width="19.5546875" style="5" customWidth="1"/>
    <col min="1985" max="1985" width="20" style="5" customWidth="1"/>
    <col min="1986" max="1986" width="20.109375" style="5" customWidth="1"/>
    <col min="1987" max="1987" width="30.6640625" style="5" customWidth="1"/>
    <col min="1988" max="1988" width="26.44140625" style="5" customWidth="1"/>
    <col min="1989" max="1989" width="21.109375" style="5" customWidth="1"/>
    <col min="1990" max="1990" width="29.5546875" style="5" customWidth="1"/>
    <col min="1991" max="1991" width="10.88671875" style="5" customWidth="1"/>
    <col min="1992" max="1992" width="10.33203125" style="5" customWidth="1"/>
    <col min="1993" max="1993" width="16.33203125" style="5" customWidth="1"/>
    <col min="1994" max="1994" width="14.44140625" style="5" customWidth="1"/>
    <col min="1995" max="1995" width="25.6640625" style="5" customWidth="1"/>
    <col min="1996" max="1996" width="10.88671875" style="5" customWidth="1"/>
    <col min="1997" max="1997" width="19.5546875" style="5" customWidth="1"/>
    <col min="1998" max="1998" width="13.44140625" style="5" customWidth="1"/>
    <col min="1999" max="1999" width="15.109375" style="5" customWidth="1"/>
    <col min="2000" max="2000" width="24.88671875" style="5" customWidth="1"/>
    <col min="2001" max="2001" width="10.88671875" style="5" customWidth="1"/>
    <col min="2002" max="2002" width="13.5546875" style="5" customWidth="1"/>
    <col min="2003" max="2003" width="13.44140625" style="5" customWidth="1"/>
    <col min="2004" max="2004" width="15.109375" style="5" customWidth="1"/>
    <col min="2005" max="2005" width="16.44140625" style="5" customWidth="1"/>
    <col min="2006" max="2006" width="11.5546875" style="5" customWidth="1"/>
    <col min="2007" max="2007" width="13.44140625" style="5" customWidth="1"/>
    <col min="2008" max="2008" width="16.33203125" style="5" customWidth="1"/>
    <col min="2009" max="2009" width="45.6640625" style="5" bestFit="1" customWidth="1"/>
    <col min="2010" max="2010" width="31.6640625" style="5" bestFit="1" customWidth="1"/>
    <col min="2011" max="2011" width="18.88671875" style="5" bestFit="1" customWidth="1"/>
    <col min="2012" max="2012" width="115.44140625" style="5" bestFit="1" customWidth="1"/>
    <col min="2013" max="2013" width="26.5546875" style="5" bestFit="1" customWidth="1"/>
    <col min="2014" max="2014" width="118.109375" style="5" bestFit="1" customWidth="1"/>
    <col min="2015" max="2015" width="26.5546875" style="5" bestFit="1" customWidth="1"/>
    <col min="2016" max="2016" width="17.88671875" style="5" bestFit="1" customWidth="1"/>
    <col min="2017" max="2017" width="16" style="5" customWidth="1"/>
    <col min="2018" max="2018" width="18.88671875" style="5" bestFit="1" customWidth="1"/>
    <col min="2019" max="2019" width="22" style="5" customWidth="1"/>
    <col min="2020" max="2020" width="29.88671875" style="5" bestFit="1" customWidth="1"/>
    <col min="2021" max="2021" width="46.5546875" style="5" bestFit="1" customWidth="1"/>
    <col min="2022" max="2022" width="47.5546875" style="5" bestFit="1" customWidth="1"/>
    <col min="2023" max="2023" width="39.109375" style="5" bestFit="1" customWidth="1"/>
    <col min="2024" max="2024" width="20.6640625" style="5" bestFit="1" customWidth="1"/>
    <col min="2025" max="2025" width="17.33203125" style="5" bestFit="1" customWidth="1"/>
    <col min="2026" max="2026" width="33.109375" style="5" bestFit="1" customWidth="1"/>
    <col min="2027" max="2027" width="43.88671875" style="5" bestFit="1" customWidth="1"/>
    <col min="2028" max="2028" width="43.5546875" style="5" bestFit="1" customWidth="1"/>
    <col min="2029" max="2029" width="16.109375" style="5" bestFit="1" customWidth="1"/>
    <col min="2030" max="2030" width="17.33203125" style="5" bestFit="1" customWidth="1"/>
    <col min="2031" max="2031" width="28.6640625" style="5" bestFit="1" customWidth="1"/>
    <col min="2032" max="2032" width="44.33203125" style="5" bestFit="1" customWidth="1"/>
    <col min="2033" max="2033" width="38" style="5" bestFit="1" customWidth="1"/>
    <col min="2034" max="2034" width="16.109375" style="5" bestFit="1" customWidth="1"/>
    <col min="2035" max="2035" width="17.33203125" style="5" bestFit="1" customWidth="1"/>
    <col min="2036" max="2036" width="20.33203125" style="5" bestFit="1" customWidth="1"/>
    <col min="2037" max="2037" width="29.44140625" style="5" bestFit="1" customWidth="1"/>
    <col min="2038" max="2038" width="28.44140625" style="5" bestFit="1" customWidth="1"/>
    <col min="2039" max="2039" width="16.109375" style="5" bestFit="1" customWidth="1"/>
    <col min="2040" max="2040" width="17.33203125" style="5" bestFit="1" customWidth="1"/>
    <col min="2041" max="2041" width="63.109375" style="5" bestFit="1" customWidth="1"/>
    <col min="2042" max="2042" width="43.5546875" style="5" bestFit="1" customWidth="1"/>
    <col min="2043" max="2043" width="32.44140625" style="5" bestFit="1" customWidth="1"/>
    <col min="2044" max="2044" width="22.6640625" style="5" bestFit="1" customWidth="1"/>
    <col min="2045" max="2045" width="56.5546875" style="5" bestFit="1" customWidth="1"/>
    <col min="2046" max="2046" width="39.5546875" style="5" bestFit="1" customWidth="1"/>
    <col min="2047" max="2047" width="24.6640625" style="5" bestFit="1" customWidth="1"/>
    <col min="2048" max="2048" width="61.88671875" style="5" bestFit="1" customWidth="1"/>
    <col min="2049" max="2049" width="29.33203125" style="5" bestFit="1" customWidth="1"/>
    <col min="2050" max="2050" width="29.5546875" style="5" bestFit="1" customWidth="1"/>
    <col min="2051" max="2051" width="64.33203125" style="5" bestFit="1" customWidth="1"/>
    <col min="2052" max="2052" width="37" style="5" bestFit="1" customWidth="1"/>
    <col min="2053" max="2053" width="26.109375" style="5" bestFit="1" customWidth="1"/>
    <col min="2054" max="2054" width="14.44140625" style="5" bestFit="1" customWidth="1"/>
    <col min="2055" max="2055" width="16.44140625" style="5" bestFit="1" customWidth="1"/>
    <col min="2056" max="2056" width="15.6640625" style="5" bestFit="1" customWidth="1"/>
    <col min="2057" max="2058" width="19" style="5" bestFit="1" customWidth="1"/>
    <col min="2059" max="2059" width="25.5546875" style="5" customWidth="1"/>
    <col min="2060" max="2060" width="25.44140625" style="5" customWidth="1"/>
    <col min="2061" max="2215" width="8.88671875" style="5"/>
    <col min="2216" max="2216" width="11.44140625" style="5" bestFit="1" customWidth="1"/>
    <col min="2217" max="2217" width="13.6640625" style="5" bestFit="1" customWidth="1"/>
    <col min="2218" max="2218" width="34.109375" style="5" bestFit="1" customWidth="1"/>
    <col min="2219" max="2219" width="13.44140625" style="5" customWidth="1"/>
    <col min="2220" max="2220" width="12.33203125" style="5" customWidth="1"/>
    <col min="2221" max="2221" width="10.88671875" style="5" customWidth="1"/>
    <col min="2222" max="2222" width="10.33203125" style="5" customWidth="1"/>
    <col min="2223" max="2223" width="12.44140625" style="5" customWidth="1"/>
    <col min="2224" max="2224" width="10" style="5" customWidth="1"/>
    <col min="2225" max="2225" width="10.88671875" style="5" customWidth="1"/>
    <col min="2226" max="2226" width="12.33203125" style="5" customWidth="1"/>
    <col min="2227" max="2227" width="66.5546875" style="5" customWidth="1"/>
    <col min="2228" max="2228" width="30.33203125" style="5" customWidth="1"/>
    <col min="2229" max="2229" width="25.5546875" style="5" customWidth="1"/>
    <col min="2230" max="2230" width="16.44140625" style="5" customWidth="1"/>
    <col min="2231" max="2231" width="16.109375" style="5" customWidth="1"/>
    <col min="2232" max="2232" width="19.33203125" style="5" customWidth="1"/>
    <col min="2233" max="2233" width="19.88671875" style="5" customWidth="1"/>
    <col min="2234" max="2234" width="20.88671875" style="5" customWidth="1"/>
    <col min="2235" max="2235" width="17.109375" style="5" customWidth="1"/>
    <col min="2236" max="2236" width="17" style="5" customWidth="1"/>
    <col min="2237" max="2237" width="17.6640625" style="5" customWidth="1"/>
    <col min="2238" max="2238" width="14.109375" style="5" customWidth="1"/>
    <col min="2239" max="2239" width="15.109375" style="5" customWidth="1"/>
    <col min="2240" max="2240" width="19.5546875" style="5" customWidth="1"/>
    <col min="2241" max="2241" width="20" style="5" customWidth="1"/>
    <col min="2242" max="2242" width="20.109375" style="5" customWidth="1"/>
    <col min="2243" max="2243" width="30.6640625" style="5" customWidth="1"/>
    <col min="2244" max="2244" width="26.44140625" style="5" customWidth="1"/>
    <col min="2245" max="2245" width="21.109375" style="5" customWidth="1"/>
    <col min="2246" max="2246" width="29.5546875" style="5" customWidth="1"/>
    <col min="2247" max="2247" width="10.88671875" style="5" customWidth="1"/>
    <col min="2248" max="2248" width="10.33203125" style="5" customWidth="1"/>
    <col min="2249" max="2249" width="16.33203125" style="5" customWidth="1"/>
    <col min="2250" max="2250" width="14.44140625" style="5" customWidth="1"/>
    <col min="2251" max="2251" width="25.6640625" style="5" customWidth="1"/>
    <col min="2252" max="2252" width="10.88671875" style="5" customWidth="1"/>
    <col min="2253" max="2253" width="19.5546875" style="5" customWidth="1"/>
    <col min="2254" max="2254" width="13.44140625" style="5" customWidth="1"/>
    <col min="2255" max="2255" width="15.109375" style="5" customWidth="1"/>
    <col min="2256" max="2256" width="24.88671875" style="5" customWidth="1"/>
    <col min="2257" max="2257" width="10.88671875" style="5" customWidth="1"/>
    <col min="2258" max="2258" width="13.5546875" style="5" customWidth="1"/>
    <col min="2259" max="2259" width="13.44140625" style="5" customWidth="1"/>
    <col min="2260" max="2260" width="15.109375" style="5" customWidth="1"/>
    <col min="2261" max="2261" width="16.44140625" style="5" customWidth="1"/>
    <col min="2262" max="2262" width="11.5546875" style="5" customWidth="1"/>
    <col min="2263" max="2263" width="13.44140625" style="5" customWidth="1"/>
    <col min="2264" max="2264" width="16.33203125" style="5" customWidth="1"/>
    <col min="2265" max="2265" width="45.6640625" style="5" bestFit="1" customWidth="1"/>
    <col min="2266" max="2266" width="31.6640625" style="5" bestFit="1" customWidth="1"/>
    <col min="2267" max="2267" width="18.88671875" style="5" bestFit="1" customWidth="1"/>
    <col min="2268" max="2268" width="115.44140625" style="5" bestFit="1" customWidth="1"/>
    <col min="2269" max="2269" width="26.5546875" style="5" bestFit="1" customWidth="1"/>
    <col min="2270" max="2270" width="118.109375" style="5" bestFit="1" customWidth="1"/>
    <col min="2271" max="2271" width="26.5546875" style="5" bestFit="1" customWidth="1"/>
    <col min="2272" max="2272" width="17.88671875" style="5" bestFit="1" customWidth="1"/>
    <col min="2273" max="2273" width="16" style="5" customWidth="1"/>
    <col min="2274" max="2274" width="18.88671875" style="5" bestFit="1" customWidth="1"/>
    <col min="2275" max="2275" width="22" style="5" customWidth="1"/>
    <col min="2276" max="2276" width="29.88671875" style="5" bestFit="1" customWidth="1"/>
    <col min="2277" max="2277" width="46.5546875" style="5" bestFit="1" customWidth="1"/>
    <col min="2278" max="2278" width="47.5546875" style="5" bestFit="1" customWidth="1"/>
    <col min="2279" max="2279" width="39.109375" style="5" bestFit="1" customWidth="1"/>
    <col min="2280" max="2280" width="20.6640625" style="5" bestFit="1" customWidth="1"/>
    <col min="2281" max="2281" width="17.33203125" style="5" bestFit="1" customWidth="1"/>
    <col min="2282" max="2282" width="33.109375" style="5" bestFit="1" customWidth="1"/>
    <col min="2283" max="2283" width="43.88671875" style="5" bestFit="1" customWidth="1"/>
    <col min="2284" max="2284" width="43.5546875" style="5" bestFit="1" customWidth="1"/>
    <col min="2285" max="2285" width="16.109375" style="5" bestFit="1" customWidth="1"/>
    <col min="2286" max="2286" width="17.33203125" style="5" bestFit="1" customWidth="1"/>
    <col min="2287" max="2287" width="28.6640625" style="5" bestFit="1" customWidth="1"/>
    <col min="2288" max="2288" width="44.33203125" style="5" bestFit="1" customWidth="1"/>
    <col min="2289" max="2289" width="38" style="5" bestFit="1" customWidth="1"/>
    <col min="2290" max="2290" width="16.109375" style="5" bestFit="1" customWidth="1"/>
    <col min="2291" max="2291" width="17.33203125" style="5" bestFit="1" customWidth="1"/>
    <col min="2292" max="2292" width="20.33203125" style="5" bestFit="1" customWidth="1"/>
    <col min="2293" max="2293" width="29.44140625" style="5" bestFit="1" customWidth="1"/>
    <col min="2294" max="2294" width="28.44140625" style="5" bestFit="1" customWidth="1"/>
    <col min="2295" max="2295" width="16.109375" style="5" bestFit="1" customWidth="1"/>
    <col min="2296" max="2296" width="17.33203125" style="5" bestFit="1" customWidth="1"/>
    <col min="2297" max="2297" width="63.109375" style="5" bestFit="1" customWidth="1"/>
    <col min="2298" max="2298" width="43.5546875" style="5" bestFit="1" customWidth="1"/>
    <col min="2299" max="2299" width="32.44140625" style="5" bestFit="1" customWidth="1"/>
    <col min="2300" max="2300" width="22.6640625" style="5" bestFit="1" customWidth="1"/>
    <col min="2301" max="2301" width="56.5546875" style="5" bestFit="1" customWidth="1"/>
    <col min="2302" max="2302" width="39.5546875" style="5" bestFit="1" customWidth="1"/>
    <col min="2303" max="2303" width="24.6640625" style="5" bestFit="1" customWidth="1"/>
    <col min="2304" max="2304" width="61.88671875" style="5" bestFit="1" customWidth="1"/>
    <col min="2305" max="2305" width="29.33203125" style="5" bestFit="1" customWidth="1"/>
    <col min="2306" max="2306" width="29.5546875" style="5" bestFit="1" customWidth="1"/>
    <col min="2307" max="2307" width="64.33203125" style="5" bestFit="1" customWidth="1"/>
    <col min="2308" max="2308" width="37" style="5" bestFit="1" customWidth="1"/>
    <col min="2309" max="2309" width="26.109375" style="5" bestFit="1" customWidth="1"/>
    <col min="2310" max="2310" width="14.44140625" style="5" bestFit="1" customWidth="1"/>
    <col min="2311" max="2311" width="16.44140625" style="5" bestFit="1" customWidth="1"/>
    <col min="2312" max="2312" width="15.6640625" style="5" bestFit="1" customWidth="1"/>
    <col min="2313" max="2314" width="19" style="5" bestFit="1" customWidth="1"/>
    <col min="2315" max="2315" width="25.5546875" style="5" customWidth="1"/>
    <col min="2316" max="2316" width="25.44140625" style="5" customWidth="1"/>
    <col min="2317" max="2471" width="8.88671875" style="5"/>
    <col min="2472" max="2472" width="11.44140625" style="5" bestFit="1" customWidth="1"/>
    <col min="2473" max="2473" width="13.6640625" style="5" bestFit="1" customWidth="1"/>
    <col min="2474" max="2474" width="34.109375" style="5" bestFit="1" customWidth="1"/>
    <col min="2475" max="2475" width="13.44140625" style="5" customWidth="1"/>
    <col min="2476" max="2476" width="12.33203125" style="5" customWidth="1"/>
    <col min="2477" max="2477" width="10.88671875" style="5" customWidth="1"/>
    <col min="2478" max="2478" width="10.33203125" style="5" customWidth="1"/>
    <col min="2479" max="2479" width="12.44140625" style="5" customWidth="1"/>
    <col min="2480" max="2480" width="10" style="5" customWidth="1"/>
    <col min="2481" max="2481" width="10.88671875" style="5" customWidth="1"/>
    <col min="2482" max="2482" width="12.33203125" style="5" customWidth="1"/>
    <col min="2483" max="2483" width="66.5546875" style="5" customWidth="1"/>
    <col min="2484" max="2484" width="30.33203125" style="5" customWidth="1"/>
    <col min="2485" max="2485" width="25.5546875" style="5" customWidth="1"/>
    <col min="2486" max="2486" width="16.44140625" style="5" customWidth="1"/>
    <col min="2487" max="2487" width="16.109375" style="5" customWidth="1"/>
    <col min="2488" max="2488" width="19.33203125" style="5" customWidth="1"/>
    <col min="2489" max="2489" width="19.88671875" style="5" customWidth="1"/>
    <col min="2490" max="2490" width="20.88671875" style="5" customWidth="1"/>
    <col min="2491" max="2491" width="17.109375" style="5" customWidth="1"/>
    <col min="2492" max="2492" width="17" style="5" customWidth="1"/>
    <col min="2493" max="2493" width="17.6640625" style="5" customWidth="1"/>
    <col min="2494" max="2494" width="14.109375" style="5" customWidth="1"/>
    <col min="2495" max="2495" width="15.109375" style="5" customWidth="1"/>
    <col min="2496" max="2496" width="19.5546875" style="5" customWidth="1"/>
    <col min="2497" max="2497" width="20" style="5" customWidth="1"/>
    <col min="2498" max="2498" width="20.109375" style="5" customWidth="1"/>
    <col min="2499" max="2499" width="30.6640625" style="5" customWidth="1"/>
    <col min="2500" max="2500" width="26.44140625" style="5" customWidth="1"/>
    <col min="2501" max="2501" width="21.109375" style="5" customWidth="1"/>
    <col min="2502" max="2502" width="29.5546875" style="5" customWidth="1"/>
    <col min="2503" max="2503" width="10.88671875" style="5" customWidth="1"/>
    <col min="2504" max="2504" width="10.33203125" style="5" customWidth="1"/>
    <col min="2505" max="2505" width="16.33203125" style="5" customWidth="1"/>
    <col min="2506" max="2506" width="14.44140625" style="5" customWidth="1"/>
    <col min="2507" max="2507" width="25.6640625" style="5" customWidth="1"/>
    <col min="2508" max="2508" width="10.88671875" style="5" customWidth="1"/>
    <col min="2509" max="2509" width="19.5546875" style="5" customWidth="1"/>
    <col min="2510" max="2510" width="13.44140625" style="5" customWidth="1"/>
    <col min="2511" max="2511" width="15.109375" style="5" customWidth="1"/>
    <col min="2512" max="2512" width="24.88671875" style="5" customWidth="1"/>
    <col min="2513" max="2513" width="10.88671875" style="5" customWidth="1"/>
    <col min="2514" max="2514" width="13.5546875" style="5" customWidth="1"/>
    <col min="2515" max="2515" width="13.44140625" style="5" customWidth="1"/>
    <col min="2516" max="2516" width="15.109375" style="5" customWidth="1"/>
    <col min="2517" max="2517" width="16.44140625" style="5" customWidth="1"/>
    <col min="2518" max="2518" width="11.5546875" style="5" customWidth="1"/>
    <col min="2519" max="2519" width="13.44140625" style="5" customWidth="1"/>
    <col min="2520" max="2520" width="16.33203125" style="5" customWidth="1"/>
    <col min="2521" max="2521" width="45.6640625" style="5" bestFit="1" customWidth="1"/>
    <col min="2522" max="2522" width="31.6640625" style="5" bestFit="1" customWidth="1"/>
    <col min="2523" max="2523" width="18.88671875" style="5" bestFit="1" customWidth="1"/>
    <col min="2524" max="2524" width="115.44140625" style="5" bestFit="1" customWidth="1"/>
    <col min="2525" max="2525" width="26.5546875" style="5" bestFit="1" customWidth="1"/>
    <col min="2526" max="2526" width="118.109375" style="5" bestFit="1" customWidth="1"/>
    <col min="2527" max="2527" width="26.5546875" style="5" bestFit="1" customWidth="1"/>
    <col min="2528" max="2528" width="17.88671875" style="5" bestFit="1" customWidth="1"/>
    <col min="2529" max="2529" width="16" style="5" customWidth="1"/>
    <col min="2530" max="2530" width="18.88671875" style="5" bestFit="1" customWidth="1"/>
    <col min="2531" max="2531" width="22" style="5" customWidth="1"/>
    <col min="2532" max="2532" width="29.88671875" style="5" bestFit="1" customWidth="1"/>
    <col min="2533" max="2533" width="46.5546875" style="5" bestFit="1" customWidth="1"/>
    <col min="2534" max="2534" width="47.5546875" style="5" bestFit="1" customWidth="1"/>
    <col min="2535" max="2535" width="39.109375" style="5" bestFit="1" customWidth="1"/>
    <col min="2536" max="2536" width="20.6640625" style="5" bestFit="1" customWidth="1"/>
    <col min="2537" max="2537" width="17.33203125" style="5" bestFit="1" customWidth="1"/>
    <col min="2538" max="2538" width="33.109375" style="5" bestFit="1" customWidth="1"/>
    <col min="2539" max="2539" width="43.88671875" style="5" bestFit="1" customWidth="1"/>
    <col min="2540" max="2540" width="43.5546875" style="5" bestFit="1" customWidth="1"/>
    <col min="2541" max="2541" width="16.109375" style="5" bestFit="1" customWidth="1"/>
    <col min="2542" max="2542" width="17.33203125" style="5" bestFit="1" customWidth="1"/>
    <col min="2543" max="2543" width="28.6640625" style="5" bestFit="1" customWidth="1"/>
    <col min="2544" max="2544" width="44.33203125" style="5" bestFit="1" customWidth="1"/>
    <col min="2545" max="2545" width="38" style="5" bestFit="1" customWidth="1"/>
    <col min="2546" max="2546" width="16.109375" style="5" bestFit="1" customWidth="1"/>
    <col min="2547" max="2547" width="17.33203125" style="5" bestFit="1" customWidth="1"/>
    <col min="2548" max="2548" width="20.33203125" style="5" bestFit="1" customWidth="1"/>
    <col min="2549" max="2549" width="29.44140625" style="5" bestFit="1" customWidth="1"/>
    <col min="2550" max="2550" width="28.44140625" style="5" bestFit="1" customWidth="1"/>
    <col min="2551" max="2551" width="16.109375" style="5" bestFit="1" customWidth="1"/>
    <col min="2552" max="2552" width="17.33203125" style="5" bestFit="1" customWidth="1"/>
    <col min="2553" max="2553" width="63.109375" style="5" bestFit="1" customWidth="1"/>
    <col min="2554" max="2554" width="43.5546875" style="5" bestFit="1" customWidth="1"/>
    <col min="2555" max="2555" width="32.44140625" style="5" bestFit="1" customWidth="1"/>
    <col min="2556" max="2556" width="22.6640625" style="5" bestFit="1" customWidth="1"/>
    <col min="2557" max="2557" width="56.5546875" style="5" bestFit="1" customWidth="1"/>
    <col min="2558" max="2558" width="39.5546875" style="5" bestFit="1" customWidth="1"/>
    <col min="2559" max="2559" width="24.6640625" style="5" bestFit="1" customWidth="1"/>
    <col min="2560" max="2560" width="61.88671875" style="5" bestFit="1" customWidth="1"/>
    <col min="2561" max="2561" width="29.33203125" style="5" bestFit="1" customWidth="1"/>
    <col min="2562" max="2562" width="29.5546875" style="5" bestFit="1" customWidth="1"/>
    <col min="2563" max="2563" width="64.33203125" style="5" bestFit="1" customWidth="1"/>
    <col min="2564" max="2564" width="37" style="5" bestFit="1" customWidth="1"/>
    <col min="2565" max="2565" width="26.109375" style="5" bestFit="1" customWidth="1"/>
    <col min="2566" max="2566" width="14.44140625" style="5" bestFit="1" customWidth="1"/>
    <col min="2567" max="2567" width="16.44140625" style="5" bestFit="1" customWidth="1"/>
    <col min="2568" max="2568" width="15.6640625" style="5" bestFit="1" customWidth="1"/>
    <col min="2569" max="2570" width="19" style="5" bestFit="1" customWidth="1"/>
    <col min="2571" max="2571" width="25.5546875" style="5" customWidth="1"/>
    <col min="2572" max="2572" width="25.44140625" style="5" customWidth="1"/>
    <col min="2573" max="2727" width="8.88671875" style="5"/>
    <col min="2728" max="2728" width="11.44140625" style="5" bestFit="1" customWidth="1"/>
    <col min="2729" max="2729" width="13.6640625" style="5" bestFit="1" customWidth="1"/>
    <col min="2730" max="2730" width="34.109375" style="5" bestFit="1" customWidth="1"/>
    <col min="2731" max="2731" width="13.44140625" style="5" customWidth="1"/>
    <col min="2732" max="2732" width="12.33203125" style="5" customWidth="1"/>
    <col min="2733" max="2733" width="10.88671875" style="5" customWidth="1"/>
    <col min="2734" max="2734" width="10.33203125" style="5" customWidth="1"/>
    <col min="2735" max="2735" width="12.44140625" style="5" customWidth="1"/>
    <col min="2736" max="2736" width="10" style="5" customWidth="1"/>
    <col min="2737" max="2737" width="10.88671875" style="5" customWidth="1"/>
    <col min="2738" max="2738" width="12.33203125" style="5" customWidth="1"/>
    <col min="2739" max="2739" width="66.5546875" style="5" customWidth="1"/>
    <col min="2740" max="2740" width="30.33203125" style="5" customWidth="1"/>
    <col min="2741" max="2741" width="25.5546875" style="5" customWidth="1"/>
    <col min="2742" max="2742" width="16.44140625" style="5" customWidth="1"/>
    <col min="2743" max="2743" width="16.109375" style="5" customWidth="1"/>
    <col min="2744" max="2744" width="19.33203125" style="5" customWidth="1"/>
    <col min="2745" max="2745" width="19.88671875" style="5" customWidth="1"/>
    <col min="2746" max="2746" width="20.88671875" style="5" customWidth="1"/>
    <col min="2747" max="2747" width="17.109375" style="5" customWidth="1"/>
    <col min="2748" max="2748" width="17" style="5" customWidth="1"/>
    <col min="2749" max="2749" width="17.6640625" style="5" customWidth="1"/>
    <col min="2750" max="2750" width="14.109375" style="5" customWidth="1"/>
    <col min="2751" max="2751" width="15.109375" style="5" customWidth="1"/>
    <col min="2752" max="2752" width="19.5546875" style="5" customWidth="1"/>
    <col min="2753" max="2753" width="20" style="5" customWidth="1"/>
    <col min="2754" max="2754" width="20.109375" style="5" customWidth="1"/>
    <col min="2755" max="2755" width="30.6640625" style="5" customWidth="1"/>
    <col min="2756" max="2756" width="26.44140625" style="5" customWidth="1"/>
    <col min="2757" max="2757" width="21.109375" style="5" customWidth="1"/>
    <col min="2758" max="2758" width="29.5546875" style="5" customWidth="1"/>
    <col min="2759" max="2759" width="10.88671875" style="5" customWidth="1"/>
    <col min="2760" max="2760" width="10.33203125" style="5" customWidth="1"/>
    <col min="2761" max="2761" width="16.33203125" style="5" customWidth="1"/>
    <col min="2762" max="2762" width="14.44140625" style="5" customWidth="1"/>
    <col min="2763" max="2763" width="25.6640625" style="5" customWidth="1"/>
    <col min="2764" max="2764" width="10.88671875" style="5" customWidth="1"/>
    <col min="2765" max="2765" width="19.5546875" style="5" customWidth="1"/>
    <col min="2766" max="2766" width="13.44140625" style="5" customWidth="1"/>
    <col min="2767" max="2767" width="15.109375" style="5" customWidth="1"/>
    <col min="2768" max="2768" width="24.88671875" style="5" customWidth="1"/>
    <col min="2769" max="2769" width="10.88671875" style="5" customWidth="1"/>
    <col min="2770" max="2770" width="13.5546875" style="5" customWidth="1"/>
    <col min="2771" max="2771" width="13.44140625" style="5" customWidth="1"/>
    <col min="2772" max="2772" width="15.109375" style="5" customWidth="1"/>
    <col min="2773" max="2773" width="16.44140625" style="5" customWidth="1"/>
    <col min="2774" max="2774" width="11.5546875" style="5" customWidth="1"/>
    <col min="2775" max="2775" width="13.44140625" style="5" customWidth="1"/>
    <col min="2776" max="2776" width="16.33203125" style="5" customWidth="1"/>
    <col min="2777" max="2777" width="45.6640625" style="5" bestFit="1" customWidth="1"/>
    <col min="2778" max="2778" width="31.6640625" style="5" bestFit="1" customWidth="1"/>
    <col min="2779" max="2779" width="18.88671875" style="5" bestFit="1" customWidth="1"/>
    <col min="2780" max="2780" width="115.44140625" style="5" bestFit="1" customWidth="1"/>
    <col min="2781" max="2781" width="26.5546875" style="5" bestFit="1" customWidth="1"/>
    <col min="2782" max="2782" width="118.109375" style="5" bestFit="1" customWidth="1"/>
    <col min="2783" max="2783" width="26.5546875" style="5" bestFit="1" customWidth="1"/>
    <col min="2784" max="2784" width="17.88671875" style="5" bestFit="1" customWidth="1"/>
    <col min="2785" max="2785" width="16" style="5" customWidth="1"/>
    <col min="2786" max="2786" width="18.88671875" style="5" bestFit="1" customWidth="1"/>
    <col min="2787" max="2787" width="22" style="5" customWidth="1"/>
    <col min="2788" max="2788" width="29.88671875" style="5" bestFit="1" customWidth="1"/>
    <col min="2789" max="2789" width="46.5546875" style="5" bestFit="1" customWidth="1"/>
    <col min="2790" max="2790" width="47.5546875" style="5" bestFit="1" customWidth="1"/>
    <col min="2791" max="2791" width="39.109375" style="5" bestFit="1" customWidth="1"/>
    <col min="2792" max="2792" width="20.6640625" style="5" bestFit="1" customWidth="1"/>
    <col min="2793" max="2793" width="17.33203125" style="5" bestFit="1" customWidth="1"/>
    <col min="2794" max="2794" width="33.109375" style="5" bestFit="1" customWidth="1"/>
    <col min="2795" max="2795" width="43.88671875" style="5" bestFit="1" customWidth="1"/>
    <col min="2796" max="2796" width="43.5546875" style="5" bestFit="1" customWidth="1"/>
    <col min="2797" max="2797" width="16.109375" style="5" bestFit="1" customWidth="1"/>
    <col min="2798" max="2798" width="17.33203125" style="5" bestFit="1" customWidth="1"/>
    <col min="2799" max="2799" width="28.6640625" style="5" bestFit="1" customWidth="1"/>
    <col min="2800" max="2800" width="44.33203125" style="5" bestFit="1" customWidth="1"/>
    <col min="2801" max="2801" width="38" style="5" bestFit="1" customWidth="1"/>
    <col min="2802" max="2802" width="16.109375" style="5" bestFit="1" customWidth="1"/>
    <col min="2803" max="2803" width="17.33203125" style="5" bestFit="1" customWidth="1"/>
    <col min="2804" max="2804" width="20.33203125" style="5" bestFit="1" customWidth="1"/>
    <col min="2805" max="2805" width="29.44140625" style="5" bestFit="1" customWidth="1"/>
    <col min="2806" max="2806" width="28.44140625" style="5" bestFit="1" customWidth="1"/>
    <col min="2807" max="2807" width="16.109375" style="5" bestFit="1" customWidth="1"/>
    <col min="2808" max="2808" width="17.33203125" style="5" bestFit="1" customWidth="1"/>
    <col min="2809" max="2809" width="63.109375" style="5" bestFit="1" customWidth="1"/>
    <col min="2810" max="2810" width="43.5546875" style="5" bestFit="1" customWidth="1"/>
    <col min="2811" max="2811" width="32.44140625" style="5" bestFit="1" customWidth="1"/>
    <col min="2812" max="2812" width="22.6640625" style="5" bestFit="1" customWidth="1"/>
    <col min="2813" max="2813" width="56.5546875" style="5" bestFit="1" customWidth="1"/>
    <col min="2814" max="2814" width="39.5546875" style="5" bestFit="1" customWidth="1"/>
    <col min="2815" max="2815" width="24.6640625" style="5" bestFit="1" customWidth="1"/>
    <col min="2816" max="2816" width="61.88671875" style="5" bestFit="1" customWidth="1"/>
    <col min="2817" max="2817" width="29.33203125" style="5" bestFit="1" customWidth="1"/>
    <col min="2818" max="2818" width="29.5546875" style="5" bestFit="1" customWidth="1"/>
    <col min="2819" max="2819" width="64.33203125" style="5" bestFit="1" customWidth="1"/>
    <col min="2820" max="2820" width="37" style="5" bestFit="1" customWidth="1"/>
    <col min="2821" max="2821" width="26.109375" style="5" bestFit="1" customWidth="1"/>
    <col min="2822" max="2822" width="14.44140625" style="5" bestFit="1" customWidth="1"/>
    <col min="2823" max="2823" width="16.44140625" style="5" bestFit="1" customWidth="1"/>
    <col min="2824" max="2824" width="15.6640625" style="5" bestFit="1" customWidth="1"/>
    <col min="2825" max="2826" width="19" style="5" bestFit="1" customWidth="1"/>
    <col min="2827" max="2827" width="25.5546875" style="5" customWidth="1"/>
    <col min="2828" max="2828" width="25.44140625" style="5" customWidth="1"/>
    <col min="2829" max="2983" width="8.88671875" style="5"/>
    <col min="2984" max="2984" width="11.44140625" style="5" bestFit="1" customWidth="1"/>
    <col min="2985" max="2985" width="13.6640625" style="5" bestFit="1" customWidth="1"/>
    <col min="2986" max="2986" width="34.109375" style="5" bestFit="1" customWidth="1"/>
    <col min="2987" max="2987" width="13.44140625" style="5" customWidth="1"/>
    <col min="2988" max="2988" width="12.33203125" style="5" customWidth="1"/>
    <col min="2989" max="2989" width="10.88671875" style="5" customWidth="1"/>
    <col min="2990" max="2990" width="10.33203125" style="5" customWidth="1"/>
    <col min="2991" max="2991" width="12.44140625" style="5" customWidth="1"/>
    <col min="2992" max="2992" width="10" style="5" customWidth="1"/>
    <col min="2993" max="2993" width="10.88671875" style="5" customWidth="1"/>
    <col min="2994" max="2994" width="12.33203125" style="5" customWidth="1"/>
    <col min="2995" max="2995" width="66.5546875" style="5" customWidth="1"/>
    <col min="2996" max="2996" width="30.33203125" style="5" customWidth="1"/>
    <col min="2997" max="2997" width="25.5546875" style="5" customWidth="1"/>
    <col min="2998" max="2998" width="16.44140625" style="5" customWidth="1"/>
    <col min="2999" max="2999" width="16.109375" style="5" customWidth="1"/>
    <col min="3000" max="3000" width="19.33203125" style="5" customWidth="1"/>
    <col min="3001" max="3001" width="19.88671875" style="5" customWidth="1"/>
    <col min="3002" max="3002" width="20.88671875" style="5" customWidth="1"/>
    <col min="3003" max="3003" width="17.109375" style="5" customWidth="1"/>
    <col min="3004" max="3004" width="17" style="5" customWidth="1"/>
    <col min="3005" max="3005" width="17.6640625" style="5" customWidth="1"/>
    <col min="3006" max="3006" width="14.109375" style="5" customWidth="1"/>
    <col min="3007" max="3007" width="15.109375" style="5" customWidth="1"/>
    <col min="3008" max="3008" width="19.5546875" style="5" customWidth="1"/>
    <col min="3009" max="3009" width="20" style="5" customWidth="1"/>
    <col min="3010" max="3010" width="20.109375" style="5" customWidth="1"/>
    <col min="3011" max="3011" width="30.6640625" style="5" customWidth="1"/>
    <col min="3012" max="3012" width="26.44140625" style="5" customWidth="1"/>
    <col min="3013" max="3013" width="21.109375" style="5" customWidth="1"/>
    <col min="3014" max="3014" width="29.5546875" style="5" customWidth="1"/>
    <col min="3015" max="3015" width="10.88671875" style="5" customWidth="1"/>
    <col min="3016" max="3016" width="10.33203125" style="5" customWidth="1"/>
    <col min="3017" max="3017" width="16.33203125" style="5" customWidth="1"/>
    <col min="3018" max="3018" width="14.44140625" style="5" customWidth="1"/>
    <col min="3019" max="3019" width="25.6640625" style="5" customWidth="1"/>
    <col min="3020" max="3020" width="10.88671875" style="5" customWidth="1"/>
    <col min="3021" max="3021" width="19.5546875" style="5" customWidth="1"/>
    <col min="3022" max="3022" width="13.44140625" style="5" customWidth="1"/>
    <col min="3023" max="3023" width="15.109375" style="5" customWidth="1"/>
    <col min="3024" max="3024" width="24.88671875" style="5" customWidth="1"/>
    <col min="3025" max="3025" width="10.88671875" style="5" customWidth="1"/>
    <col min="3026" max="3026" width="13.5546875" style="5" customWidth="1"/>
    <col min="3027" max="3027" width="13.44140625" style="5" customWidth="1"/>
    <col min="3028" max="3028" width="15.109375" style="5" customWidth="1"/>
    <col min="3029" max="3029" width="16.44140625" style="5" customWidth="1"/>
    <col min="3030" max="3030" width="11.5546875" style="5" customWidth="1"/>
    <col min="3031" max="3031" width="13.44140625" style="5" customWidth="1"/>
    <col min="3032" max="3032" width="16.33203125" style="5" customWidth="1"/>
    <col min="3033" max="3033" width="45.6640625" style="5" bestFit="1" customWidth="1"/>
    <col min="3034" max="3034" width="31.6640625" style="5" bestFit="1" customWidth="1"/>
    <col min="3035" max="3035" width="18.88671875" style="5" bestFit="1" customWidth="1"/>
    <col min="3036" max="3036" width="115.44140625" style="5" bestFit="1" customWidth="1"/>
    <col min="3037" max="3037" width="26.5546875" style="5" bestFit="1" customWidth="1"/>
    <col min="3038" max="3038" width="118.109375" style="5" bestFit="1" customWidth="1"/>
    <col min="3039" max="3039" width="26.5546875" style="5" bestFit="1" customWidth="1"/>
    <col min="3040" max="3040" width="17.88671875" style="5" bestFit="1" customWidth="1"/>
    <col min="3041" max="3041" width="16" style="5" customWidth="1"/>
    <col min="3042" max="3042" width="18.88671875" style="5" bestFit="1" customWidth="1"/>
    <col min="3043" max="3043" width="22" style="5" customWidth="1"/>
    <col min="3044" max="3044" width="29.88671875" style="5" bestFit="1" customWidth="1"/>
    <col min="3045" max="3045" width="46.5546875" style="5" bestFit="1" customWidth="1"/>
    <col min="3046" max="3046" width="47.5546875" style="5" bestFit="1" customWidth="1"/>
    <col min="3047" max="3047" width="39.109375" style="5" bestFit="1" customWidth="1"/>
    <col min="3048" max="3048" width="20.6640625" style="5" bestFit="1" customWidth="1"/>
    <col min="3049" max="3049" width="17.33203125" style="5" bestFit="1" customWidth="1"/>
    <col min="3050" max="3050" width="33.109375" style="5" bestFit="1" customWidth="1"/>
    <col min="3051" max="3051" width="43.88671875" style="5" bestFit="1" customWidth="1"/>
    <col min="3052" max="3052" width="43.5546875" style="5" bestFit="1" customWidth="1"/>
    <col min="3053" max="3053" width="16.109375" style="5" bestFit="1" customWidth="1"/>
    <col min="3054" max="3054" width="17.33203125" style="5" bestFit="1" customWidth="1"/>
    <col min="3055" max="3055" width="28.6640625" style="5" bestFit="1" customWidth="1"/>
    <col min="3056" max="3056" width="44.33203125" style="5" bestFit="1" customWidth="1"/>
    <col min="3057" max="3057" width="38" style="5" bestFit="1" customWidth="1"/>
    <col min="3058" max="3058" width="16.109375" style="5" bestFit="1" customWidth="1"/>
    <col min="3059" max="3059" width="17.33203125" style="5" bestFit="1" customWidth="1"/>
    <col min="3060" max="3060" width="20.33203125" style="5" bestFit="1" customWidth="1"/>
    <col min="3061" max="3061" width="29.44140625" style="5" bestFit="1" customWidth="1"/>
    <col min="3062" max="3062" width="28.44140625" style="5" bestFit="1" customWidth="1"/>
    <col min="3063" max="3063" width="16.109375" style="5" bestFit="1" customWidth="1"/>
    <col min="3064" max="3064" width="17.33203125" style="5" bestFit="1" customWidth="1"/>
    <col min="3065" max="3065" width="63.109375" style="5" bestFit="1" customWidth="1"/>
    <col min="3066" max="3066" width="43.5546875" style="5" bestFit="1" customWidth="1"/>
    <col min="3067" max="3067" width="32.44140625" style="5" bestFit="1" customWidth="1"/>
    <col min="3068" max="3068" width="22.6640625" style="5" bestFit="1" customWidth="1"/>
    <col min="3069" max="3069" width="56.5546875" style="5" bestFit="1" customWidth="1"/>
    <col min="3070" max="3070" width="39.5546875" style="5" bestFit="1" customWidth="1"/>
    <col min="3071" max="3071" width="24.6640625" style="5" bestFit="1" customWidth="1"/>
    <col min="3072" max="3072" width="61.88671875" style="5" bestFit="1" customWidth="1"/>
    <col min="3073" max="3073" width="29.33203125" style="5" bestFit="1" customWidth="1"/>
    <col min="3074" max="3074" width="29.5546875" style="5" bestFit="1" customWidth="1"/>
    <col min="3075" max="3075" width="64.33203125" style="5" bestFit="1" customWidth="1"/>
    <col min="3076" max="3076" width="37" style="5" bestFit="1" customWidth="1"/>
    <col min="3077" max="3077" width="26.109375" style="5" bestFit="1" customWidth="1"/>
    <col min="3078" max="3078" width="14.44140625" style="5" bestFit="1" customWidth="1"/>
    <col min="3079" max="3079" width="16.44140625" style="5" bestFit="1" customWidth="1"/>
    <col min="3080" max="3080" width="15.6640625" style="5" bestFit="1" customWidth="1"/>
    <col min="3081" max="3082" width="19" style="5" bestFit="1" customWidth="1"/>
    <col min="3083" max="3083" width="25.5546875" style="5" customWidth="1"/>
    <col min="3084" max="3084" width="25.44140625" style="5" customWidth="1"/>
    <col min="3085" max="3239" width="8.88671875" style="5"/>
    <col min="3240" max="3240" width="11.44140625" style="5" bestFit="1" customWidth="1"/>
    <col min="3241" max="3241" width="13.6640625" style="5" bestFit="1" customWidth="1"/>
    <col min="3242" max="3242" width="34.109375" style="5" bestFit="1" customWidth="1"/>
    <col min="3243" max="3243" width="13.44140625" style="5" customWidth="1"/>
    <col min="3244" max="3244" width="12.33203125" style="5" customWidth="1"/>
    <col min="3245" max="3245" width="10.88671875" style="5" customWidth="1"/>
    <col min="3246" max="3246" width="10.33203125" style="5" customWidth="1"/>
    <col min="3247" max="3247" width="12.44140625" style="5" customWidth="1"/>
    <col min="3248" max="3248" width="10" style="5" customWidth="1"/>
    <col min="3249" max="3249" width="10.88671875" style="5" customWidth="1"/>
    <col min="3250" max="3250" width="12.33203125" style="5" customWidth="1"/>
    <col min="3251" max="3251" width="66.5546875" style="5" customWidth="1"/>
    <col min="3252" max="3252" width="30.33203125" style="5" customWidth="1"/>
    <col min="3253" max="3253" width="25.5546875" style="5" customWidth="1"/>
    <col min="3254" max="3254" width="16.44140625" style="5" customWidth="1"/>
    <col min="3255" max="3255" width="16.109375" style="5" customWidth="1"/>
    <col min="3256" max="3256" width="19.33203125" style="5" customWidth="1"/>
    <col min="3257" max="3257" width="19.88671875" style="5" customWidth="1"/>
    <col min="3258" max="3258" width="20.88671875" style="5" customWidth="1"/>
    <col min="3259" max="3259" width="17.109375" style="5" customWidth="1"/>
    <col min="3260" max="3260" width="17" style="5" customWidth="1"/>
    <col min="3261" max="3261" width="17.6640625" style="5" customWidth="1"/>
    <col min="3262" max="3262" width="14.109375" style="5" customWidth="1"/>
    <col min="3263" max="3263" width="15.109375" style="5" customWidth="1"/>
    <col min="3264" max="3264" width="19.5546875" style="5" customWidth="1"/>
    <col min="3265" max="3265" width="20" style="5" customWidth="1"/>
    <col min="3266" max="3266" width="20.109375" style="5" customWidth="1"/>
    <col min="3267" max="3267" width="30.6640625" style="5" customWidth="1"/>
    <col min="3268" max="3268" width="26.44140625" style="5" customWidth="1"/>
    <col min="3269" max="3269" width="21.109375" style="5" customWidth="1"/>
    <col min="3270" max="3270" width="29.5546875" style="5" customWidth="1"/>
    <col min="3271" max="3271" width="10.88671875" style="5" customWidth="1"/>
    <col min="3272" max="3272" width="10.33203125" style="5" customWidth="1"/>
    <col min="3273" max="3273" width="16.33203125" style="5" customWidth="1"/>
    <col min="3274" max="3274" width="14.44140625" style="5" customWidth="1"/>
    <col min="3275" max="3275" width="25.6640625" style="5" customWidth="1"/>
    <col min="3276" max="3276" width="10.88671875" style="5" customWidth="1"/>
    <col min="3277" max="3277" width="19.5546875" style="5" customWidth="1"/>
    <col min="3278" max="3278" width="13.44140625" style="5" customWidth="1"/>
    <col min="3279" max="3279" width="15.109375" style="5" customWidth="1"/>
    <col min="3280" max="3280" width="24.88671875" style="5" customWidth="1"/>
    <col min="3281" max="3281" width="10.88671875" style="5" customWidth="1"/>
    <col min="3282" max="3282" width="13.5546875" style="5" customWidth="1"/>
    <col min="3283" max="3283" width="13.44140625" style="5" customWidth="1"/>
    <col min="3284" max="3284" width="15.109375" style="5" customWidth="1"/>
    <col min="3285" max="3285" width="16.44140625" style="5" customWidth="1"/>
    <col min="3286" max="3286" width="11.5546875" style="5" customWidth="1"/>
    <col min="3287" max="3287" width="13.44140625" style="5" customWidth="1"/>
    <col min="3288" max="3288" width="16.33203125" style="5" customWidth="1"/>
    <col min="3289" max="3289" width="45.6640625" style="5" bestFit="1" customWidth="1"/>
    <col min="3290" max="3290" width="31.6640625" style="5" bestFit="1" customWidth="1"/>
    <col min="3291" max="3291" width="18.88671875" style="5" bestFit="1" customWidth="1"/>
    <col min="3292" max="3292" width="115.44140625" style="5" bestFit="1" customWidth="1"/>
    <col min="3293" max="3293" width="26.5546875" style="5" bestFit="1" customWidth="1"/>
    <col min="3294" max="3294" width="118.109375" style="5" bestFit="1" customWidth="1"/>
    <col min="3295" max="3295" width="26.5546875" style="5" bestFit="1" customWidth="1"/>
    <col min="3296" max="3296" width="17.88671875" style="5" bestFit="1" customWidth="1"/>
    <col min="3297" max="3297" width="16" style="5" customWidth="1"/>
    <col min="3298" max="3298" width="18.88671875" style="5" bestFit="1" customWidth="1"/>
    <col min="3299" max="3299" width="22" style="5" customWidth="1"/>
    <col min="3300" max="3300" width="29.88671875" style="5" bestFit="1" customWidth="1"/>
    <col min="3301" max="3301" width="46.5546875" style="5" bestFit="1" customWidth="1"/>
    <col min="3302" max="3302" width="47.5546875" style="5" bestFit="1" customWidth="1"/>
    <col min="3303" max="3303" width="39.109375" style="5" bestFit="1" customWidth="1"/>
    <col min="3304" max="3304" width="20.6640625" style="5" bestFit="1" customWidth="1"/>
    <col min="3305" max="3305" width="17.33203125" style="5" bestFit="1" customWidth="1"/>
    <col min="3306" max="3306" width="33.109375" style="5" bestFit="1" customWidth="1"/>
    <col min="3307" max="3307" width="43.88671875" style="5" bestFit="1" customWidth="1"/>
    <col min="3308" max="3308" width="43.5546875" style="5" bestFit="1" customWidth="1"/>
    <col min="3309" max="3309" width="16.109375" style="5" bestFit="1" customWidth="1"/>
    <col min="3310" max="3310" width="17.33203125" style="5" bestFit="1" customWidth="1"/>
    <col min="3311" max="3311" width="28.6640625" style="5" bestFit="1" customWidth="1"/>
    <col min="3312" max="3312" width="44.33203125" style="5" bestFit="1" customWidth="1"/>
    <col min="3313" max="3313" width="38" style="5" bestFit="1" customWidth="1"/>
    <col min="3314" max="3314" width="16.109375" style="5" bestFit="1" customWidth="1"/>
    <col min="3315" max="3315" width="17.33203125" style="5" bestFit="1" customWidth="1"/>
    <col min="3316" max="3316" width="20.33203125" style="5" bestFit="1" customWidth="1"/>
    <col min="3317" max="3317" width="29.44140625" style="5" bestFit="1" customWidth="1"/>
    <col min="3318" max="3318" width="28.44140625" style="5" bestFit="1" customWidth="1"/>
    <col min="3319" max="3319" width="16.109375" style="5" bestFit="1" customWidth="1"/>
    <col min="3320" max="3320" width="17.33203125" style="5" bestFit="1" customWidth="1"/>
    <col min="3321" max="3321" width="63.109375" style="5" bestFit="1" customWidth="1"/>
    <col min="3322" max="3322" width="43.5546875" style="5" bestFit="1" customWidth="1"/>
    <col min="3323" max="3323" width="32.44140625" style="5" bestFit="1" customWidth="1"/>
    <col min="3324" max="3324" width="22.6640625" style="5" bestFit="1" customWidth="1"/>
    <col min="3325" max="3325" width="56.5546875" style="5" bestFit="1" customWidth="1"/>
    <col min="3326" max="3326" width="39.5546875" style="5" bestFit="1" customWidth="1"/>
    <col min="3327" max="3327" width="24.6640625" style="5" bestFit="1" customWidth="1"/>
    <col min="3328" max="3328" width="61.88671875" style="5" bestFit="1" customWidth="1"/>
    <col min="3329" max="3329" width="29.33203125" style="5" bestFit="1" customWidth="1"/>
    <col min="3330" max="3330" width="29.5546875" style="5" bestFit="1" customWidth="1"/>
    <col min="3331" max="3331" width="64.33203125" style="5" bestFit="1" customWidth="1"/>
    <col min="3332" max="3332" width="37" style="5" bestFit="1" customWidth="1"/>
    <col min="3333" max="3333" width="26.109375" style="5" bestFit="1" customWidth="1"/>
    <col min="3334" max="3334" width="14.44140625" style="5" bestFit="1" customWidth="1"/>
    <col min="3335" max="3335" width="16.44140625" style="5" bestFit="1" customWidth="1"/>
    <col min="3336" max="3336" width="15.6640625" style="5" bestFit="1" customWidth="1"/>
    <col min="3337" max="3338" width="19" style="5" bestFit="1" customWidth="1"/>
    <col min="3339" max="3339" width="25.5546875" style="5" customWidth="1"/>
    <col min="3340" max="3340" width="25.44140625" style="5" customWidth="1"/>
    <col min="3341" max="3495" width="8.88671875" style="5"/>
    <col min="3496" max="3496" width="11.44140625" style="5" bestFit="1" customWidth="1"/>
    <col min="3497" max="3497" width="13.6640625" style="5" bestFit="1" customWidth="1"/>
    <col min="3498" max="3498" width="34.109375" style="5" bestFit="1" customWidth="1"/>
    <col min="3499" max="3499" width="13.44140625" style="5" customWidth="1"/>
    <col min="3500" max="3500" width="12.33203125" style="5" customWidth="1"/>
    <col min="3501" max="3501" width="10.88671875" style="5" customWidth="1"/>
    <col min="3502" max="3502" width="10.33203125" style="5" customWidth="1"/>
    <col min="3503" max="3503" width="12.44140625" style="5" customWidth="1"/>
    <col min="3504" max="3504" width="10" style="5" customWidth="1"/>
    <col min="3505" max="3505" width="10.88671875" style="5" customWidth="1"/>
    <col min="3506" max="3506" width="12.33203125" style="5" customWidth="1"/>
    <col min="3507" max="3507" width="66.5546875" style="5" customWidth="1"/>
    <col min="3508" max="3508" width="30.33203125" style="5" customWidth="1"/>
    <col min="3509" max="3509" width="25.5546875" style="5" customWidth="1"/>
    <col min="3510" max="3510" width="16.44140625" style="5" customWidth="1"/>
    <col min="3511" max="3511" width="16.109375" style="5" customWidth="1"/>
    <col min="3512" max="3512" width="19.33203125" style="5" customWidth="1"/>
    <col min="3513" max="3513" width="19.88671875" style="5" customWidth="1"/>
    <col min="3514" max="3514" width="20.88671875" style="5" customWidth="1"/>
    <col min="3515" max="3515" width="17.109375" style="5" customWidth="1"/>
    <col min="3516" max="3516" width="17" style="5" customWidth="1"/>
    <col min="3517" max="3517" width="17.6640625" style="5" customWidth="1"/>
    <col min="3518" max="3518" width="14.109375" style="5" customWidth="1"/>
    <col min="3519" max="3519" width="15.109375" style="5" customWidth="1"/>
    <col min="3520" max="3520" width="19.5546875" style="5" customWidth="1"/>
    <col min="3521" max="3521" width="20" style="5" customWidth="1"/>
    <col min="3522" max="3522" width="20.109375" style="5" customWidth="1"/>
    <col min="3523" max="3523" width="30.6640625" style="5" customWidth="1"/>
    <col min="3524" max="3524" width="26.44140625" style="5" customWidth="1"/>
    <col min="3525" max="3525" width="21.109375" style="5" customWidth="1"/>
    <col min="3526" max="3526" width="29.5546875" style="5" customWidth="1"/>
    <col min="3527" max="3527" width="10.88671875" style="5" customWidth="1"/>
    <col min="3528" max="3528" width="10.33203125" style="5" customWidth="1"/>
    <col min="3529" max="3529" width="16.33203125" style="5" customWidth="1"/>
    <col min="3530" max="3530" width="14.44140625" style="5" customWidth="1"/>
    <col min="3531" max="3531" width="25.6640625" style="5" customWidth="1"/>
    <col min="3532" max="3532" width="10.88671875" style="5" customWidth="1"/>
    <col min="3533" max="3533" width="19.5546875" style="5" customWidth="1"/>
    <col min="3534" max="3534" width="13.44140625" style="5" customWidth="1"/>
    <col min="3535" max="3535" width="15.109375" style="5" customWidth="1"/>
    <col min="3536" max="3536" width="24.88671875" style="5" customWidth="1"/>
    <col min="3537" max="3537" width="10.88671875" style="5" customWidth="1"/>
    <col min="3538" max="3538" width="13.5546875" style="5" customWidth="1"/>
    <col min="3539" max="3539" width="13.44140625" style="5" customWidth="1"/>
    <col min="3540" max="3540" width="15.109375" style="5" customWidth="1"/>
    <col min="3541" max="3541" width="16.44140625" style="5" customWidth="1"/>
    <col min="3542" max="3542" width="11.5546875" style="5" customWidth="1"/>
    <col min="3543" max="3543" width="13.44140625" style="5" customWidth="1"/>
    <col min="3544" max="3544" width="16.33203125" style="5" customWidth="1"/>
    <col min="3545" max="3545" width="45.6640625" style="5" bestFit="1" customWidth="1"/>
    <col min="3546" max="3546" width="31.6640625" style="5" bestFit="1" customWidth="1"/>
    <col min="3547" max="3547" width="18.88671875" style="5" bestFit="1" customWidth="1"/>
    <col min="3548" max="3548" width="115.44140625" style="5" bestFit="1" customWidth="1"/>
    <col min="3549" max="3549" width="26.5546875" style="5" bestFit="1" customWidth="1"/>
    <col min="3550" max="3550" width="118.109375" style="5" bestFit="1" customWidth="1"/>
    <col min="3551" max="3551" width="26.5546875" style="5" bestFit="1" customWidth="1"/>
    <col min="3552" max="3552" width="17.88671875" style="5" bestFit="1" customWidth="1"/>
    <col min="3553" max="3553" width="16" style="5" customWidth="1"/>
    <col min="3554" max="3554" width="18.88671875" style="5" bestFit="1" customWidth="1"/>
    <col min="3555" max="3555" width="22" style="5" customWidth="1"/>
    <col min="3556" max="3556" width="29.88671875" style="5" bestFit="1" customWidth="1"/>
    <col min="3557" max="3557" width="46.5546875" style="5" bestFit="1" customWidth="1"/>
    <col min="3558" max="3558" width="47.5546875" style="5" bestFit="1" customWidth="1"/>
    <col min="3559" max="3559" width="39.109375" style="5" bestFit="1" customWidth="1"/>
    <col min="3560" max="3560" width="20.6640625" style="5" bestFit="1" customWidth="1"/>
    <col min="3561" max="3561" width="17.33203125" style="5" bestFit="1" customWidth="1"/>
    <col min="3562" max="3562" width="33.109375" style="5" bestFit="1" customWidth="1"/>
    <col min="3563" max="3563" width="43.88671875" style="5" bestFit="1" customWidth="1"/>
    <col min="3564" max="3564" width="43.5546875" style="5" bestFit="1" customWidth="1"/>
    <col min="3565" max="3565" width="16.109375" style="5" bestFit="1" customWidth="1"/>
    <col min="3566" max="3566" width="17.33203125" style="5" bestFit="1" customWidth="1"/>
    <col min="3567" max="3567" width="28.6640625" style="5" bestFit="1" customWidth="1"/>
    <col min="3568" max="3568" width="44.33203125" style="5" bestFit="1" customWidth="1"/>
    <col min="3569" max="3569" width="38" style="5" bestFit="1" customWidth="1"/>
    <col min="3570" max="3570" width="16.109375" style="5" bestFit="1" customWidth="1"/>
    <col min="3571" max="3571" width="17.33203125" style="5" bestFit="1" customWidth="1"/>
    <col min="3572" max="3572" width="20.33203125" style="5" bestFit="1" customWidth="1"/>
    <col min="3573" max="3573" width="29.44140625" style="5" bestFit="1" customWidth="1"/>
    <col min="3574" max="3574" width="28.44140625" style="5" bestFit="1" customWidth="1"/>
    <col min="3575" max="3575" width="16.109375" style="5" bestFit="1" customWidth="1"/>
    <col min="3576" max="3576" width="17.33203125" style="5" bestFit="1" customWidth="1"/>
    <col min="3577" max="3577" width="63.109375" style="5" bestFit="1" customWidth="1"/>
    <col min="3578" max="3578" width="43.5546875" style="5" bestFit="1" customWidth="1"/>
    <col min="3579" max="3579" width="32.44140625" style="5" bestFit="1" customWidth="1"/>
    <col min="3580" max="3580" width="22.6640625" style="5" bestFit="1" customWidth="1"/>
    <col min="3581" max="3581" width="56.5546875" style="5" bestFit="1" customWidth="1"/>
    <col min="3582" max="3582" width="39.5546875" style="5" bestFit="1" customWidth="1"/>
    <col min="3583" max="3583" width="24.6640625" style="5" bestFit="1" customWidth="1"/>
    <col min="3584" max="3584" width="61.88671875" style="5" bestFit="1" customWidth="1"/>
    <col min="3585" max="3585" width="29.33203125" style="5" bestFit="1" customWidth="1"/>
    <col min="3586" max="3586" width="29.5546875" style="5" bestFit="1" customWidth="1"/>
    <col min="3587" max="3587" width="64.33203125" style="5" bestFit="1" customWidth="1"/>
    <col min="3588" max="3588" width="37" style="5" bestFit="1" customWidth="1"/>
    <col min="3589" max="3589" width="26.109375" style="5" bestFit="1" customWidth="1"/>
    <col min="3590" max="3590" width="14.44140625" style="5" bestFit="1" customWidth="1"/>
    <col min="3591" max="3591" width="16.44140625" style="5" bestFit="1" customWidth="1"/>
    <col min="3592" max="3592" width="15.6640625" style="5" bestFit="1" customWidth="1"/>
    <col min="3593" max="3594" width="19" style="5" bestFit="1" customWidth="1"/>
    <col min="3595" max="3595" width="25.5546875" style="5" customWidth="1"/>
    <col min="3596" max="3596" width="25.44140625" style="5" customWidth="1"/>
    <col min="3597" max="3751" width="8.88671875" style="5"/>
    <col min="3752" max="3752" width="11.44140625" style="5" bestFit="1" customWidth="1"/>
    <col min="3753" max="3753" width="13.6640625" style="5" bestFit="1" customWidth="1"/>
    <col min="3754" max="3754" width="34.109375" style="5" bestFit="1" customWidth="1"/>
    <col min="3755" max="3755" width="13.44140625" style="5" customWidth="1"/>
    <col min="3756" max="3756" width="12.33203125" style="5" customWidth="1"/>
    <col min="3757" max="3757" width="10.88671875" style="5" customWidth="1"/>
    <col min="3758" max="3758" width="10.33203125" style="5" customWidth="1"/>
    <col min="3759" max="3759" width="12.44140625" style="5" customWidth="1"/>
    <col min="3760" max="3760" width="10" style="5" customWidth="1"/>
    <col min="3761" max="3761" width="10.88671875" style="5" customWidth="1"/>
    <col min="3762" max="3762" width="12.33203125" style="5" customWidth="1"/>
    <col min="3763" max="3763" width="66.5546875" style="5" customWidth="1"/>
    <col min="3764" max="3764" width="30.33203125" style="5" customWidth="1"/>
    <col min="3765" max="3765" width="25.5546875" style="5" customWidth="1"/>
    <col min="3766" max="3766" width="16.44140625" style="5" customWidth="1"/>
    <col min="3767" max="3767" width="16.109375" style="5" customWidth="1"/>
    <col min="3768" max="3768" width="19.33203125" style="5" customWidth="1"/>
    <col min="3769" max="3769" width="19.88671875" style="5" customWidth="1"/>
    <col min="3770" max="3770" width="20.88671875" style="5" customWidth="1"/>
    <col min="3771" max="3771" width="17.109375" style="5" customWidth="1"/>
    <col min="3772" max="3772" width="17" style="5" customWidth="1"/>
    <col min="3773" max="3773" width="17.6640625" style="5" customWidth="1"/>
    <col min="3774" max="3774" width="14.109375" style="5" customWidth="1"/>
    <col min="3775" max="3775" width="15.109375" style="5" customWidth="1"/>
    <col min="3776" max="3776" width="19.5546875" style="5" customWidth="1"/>
    <col min="3777" max="3777" width="20" style="5" customWidth="1"/>
    <col min="3778" max="3778" width="20.109375" style="5" customWidth="1"/>
    <col min="3779" max="3779" width="30.6640625" style="5" customWidth="1"/>
    <col min="3780" max="3780" width="26.44140625" style="5" customWidth="1"/>
    <col min="3781" max="3781" width="21.109375" style="5" customWidth="1"/>
    <col min="3782" max="3782" width="29.5546875" style="5" customWidth="1"/>
    <col min="3783" max="3783" width="10.88671875" style="5" customWidth="1"/>
    <col min="3784" max="3784" width="10.33203125" style="5" customWidth="1"/>
    <col min="3785" max="3785" width="16.33203125" style="5" customWidth="1"/>
    <col min="3786" max="3786" width="14.44140625" style="5" customWidth="1"/>
    <col min="3787" max="3787" width="25.6640625" style="5" customWidth="1"/>
    <col min="3788" max="3788" width="10.88671875" style="5" customWidth="1"/>
    <col min="3789" max="3789" width="19.5546875" style="5" customWidth="1"/>
    <col min="3790" max="3790" width="13.44140625" style="5" customWidth="1"/>
    <col min="3791" max="3791" width="15.109375" style="5" customWidth="1"/>
    <col min="3792" max="3792" width="24.88671875" style="5" customWidth="1"/>
    <col min="3793" max="3793" width="10.88671875" style="5" customWidth="1"/>
    <col min="3794" max="3794" width="13.5546875" style="5" customWidth="1"/>
    <col min="3795" max="3795" width="13.44140625" style="5" customWidth="1"/>
    <col min="3796" max="3796" width="15.109375" style="5" customWidth="1"/>
    <col min="3797" max="3797" width="16.44140625" style="5" customWidth="1"/>
    <col min="3798" max="3798" width="11.5546875" style="5" customWidth="1"/>
    <col min="3799" max="3799" width="13.44140625" style="5" customWidth="1"/>
    <col min="3800" max="3800" width="16.33203125" style="5" customWidth="1"/>
    <col min="3801" max="3801" width="45.6640625" style="5" bestFit="1" customWidth="1"/>
    <col min="3802" max="3802" width="31.6640625" style="5" bestFit="1" customWidth="1"/>
    <col min="3803" max="3803" width="18.88671875" style="5" bestFit="1" customWidth="1"/>
    <col min="3804" max="3804" width="115.44140625" style="5" bestFit="1" customWidth="1"/>
    <col min="3805" max="3805" width="26.5546875" style="5" bestFit="1" customWidth="1"/>
    <col min="3806" max="3806" width="118.109375" style="5" bestFit="1" customWidth="1"/>
    <col min="3807" max="3807" width="26.5546875" style="5" bestFit="1" customWidth="1"/>
    <col min="3808" max="3808" width="17.88671875" style="5" bestFit="1" customWidth="1"/>
    <col min="3809" max="3809" width="16" style="5" customWidth="1"/>
    <col min="3810" max="3810" width="18.88671875" style="5" bestFit="1" customWidth="1"/>
    <col min="3811" max="3811" width="22" style="5" customWidth="1"/>
    <col min="3812" max="3812" width="29.88671875" style="5" bestFit="1" customWidth="1"/>
    <col min="3813" max="3813" width="46.5546875" style="5" bestFit="1" customWidth="1"/>
    <col min="3814" max="3814" width="47.5546875" style="5" bestFit="1" customWidth="1"/>
    <col min="3815" max="3815" width="39.109375" style="5" bestFit="1" customWidth="1"/>
    <col min="3816" max="3816" width="20.6640625" style="5" bestFit="1" customWidth="1"/>
    <col min="3817" max="3817" width="17.33203125" style="5" bestFit="1" customWidth="1"/>
    <col min="3818" max="3818" width="33.109375" style="5" bestFit="1" customWidth="1"/>
    <col min="3819" max="3819" width="43.88671875" style="5" bestFit="1" customWidth="1"/>
    <col min="3820" max="3820" width="43.5546875" style="5" bestFit="1" customWidth="1"/>
    <col min="3821" max="3821" width="16.109375" style="5" bestFit="1" customWidth="1"/>
    <col min="3822" max="3822" width="17.33203125" style="5" bestFit="1" customWidth="1"/>
    <col min="3823" max="3823" width="28.6640625" style="5" bestFit="1" customWidth="1"/>
    <col min="3824" max="3824" width="44.33203125" style="5" bestFit="1" customWidth="1"/>
    <col min="3825" max="3825" width="38" style="5" bestFit="1" customWidth="1"/>
    <col min="3826" max="3826" width="16.109375" style="5" bestFit="1" customWidth="1"/>
    <col min="3827" max="3827" width="17.33203125" style="5" bestFit="1" customWidth="1"/>
    <col min="3828" max="3828" width="20.33203125" style="5" bestFit="1" customWidth="1"/>
    <col min="3829" max="3829" width="29.44140625" style="5" bestFit="1" customWidth="1"/>
    <col min="3830" max="3830" width="28.44140625" style="5" bestFit="1" customWidth="1"/>
    <col min="3831" max="3831" width="16.109375" style="5" bestFit="1" customWidth="1"/>
    <col min="3832" max="3832" width="17.33203125" style="5" bestFit="1" customWidth="1"/>
    <col min="3833" max="3833" width="63.109375" style="5" bestFit="1" customWidth="1"/>
    <col min="3834" max="3834" width="43.5546875" style="5" bestFit="1" customWidth="1"/>
    <col min="3835" max="3835" width="32.44140625" style="5" bestFit="1" customWidth="1"/>
    <col min="3836" max="3836" width="22.6640625" style="5" bestFit="1" customWidth="1"/>
    <col min="3837" max="3837" width="56.5546875" style="5" bestFit="1" customWidth="1"/>
    <col min="3838" max="3838" width="39.5546875" style="5" bestFit="1" customWidth="1"/>
    <col min="3839" max="3839" width="24.6640625" style="5" bestFit="1" customWidth="1"/>
    <col min="3840" max="3840" width="61.88671875" style="5" bestFit="1" customWidth="1"/>
    <col min="3841" max="3841" width="29.33203125" style="5" bestFit="1" customWidth="1"/>
    <col min="3842" max="3842" width="29.5546875" style="5" bestFit="1" customWidth="1"/>
    <col min="3843" max="3843" width="64.33203125" style="5" bestFit="1" customWidth="1"/>
    <col min="3844" max="3844" width="37" style="5" bestFit="1" customWidth="1"/>
    <col min="3845" max="3845" width="26.109375" style="5" bestFit="1" customWidth="1"/>
    <col min="3846" max="3846" width="14.44140625" style="5" bestFit="1" customWidth="1"/>
    <col min="3847" max="3847" width="16.44140625" style="5" bestFit="1" customWidth="1"/>
    <col min="3848" max="3848" width="15.6640625" style="5" bestFit="1" customWidth="1"/>
    <col min="3849" max="3850" width="19" style="5" bestFit="1" customWidth="1"/>
    <col min="3851" max="3851" width="25.5546875" style="5" customWidth="1"/>
    <col min="3852" max="3852" width="25.44140625" style="5" customWidth="1"/>
    <col min="3853" max="4007" width="8.88671875" style="5"/>
    <col min="4008" max="4008" width="11.44140625" style="5" bestFit="1" customWidth="1"/>
    <col min="4009" max="4009" width="13.6640625" style="5" bestFit="1" customWidth="1"/>
    <col min="4010" max="4010" width="34.109375" style="5" bestFit="1" customWidth="1"/>
    <col min="4011" max="4011" width="13.44140625" style="5" customWidth="1"/>
    <col min="4012" max="4012" width="12.33203125" style="5" customWidth="1"/>
    <col min="4013" max="4013" width="10.88671875" style="5" customWidth="1"/>
    <col min="4014" max="4014" width="10.33203125" style="5" customWidth="1"/>
    <col min="4015" max="4015" width="12.44140625" style="5" customWidth="1"/>
    <col min="4016" max="4016" width="10" style="5" customWidth="1"/>
    <col min="4017" max="4017" width="10.88671875" style="5" customWidth="1"/>
    <col min="4018" max="4018" width="12.33203125" style="5" customWidth="1"/>
    <col min="4019" max="4019" width="66.5546875" style="5" customWidth="1"/>
    <col min="4020" max="4020" width="30.33203125" style="5" customWidth="1"/>
    <col min="4021" max="4021" width="25.5546875" style="5" customWidth="1"/>
    <col min="4022" max="4022" width="16.44140625" style="5" customWidth="1"/>
    <col min="4023" max="4023" width="16.109375" style="5" customWidth="1"/>
    <col min="4024" max="4024" width="19.33203125" style="5" customWidth="1"/>
    <col min="4025" max="4025" width="19.88671875" style="5" customWidth="1"/>
    <col min="4026" max="4026" width="20.88671875" style="5" customWidth="1"/>
    <col min="4027" max="4027" width="17.109375" style="5" customWidth="1"/>
    <col min="4028" max="4028" width="17" style="5" customWidth="1"/>
    <col min="4029" max="4029" width="17.6640625" style="5" customWidth="1"/>
    <col min="4030" max="4030" width="14.109375" style="5" customWidth="1"/>
    <col min="4031" max="4031" width="15.109375" style="5" customWidth="1"/>
    <col min="4032" max="4032" width="19.5546875" style="5" customWidth="1"/>
    <col min="4033" max="4033" width="20" style="5" customWidth="1"/>
    <col min="4034" max="4034" width="20.109375" style="5" customWidth="1"/>
    <col min="4035" max="4035" width="30.6640625" style="5" customWidth="1"/>
    <col min="4036" max="4036" width="26.44140625" style="5" customWidth="1"/>
    <col min="4037" max="4037" width="21.109375" style="5" customWidth="1"/>
    <col min="4038" max="4038" width="29.5546875" style="5" customWidth="1"/>
    <col min="4039" max="4039" width="10.88671875" style="5" customWidth="1"/>
    <col min="4040" max="4040" width="10.33203125" style="5" customWidth="1"/>
    <col min="4041" max="4041" width="16.33203125" style="5" customWidth="1"/>
    <col min="4042" max="4042" width="14.44140625" style="5" customWidth="1"/>
    <col min="4043" max="4043" width="25.6640625" style="5" customWidth="1"/>
    <col min="4044" max="4044" width="10.88671875" style="5" customWidth="1"/>
    <col min="4045" max="4045" width="19.5546875" style="5" customWidth="1"/>
    <col min="4046" max="4046" width="13.44140625" style="5" customWidth="1"/>
    <col min="4047" max="4047" width="15.109375" style="5" customWidth="1"/>
    <col min="4048" max="4048" width="24.88671875" style="5" customWidth="1"/>
    <col min="4049" max="4049" width="10.88671875" style="5" customWidth="1"/>
    <col min="4050" max="4050" width="13.5546875" style="5" customWidth="1"/>
    <col min="4051" max="4051" width="13.44140625" style="5" customWidth="1"/>
    <col min="4052" max="4052" width="15.109375" style="5" customWidth="1"/>
    <col min="4053" max="4053" width="16.44140625" style="5" customWidth="1"/>
    <col min="4054" max="4054" width="11.5546875" style="5" customWidth="1"/>
    <col min="4055" max="4055" width="13.44140625" style="5" customWidth="1"/>
    <col min="4056" max="4056" width="16.33203125" style="5" customWidth="1"/>
    <col min="4057" max="4057" width="45.6640625" style="5" bestFit="1" customWidth="1"/>
    <col min="4058" max="4058" width="31.6640625" style="5" bestFit="1" customWidth="1"/>
    <col min="4059" max="4059" width="18.88671875" style="5" bestFit="1" customWidth="1"/>
    <col min="4060" max="4060" width="115.44140625" style="5" bestFit="1" customWidth="1"/>
    <col min="4061" max="4061" width="26.5546875" style="5" bestFit="1" customWidth="1"/>
    <col min="4062" max="4062" width="118.109375" style="5" bestFit="1" customWidth="1"/>
    <col min="4063" max="4063" width="26.5546875" style="5" bestFit="1" customWidth="1"/>
    <col min="4064" max="4064" width="17.88671875" style="5" bestFit="1" customWidth="1"/>
    <col min="4065" max="4065" width="16" style="5" customWidth="1"/>
    <col min="4066" max="4066" width="18.88671875" style="5" bestFit="1" customWidth="1"/>
    <col min="4067" max="4067" width="22" style="5" customWidth="1"/>
    <col min="4068" max="4068" width="29.88671875" style="5" bestFit="1" customWidth="1"/>
    <col min="4069" max="4069" width="46.5546875" style="5" bestFit="1" customWidth="1"/>
    <col min="4070" max="4070" width="47.5546875" style="5" bestFit="1" customWidth="1"/>
    <col min="4071" max="4071" width="39.109375" style="5" bestFit="1" customWidth="1"/>
    <col min="4072" max="4072" width="20.6640625" style="5" bestFit="1" customWidth="1"/>
    <col min="4073" max="4073" width="17.33203125" style="5" bestFit="1" customWidth="1"/>
    <col min="4074" max="4074" width="33.109375" style="5" bestFit="1" customWidth="1"/>
    <col min="4075" max="4075" width="43.88671875" style="5" bestFit="1" customWidth="1"/>
    <col min="4076" max="4076" width="43.5546875" style="5" bestFit="1" customWidth="1"/>
    <col min="4077" max="4077" width="16.109375" style="5" bestFit="1" customWidth="1"/>
    <col min="4078" max="4078" width="17.33203125" style="5" bestFit="1" customWidth="1"/>
    <col min="4079" max="4079" width="28.6640625" style="5" bestFit="1" customWidth="1"/>
    <col min="4080" max="4080" width="44.33203125" style="5" bestFit="1" customWidth="1"/>
    <col min="4081" max="4081" width="38" style="5" bestFit="1" customWidth="1"/>
    <col min="4082" max="4082" width="16.109375" style="5" bestFit="1" customWidth="1"/>
    <col min="4083" max="4083" width="17.33203125" style="5" bestFit="1" customWidth="1"/>
    <col min="4084" max="4084" width="20.33203125" style="5" bestFit="1" customWidth="1"/>
    <col min="4085" max="4085" width="29.44140625" style="5" bestFit="1" customWidth="1"/>
    <col min="4086" max="4086" width="28.44140625" style="5" bestFit="1" customWidth="1"/>
    <col min="4087" max="4087" width="16.109375" style="5" bestFit="1" customWidth="1"/>
    <col min="4088" max="4088" width="17.33203125" style="5" bestFit="1" customWidth="1"/>
    <col min="4089" max="4089" width="63.109375" style="5" bestFit="1" customWidth="1"/>
    <col min="4090" max="4090" width="43.5546875" style="5" bestFit="1" customWidth="1"/>
    <col min="4091" max="4091" width="32.44140625" style="5" bestFit="1" customWidth="1"/>
    <col min="4092" max="4092" width="22.6640625" style="5" bestFit="1" customWidth="1"/>
    <col min="4093" max="4093" width="56.5546875" style="5" bestFit="1" customWidth="1"/>
    <col min="4094" max="4094" width="39.5546875" style="5" bestFit="1" customWidth="1"/>
    <col min="4095" max="4095" width="24.6640625" style="5" bestFit="1" customWidth="1"/>
    <col min="4096" max="4096" width="61.88671875" style="5" bestFit="1" customWidth="1"/>
    <col min="4097" max="4097" width="29.33203125" style="5" bestFit="1" customWidth="1"/>
    <col min="4098" max="4098" width="29.5546875" style="5" bestFit="1" customWidth="1"/>
    <col min="4099" max="4099" width="64.33203125" style="5" bestFit="1" customWidth="1"/>
    <col min="4100" max="4100" width="37" style="5" bestFit="1" customWidth="1"/>
    <col min="4101" max="4101" width="26.109375" style="5" bestFit="1" customWidth="1"/>
    <col min="4102" max="4102" width="14.44140625" style="5" bestFit="1" customWidth="1"/>
    <col min="4103" max="4103" width="16.44140625" style="5" bestFit="1" customWidth="1"/>
    <col min="4104" max="4104" width="15.6640625" style="5" bestFit="1" customWidth="1"/>
    <col min="4105" max="4106" width="19" style="5" bestFit="1" customWidth="1"/>
    <col min="4107" max="4107" width="25.5546875" style="5" customWidth="1"/>
    <col min="4108" max="4108" width="25.44140625" style="5" customWidth="1"/>
    <col min="4109" max="4263" width="8.88671875" style="5"/>
    <col min="4264" max="4264" width="11.44140625" style="5" bestFit="1" customWidth="1"/>
    <col min="4265" max="4265" width="13.6640625" style="5" bestFit="1" customWidth="1"/>
    <col min="4266" max="4266" width="34.109375" style="5" bestFit="1" customWidth="1"/>
    <col min="4267" max="4267" width="13.44140625" style="5" customWidth="1"/>
    <col min="4268" max="4268" width="12.33203125" style="5" customWidth="1"/>
    <col min="4269" max="4269" width="10.88671875" style="5" customWidth="1"/>
    <col min="4270" max="4270" width="10.33203125" style="5" customWidth="1"/>
    <col min="4271" max="4271" width="12.44140625" style="5" customWidth="1"/>
    <col min="4272" max="4272" width="10" style="5" customWidth="1"/>
    <col min="4273" max="4273" width="10.88671875" style="5" customWidth="1"/>
    <col min="4274" max="4274" width="12.33203125" style="5" customWidth="1"/>
    <col min="4275" max="4275" width="66.5546875" style="5" customWidth="1"/>
    <col min="4276" max="4276" width="30.33203125" style="5" customWidth="1"/>
    <col min="4277" max="4277" width="25.5546875" style="5" customWidth="1"/>
    <col min="4278" max="4278" width="16.44140625" style="5" customWidth="1"/>
    <col min="4279" max="4279" width="16.109375" style="5" customWidth="1"/>
    <col min="4280" max="4280" width="19.33203125" style="5" customWidth="1"/>
    <col min="4281" max="4281" width="19.88671875" style="5" customWidth="1"/>
    <col min="4282" max="4282" width="20.88671875" style="5" customWidth="1"/>
    <col min="4283" max="4283" width="17.109375" style="5" customWidth="1"/>
    <col min="4284" max="4284" width="17" style="5" customWidth="1"/>
    <col min="4285" max="4285" width="17.6640625" style="5" customWidth="1"/>
    <col min="4286" max="4286" width="14.109375" style="5" customWidth="1"/>
    <col min="4287" max="4287" width="15.109375" style="5" customWidth="1"/>
    <col min="4288" max="4288" width="19.5546875" style="5" customWidth="1"/>
    <col min="4289" max="4289" width="20" style="5" customWidth="1"/>
    <col min="4290" max="4290" width="20.109375" style="5" customWidth="1"/>
    <col min="4291" max="4291" width="30.6640625" style="5" customWidth="1"/>
    <col min="4292" max="4292" width="26.44140625" style="5" customWidth="1"/>
    <col min="4293" max="4293" width="21.109375" style="5" customWidth="1"/>
    <col min="4294" max="4294" width="29.5546875" style="5" customWidth="1"/>
    <col min="4295" max="4295" width="10.88671875" style="5" customWidth="1"/>
    <col min="4296" max="4296" width="10.33203125" style="5" customWidth="1"/>
    <col min="4297" max="4297" width="16.33203125" style="5" customWidth="1"/>
    <col min="4298" max="4298" width="14.44140625" style="5" customWidth="1"/>
    <col min="4299" max="4299" width="25.6640625" style="5" customWidth="1"/>
    <col min="4300" max="4300" width="10.88671875" style="5" customWidth="1"/>
    <col min="4301" max="4301" width="19.5546875" style="5" customWidth="1"/>
    <col min="4302" max="4302" width="13.44140625" style="5" customWidth="1"/>
    <col min="4303" max="4303" width="15.109375" style="5" customWidth="1"/>
    <col min="4304" max="4304" width="24.88671875" style="5" customWidth="1"/>
    <col min="4305" max="4305" width="10.88671875" style="5" customWidth="1"/>
    <col min="4306" max="4306" width="13.5546875" style="5" customWidth="1"/>
    <col min="4307" max="4307" width="13.44140625" style="5" customWidth="1"/>
    <col min="4308" max="4308" width="15.109375" style="5" customWidth="1"/>
    <col min="4309" max="4309" width="16.44140625" style="5" customWidth="1"/>
    <col min="4310" max="4310" width="11.5546875" style="5" customWidth="1"/>
    <col min="4311" max="4311" width="13.44140625" style="5" customWidth="1"/>
    <col min="4312" max="4312" width="16.33203125" style="5" customWidth="1"/>
    <col min="4313" max="4313" width="45.6640625" style="5" bestFit="1" customWidth="1"/>
    <col min="4314" max="4314" width="31.6640625" style="5" bestFit="1" customWidth="1"/>
    <col min="4315" max="4315" width="18.88671875" style="5" bestFit="1" customWidth="1"/>
    <col min="4316" max="4316" width="115.44140625" style="5" bestFit="1" customWidth="1"/>
    <col min="4317" max="4317" width="26.5546875" style="5" bestFit="1" customWidth="1"/>
    <col min="4318" max="4318" width="118.109375" style="5" bestFit="1" customWidth="1"/>
    <col min="4319" max="4319" width="26.5546875" style="5" bestFit="1" customWidth="1"/>
    <col min="4320" max="4320" width="17.88671875" style="5" bestFit="1" customWidth="1"/>
    <col min="4321" max="4321" width="16" style="5" customWidth="1"/>
    <col min="4322" max="4322" width="18.88671875" style="5" bestFit="1" customWidth="1"/>
    <col min="4323" max="4323" width="22" style="5" customWidth="1"/>
    <col min="4324" max="4324" width="29.88671875" style="5" bestFit="1" customWidth="1"/>
    <col min="4325" max="4325" width="46.5546875" style="5" bestFit="1" customWidth="1"/>
    <col min="4326" max="4326" width="47.5546875" style="5" bestFit="1" customWidth="1"/>
    <col min="4327" max="4327" width="39.109375" style="5" bestFit="1" customWidth="1"/>
    <col min="4328" max="4328" width="20.6640625" style="5" bestFit="1" customWidth="1"/>
    <col min="4329" max="4329" width="17.33203125" style="5" bestFit="1" customWidth="1"/>
    <col min="4330" max="4330" width="33.109375" style="5" bestFit="1" customWidth="1"/>
    <col min="4331" max="4331" width="43.88671875" style="5" bestFit="1" customWidth="1"/>
    <col min="4332" max="4332" width="43.5546875" style="5" bestFit="1" customWidth="1"/>
    <col min="4333" max="4333" width="16.109375" style="5" bestFit="1" customWidth="1"/>
    <col min="4334" max="4334" width="17.33203125" style="5" bestFit="1" customWidth="1"/>
    <col min="4335" max="4335" width="28.6640625" style="5" bestFit="1" customWidth="1"/>
    <col min="4336" max="4336" width="44.33203125" style="5" bestFit="1" customWidth="1"/>
    <col min="4337" max="4337" width="38" style="5" bestFit="1" customWidth="1"/>
    <col min="4338" max="4338" width="16.109375" style="5" bestFit="1" customWidth="1"/>
    <col min="4339" max="4339" width="17.33203125" style="5" bestFit="1" customWidth="1"/>
    <col min="4340" max="4340" width="20.33203125" style="5" bestFit="1" customWidth="1"/>
    <col min="4341" max="4341" width="29.44140625" style="5" bestFit="1" customWidth="1"/>
    <col min="4342" max="4342" width="28.44140625" style="5" bestFit="1" customWidth="1"/>
    <col min="4343" max="4343" width="16.109375" style="5" bestFit="1" customWidth="1"/>
    <col min="4344" max="4344" width="17.33203125" style="5" bestFit="1" customWidth="1"/>
    <col min="4345" max="4345" width="63.109375" style="5" bestFit="1" customWidth="1"/>
    <col min="4346" max="4346" width="43.5546875" style="5" bestFit="1" customWidth="1"/>
    <col min="4347" max="4347" width="32.44140625" style="5" bestFit="1" customWidth="1"/>
    <col min="4348" max="4348" width="22.6640625" style="5" bestFit="1" customWidth="1"/>
    <col min="4349" max="4349" width="56.5546875" style="5" bestFit="1" customWidth="1"/>
    <col min="4350" max="4350" width="39.5546875" style="5" bestFit="1" customWidth="1"/>
    <col min="4351" max="4351" width="24.6640625" style="5" bestFit="1" customWidth="1"/>
    <col min="4352" max="4352" width="61.88671875" style="5" bestFit="1" customWidth="1"/>
    <col min="4353" max="4353" width="29.33203125" style="5" bestFit="1" customWidth="1"/>
    <col min="4354" max="4354" width="29.5546875" style="5" bestFit="1" customWidth="1"/>
    <col min="4355" max="4355" width="64.33203125" style="5" bestFit="1" customWidth="1"/>
    <col min="4356" max="4356" width="37" style="5" bestFit="1" customWidth="1"/>
    <col min="4357" max="4357" width="26.109375" style="5" bestFit="1" customWidth="1"/>
    <col min="4358" max="4358" width="14.44140625" style="5" bestFit="1" customWidth="1"/>
    <col min="4359" max="4359" width="16.44140625" style="5" bestFit="1" customWidth="1"/>
    <col min="4360" max="4360" width="15.6640625" style="5" bestFit="1" customWidth="1"/>
    <col min="4361" max="4362" width="19" style="5" bestFit="1" customWidth="1"/>
    <col min="4363" max="4363" width="25.5546875" style="5" customWidth="1"/>
    <col min="4364" max="4364" width="25.44140625" style="5" customWidth="1"/>
    <col min="4365" max="4519" width="8.88671875" style="5"/>
    <col min="4520" max="4520" width="11.44140625" style="5" bestFit="1" customWidth="1"/>
    <col min="4521" max="4521" width="13.6640625" style="5" bestFit="1" customWidth="1"/>
    <col min="4522" max="4522" width="34.109375" style="5" bestFit="1" customWidth="1"/>
    <col min="4523" max="4523" width="13.44140625" style="5" customWidth="1"/>
    <col min="4524" max="4524" width="12.33203125" style="5" customWidth="1"/>
    <col min="4525" max="4525" width="10.88671875" style="5" customWidth="1"/>
    <col min="4526" max="4526" width="10.33203125" style="5" customWidth="1"/>
    <col min="4527" max="4527" width="12.44140625" style="5" customWidth="1"/>
    <col min="4528" max="4528" width="10" style="5" customWidth="1"/>
    <col min="4529" max="4529" width="10.88671875" style="5" customWidth="1"/>
    <col min="4530" max="4530" width="12.33203125" style="5" customWidth="1"/>
    <col min="4531" max="4531" width="66.5546875" style="5" customWidth="1"/>
    <col min="4532" max="4532" width="30.33203125" style="5" customWidth="1"/>
    <col min="4533" max="4533" width="25.5546875" style="5" customWidth="1"/>
    <col min="4534" max="4534" width="16.44140625" style="5" customWidth="1"/>
    <col min="4535" max="4535" width="16.109375" style="5" customWidth="1"/>
    <col min="4536" max="4536" width="19.33203125" style="5" customWidth="1"/>
    <col min="4537" max="4537" width="19.88671875" style="5" customWidth="1"/>
    <col min="4538" max="4538" width="20.88671875" style="5" customWidth="1"/>
    <col min="4539" max="4539" width="17.109375" style="5" customWidth="1"/>
    <col min="4540" max="4540" width="17" style="5" customWidth="1"/>
    <col min="4541" max="4541" width="17.6640625" style="5" customWidth="1"/>
    <col min="4542" max="4542" width="14.109375" style="5" customWidth="1"/>
    <col min="4543" max="4543" width="15.109375" style="5" customWidth="1"/>
    <col min="4544" max="4544" width="19.5546875" style="5" customWidth="1"/>
    <col min="4545" max="4545" width="20" style="5" customWidth="1"/>
    <col min="4546" max="4546" width="20.109375" style="5" customWidth="1"/>
    <col min="4547" max="4547" width="30.6640625" style="5" customWidth="1"/>
    <col min="4548" max="4548" width="26.44140625" style="5" customWidth="1"/>
    <col min="4549" max="4549" width="21.109375" style="5" customWidth="1"/>
    <col min="4550" max="4550" width="29.5546875" style="5" customWidth="1"/>
    <col min="4551" max="4551" width="10.88671875" style="5" customWidth="1"/>
    <col min="4552" max="4552" width="10.33203125" style="5" customWidth="1"/>
    <col min="4553" max="4553" width="16.33203125" style="5" customWidth="1"/>
    <col min="4554" max="4554" width="14.44140625" style="5" customWidth="1"/>
    <col min="4555" max="4555" width="25.6640625" style="5" customWidth="1"/>
    <col min="4556" max="4556" width="10.88671875" style="5" customWidth="1"/>
    <col min="4557" max="4557" width="19.5546875" style="5" customWidth="1"/>
    <col min="4558" max="4558" width="13.44140625" style="5" customWidth="1"/>
    <col min="4559" max="4559" width="15.109375" style="5" customWidth="1"/>
    <col min="4560" max="4560" width="24.88671875" style="5" customWidth="1"/>
    <col min="4561" max="4561" width="10.88671875" style="5" customWidth="1"/>
    <col min="4562" max="4562" width="13.5546875" style="5" customWidth="1"/>
    <col min="4563" max="4563" width="13.44140625" style="5" customWidth="1"/>
    <col min="4564" max="4564" width="15.109375" style="5" customWidth="1"/>
    <col min="4565" max="4565" width="16.44140625" style="5" customWidth="1"/>
    <col min="4566" max="4566" width="11.5546875" style="5" customWidth="1"/>
    <col min="4567" max="4567" width="13.44140625" style="5" customWidth="1"/>
    <col min="4568" max="4568" width="16.33203125" style="5" customWidth="1"/>
    <col min="4569" max="4569" width="45.6640625" style="5" bestFit="1" customWidth="1"/>
    <col min="4570" max="4570" width="31.6640625" style="5" bestFit="1" customWidth="1"/>
    <col min="4571" max="4571" width="18.88671875" style="5" bestFit="1" customWidth="1"/>
    <col min="4572" max="4572" width="115.44140625" style="5" bestFit="1" customWidth="1"/>
    <col min="4573" max="4573" width="26.5546875" style="5" bestFit="1" customWidth="1"/>
    <col min="4574" max="4574" width="118.109375" style="5" bestFit="1" customWidth="1"/>
    <col min="4575" max="4575" width="26.5546875" style="5" bestFit="1" customWidth="1"/>
    <col min="4576" max="4576" width="17.88671875" style="5" bestFit="1" customWidth="1"/>
    <col min="4577" max="4577" width="16" style="5" customWidth="1"/>
    <col min="4578" max="4578" width="18.88671875" style="5" bestFit="1" customWidth="1"/>
    <col min="4579" max="4579" width="22" style="5" customWidth="1"/>
    <col min="4580" max="4580" width="29.88671875" style="5" bestFit="1" customWidth="1"/>
    <col min="4581" max="4581" width="46.5546875" style="5" bestFit="1" customWidth="1"/>
    <col min="4582" max="4582" width="47.5546875" style="5" bestFit="1" customWidth="1"/>
    <col min="4583" max="4583" width="39.109375" style="5" bestFit="1" customWidth="1"/>
    <col min="4584" max="4584" width="20.6640625" style="5" bestFit="1" customWidth="1"/>
    <col min="4585" max="4585" width="17.33203125" style="5" bestFit="1" customWidth="1"/>
    <col min="4586" max="4586" width="33.109375" style="5" bestFit="1" customWidth="1"/>
    <col min="4587" max="4587" width="43.88671875" style="5" bestFit="1" customWidth="1"/>
    <col min="4588" max="4588" width="43.5546875" style="5" bestFit="1" customWidth="1"/>
    <col min="4589" max="4589" width="16.109375" style="5" bestFit="1" customWidth="1"/>
    <col min="4590" max="4590" width="17.33203125" style="5" bestFit="1" customWidth="1"/>
    <col min="4591" max="4591" width="28.6640625" style="5" bestFit="1" customWidth="1"/>
    <col min="4592" max="4592" width="44.33203125" style="5" bestFit="1" customWidth="1"/>
    <col min="4593" max="4593" width="38" style="5" bestFit="1" customWidth="1"/>
    <col min="4594" max="4594" width="16.109375" style="5" bestFit="1" customWidth="1"/>
    <col min="4595" max="4595" width="17.33203125" style="5" bestFit="1" customWidth="1"/>
    <col min="4596" max="4596" width="20.33203125" style="5" bestFit="1" customWidth="1"/>
    <col min="4597" max="4597" width="29.44140625" style="5" bestFit="1" customWidth="1"/>
    <col min="4598" max="4598" width="28.44140625" style="5" bestFit="1" customWidth="1"/>
    <col min="4599" max="4599" width="16.109375" style="5" bestFit="1" customWidth="1"/>
    <col min="4600" max="4600" width="17.33203125" style="5" bestFit="1" customWidth="1"/>
    <col min="4601" max="4601" width="63.109375" style="5" bestFit="1" customWidth="1"/>
    <col min="4602" max="4602" width="43.5546875" style="5" bestFit="1" customWidth="1"/>
    <col min="4603" max="4603" width="32.44140625" style="5" bestFit="1" customWidth="1"/>
    <col min="4604" max="4604" width="22.6640625" style="5" bestFit="1" customWidth="1"/>
    <col min="4605" max="4605" width="56.5546875" style="5" bestFit="1" customWidth="1"/>
    <col min="4606" max="4606" width="39.5546875" style="5" bestFit="1" customWidth="1"/>
    <col min="4607" max="4607" width="24.6640625" style="5" bestFit="1" customWidth="1"/>
    <col min="4608" max="4608" width="61.88671875" style="5" bestFit="1" customWidth="1"/>
    <col min="4609" max="4609" width="29.33203125" style="5" bestFit="1" customWidth="1"/>
    <col min="4610" max="4610" width="29.5546875" style="5" bestFit="1" customWidth="1"/>
    <col min="4611" max="4611" width="64.33203125" style="5" bestFit="1" customWidth="1"/>
    <col min="4612" max="4612" width="37" style="5" bestFit="1" customWidth="1"/>
    <col min="4613" max="4613" width="26.109375" style="5" bestFit="1" customWidth="1"/>
    <col min="4614" max="4614" width="14.44140625" style="5" bestFit="1" customWidth="1"/>
    <col min="4615" max="4615" width="16.44140625" style="5" bestFit="1" customWidth="1"/>
    <col min="4616" max="4616" width="15.6640625" style="5" bestFit="1" customWidth="1"/>
    <col min="4617" max="4618" width="19" style="5" bestFit="1" customWidth="1"/>
    <col min="4619" max="4619" width="25.5546875" style="5" customWidth="1"/>
    <col min="4620" max="4620" width="25.44140625" style="5" customWidth="1"/>
    <col min="4621" max="4775" width="8.88671875" style="5"/>
    <col min="4776" max="4776" width="11.44140625" style="5" bestFit="1" customWidth="1"/>
    <col min="4777" max="4777" width="13.6640625" style="5" bestFit="1" customWidth="1"/>
    <col min="4778" max="4778" width="34.109375" style="5" bestFit="1" customWidth="1"/>
    <col min="4779" max="4779" width="13.44140625" style="5" customWidth="1"/>
    <col min="4780" max="4780" width="12.33203125" style="5" customWidth="1"/>
    <col min="4781" max="4781" width="10.88671875" style="5" customWidth="1"/>
    <col min="4782" max="4782" width="10.33203125" style="5" customWidth="1"/>
    <col min="4783" max="4783" width="12.44140625" style="5" customWidth="1"/>
    <col min="4784" max="4784" width="10" style="5" customWidth="1"/>
    <col min="4785" max="4785" width="10.88671875" style="5" customWidth="1"/>
    <col min="4786" max="4786" width="12.33203125" style="5" customWidth="1"/>
    <col min="4787" max="4787" width="66.5546875" style="5" customWidth="1"/>
    <col min="4788" max="4788" width="30.33203125" style="5" customWidth="1"/>
    <col min="4789" max="4789" width="25.5546875" style="5" customWidth="1"/>
    <col min="4790" max="4790" width="16.44140625" style="5" customWidth="1"/>
    <col min="4791" max="4791" width="16.109375" style="5" customWidth="1"/>
    <col min="4792" max="4792" width="19.33203125" style="5" customWidth="1"/>
    <col min="4793" max="4793" width="19.88671875" style="5" customWidth="1"/>
    <col min="4794" max="4794" width="20.88671875" style="5" customWidth="1"/>
    <col min="4795" max="4795" width="17.109375" style="5" customWidth="1"/>
    <col min="4796" max="4796" width="17" style="5" customWidth="1"/>
    <col min="4797" max="4797" width="17.6640625" style="5" customWidth="1"/>
    <col min="4798" max="4798" width="14.109375" style="5" customWidth="1"/>
    <col min="4799" max="4799" width="15.109375" style="5" customWidth="1"/>
    <col min="4800" max="4800" width="19.5546875" style="5" customWidth="1"/>
    <col min="4801" max="4801" width="20" style="5" customWidth="1"/>
    <col min="4802" max="4802" width="20.109375" style="5" customWidth="1"/>
    <col min="4803" max="4803" width="30.6640625" style="5" customWidth="1"/>
    <col min="4804" max="4804" width="26.44140625" style="5" customWidth="1"/>
    <col min="4805" max="4805" width="21.109375" style="5" customWidth="1"/>
    <col min="4806" max="4806" width="29.5546875" style="5" customWidth="1"/>
    <col min="4807" max="4807" width="10.88671875" style="5" customWidth="1"/>
    <col min="4808" max="4808" width="10.33203125" style="5" customWidth="1"/>
    <col min="4809" max="4809" width="16.33203125" style="5" customWidth="1"/>
    <col min="4810" max="4810" width="14.44140625" style="5" customWidth="1"/>
    <col min="4811" max="4811" width="25.6640625" style="5" customWidth="1"/>
    <col min="4812" max="4812" width="10.88671875" style="5" customWidth="1"/>
    <col min="4813" max="4813" width="19.5546875" style="5" customWidth="1"/>
    <col min="4814" max="4814" width="13.44140625" style="5" customWidth="1"/>
    <col min="4815" max="4815" width="15.109375" style="5" customWidth="1"/>
    <col min="4816" max="4816" width="24.88671875" style="5" customWidth="1"/>
    <col min="4817" max="4817" width="10.88671875" style="5" customWidth="1"/>
    <col min="4818" max="4818" width="13.5546875" style="5" customWidth="1"/>
    <col min="4819" max="4819" width="13.44140625" style="5" customWidth="1"/>
    <col min="4820" max="4820" width="15.109375" style="5" customWidth="1"/>
    <col min="4821" max="4821" width="16.44140625" style="5" customWidth="1"/>
    <col min="4822" max="4822" width="11.5546875" style="5" customWidth="1"/>
    <col min="4823" max="4823" width="13.44140625" style="5" customWidth="1"/>
    <col min="4824" max="4824" width="16.33203125" style="5" customWidth="1"/>
    <col min="4825" max="4825" width="45.6640625" style="5" bestFit="1" customWidth="1"/>
    <col min="4826" max="4826" width="31.6640625" style="5" bestFit="1" customWidth="1"/>
    <col min="4827" max="4827" width="18.88671875" style="5" bestFit="1" customWidth="1"/>
    <col min="4828" max="4828" width="115.44140625" style="5" bestFit="1" customWidth="1"/>
    <col min="4829" max="4829" width="26.5546875" style="5" bestFit="1" customWidth="1"/>
    <col min="4830" max="4830" width="118.109375" style="5" bestFit="1" customWidth="1"/>
    <col min="4831" max="4831" width="26.5546875" style="5" bestFit="1" customWidth="1"/>
    <col min="4832" max="4832" width="17.88671875" style="5" bestFit="1" customWidth="1"/>
    <col min="4833" max="4833" width="16" style="5" customWidth="1"/>
    <col min="4834" max="4834" width="18.88671875" style="5" bestFit="1" customWidth="1"/>
    <col min="4835" max="4835" width="22" style="5" customWidth="1"/>
    <col min="4836" max="4836" width="29.88671875" style="5" bestFit="1" customWidth="1"/>
    <col min="4837" max="4837" width="46.5546875" style="5" bestFit="1" customWidth="1"/>
    <col min="4838" max="4838" width="47.5546875" style="5" bestFit="1" customWidth="1"/>
    <col min="4839" max="4839" width="39.109375" style="5" bestFit="1" customWidth="1"/>
    <col min="4840" max="4840" width="20.6640625" style="5" bestFit="1" customWidth="1"/>
    <col min="4841" max="4841" width="17.33203125" style="5" bestFit="1" customWidth="1"/>
    <col min="4842" max="4842" width="33.109375" style="5" bestFit="1" customWidth="1"/>
    <col min="4843" max="4843" width="43.88671875" style="5" bestFit="1" customWidth="1"/>
    <col min="4844" max="4844" width="43.5546875" style="5" bestFit="1" customWidth="1"/>
    <col min="4845" max="4845" width="16.109375" style="5" bestFit="1" customWidth="1"/>
    <col min="4846" max="4846" width="17.33203125" style="5" bestFit="1" customWidth="1"/>
    <col min="4847" max="4847" width="28.6640625" style="5" bestFit="1" customWidth="1"/>
    <col min="4848" max="4848" width="44.33203125" style="5" bestFit="1" customWidth="1"/>
    <col min="4849" max="4849" width="38" style="5" bestFit="1" customWidth="1"/>
    <col min="4850" max="4850" width="16.109375" style="5" bestFit="1" customWidth="1"/>
    <col min="4851" max="4851" width="17.33203125" style="5" bestFit="1" customWidth="1"/>
    <col min="4852" max="4852" width="20.33203125" style="5" bestFit="1" customWidth="1"/>
    <col min="4853" max="4853" width="29.44140625" style="5" bestFit="1" customWidth="1"/>
    <col min="4854" max="4854" width="28.44140625" style="5" bestFit="1" customWidth="1"/>
    <col min="4855" max="4855" width="16.109375" style="5" bestFit="1" customWidth="1"/>
    <col min="4856" max="4856" width="17.33203125" style="5" bestFit="1" customWidth="1"/>
    <col min="4857" max="4857" width="63.109375" style="5" bestFit="1" customWidth="1"/>
    <col min="4858" max="4858" width="43.5546875" style="5" bestFit="1" customWidth="1"/>
    <col min="4859" max="4859" width="32.44140625" style="5" bestFit="1" customWidth="1"/>
    <col min="4860" max="4860" width="22.6640625" style="5" bestFit="1" customWidth="1"/>
    <col min="4861" max="4861" width="56.5546875" style="5" bestFit="1" customWidth="1"/>
    <col min="4862" max="4862" width="39.5546875" style="5" bestFit="1" customWidth="1"/>
    <col min="4863" max="4863" width="24.6640625" style="5" bestFit="1" customWidth="1"/>
    <col min="4864" max="4864" width="61.88671875" style="5" bestFit="1" customWidth="1"/>
    <col min="4865" max="4865" width="29.33203125" style="5" bestFit="1" customWidth="1"/>
    <col min="4866" max="4866" width="29.5546875" style="5" bestFit="1" customWidth="1"/>
    <col min="4867" max="4867" width="64.33203125" style="5" bestFit="1" customWidth="1"/>
    <col min="4868" max="4868" width="37" style="5" bestFit="1" customWidth="1"/>
    <col min="4869" max="4869" width="26.109375" style="5" bestFit="1" customWidth="1"/>
    <col min="4870" max="4870" width="14.44140625" style="5" bestFit="1" customWidth="1"/>
    <col min="4871" max="4871" width="16.44140625" style="5" bestFit="1" customWidth="1"/>
    <col min="4872" max="4872" width="15.6640625" style="5" bestFit="1" customWidth="1"/>
    <col min="4873" max="4874" width="19" style="5" bestFit="1" customWidth="1"/>
    <col min="4875" max="4875" width="25.5546875" style="5" customWidth="1"/>
    <col min="4876" max="4876" width="25.44140625" style="5" customWidth="1"/>
    <col min="4877" max="5031" width="8.88671875" style="5"/>
    <col min="5032" max="5032" width="11.44140625" style="5" bestFit="1" customWidth="1"/>
    <col min="5033" max="5033" width="13.6640625" style="5" bestFit="1" customWidth="1"/>
    <col min="5034" max="5034" width="34.109375" style="5" bestFit="1" customWidth="1"/>
    <col min="5035" max="5035" width="13.44140625" style="5" customWidth="1"/>
    <col min="5036" max="5036" width="12.33203125" style="5" customWidth="1"/>
    <col min="5037" max="5037" width="10.88671875" style="5" customWidth="1"/>
    <col min="5038" max="5038" width="10.33203125" style="5" customWidth="1"/>
    <col min="5039" max="5039" width="12.44140625" style="5" customWidth="1"/>
    <col min="5040" max="5040" width="10" style="5" customWidth="1"/>
    <col min="5041" max="5041" width="10.88671875" style="5" customWidth="1"/>
    <col min="5042" max="5042" width="12.33203125" style="5" customWidth="1"/>
    <col min="5043" max="5043" width="66.5546875" style="5" customWidth="1"/>
    <col min="5044" max="5044" width="30.33203125" style="5" customWidth="1"/>
    <col min="5045" max="5045" width="25.5546875" style="5" customWidth="1"/>
    <col min="5046" max="5046" width="16.44140625" style="5" customWidth="1"/>
    <col min="5047" max="5047" width="16.109375" style="5" customWidth="1"/>
    <col min="5048" max="5048" width="19.33203125" style="5" customWidth="1"/>
    <col min="5049" max="5049" width="19.88671875" style="5" customWidth="1"/>
    <col min="5050" max="5050" width="20.88671875" style="5" customWidth="1"/>
    <col min="5051" max="5051" width="17.109375" style="5" customWidth="1"/>
    <col min="5052" max="5052" width="17" style="5" customWidth="1"/>
    <col min="5053" max="5053" width="17.6640625" style="5" customWidth="1"/>
    <col min="5054" max="5054" width="14.109375" style="5" customWidth="1"/>
    <col min="5055" max="5055" width="15.109375" style="5" customWidth="1"/>
    <col min="5056" max="5056" width="19.5546875" style="5" customWidth="1"/>
    <col min="5057" max="5057" width="20" style="5" customWidth="1"/>
    <col min="5058" max="5058" width="20.109375" style="5" customWidth="1"/>
    <col min="5059" max="5059" width="30.6640625" style="5" customWidth="1"/>
    <col min="5060" max="5060" width="26.44140625" style="5" customWidth="1"/>
    <col min="5061" max="5061" width="21.109375" style="5" customWidth="1"/>
    <col min="5062" max="5062" width="29.5546875" style="5" customWidth="1"/>
    <col min="5063" max="5063" width="10.88671875" style="5" customWidth="1"/>
    <col min="5064" max="5064" width="10.33203125" style="5" customWidth="1"/>
    <col min="5065" max="5065" width="16.33203125" style="5" customWidth="1"/>
    <col min="5066" max="5066" width="14.44140625" style="5" customWidth="1"/>
    <col min="5067" max="5067" width="25.6640625" style="5" customWidth="1"/>
    <col min="5068" max="5068" width="10.88671875" style="5" customWidth="1"/>
    <col min="5069" max="5069" width="19.5546875" style="5" customWidth="1"/>
    <col min="5070" max="5070" width="13.44140625" style="5" customWidth="1"/>
    <col min="5071" max="5071" width="15.109375" style="5" customWidth="1"/>
    <col min="5072" max="5072" width="24.88671875" style="5" customWidth="1"/>
    <col min="5073" max="5073" width="10.88671875" style="5" customWidth="1"/>
    <col min="5074" max="5074" width="13.5546875" style="5" customWidth="1"/>
    <col min="5075" max="5075" width="13.44140625" style="5" customWidth="1"/>
    <col min="5076" max="5076" width="15.109375" style="5" customWidth="1"/>
    <col min="5077" max="5077" width="16.44140625" style="5" customWidth="1"/>
    <col min="5078" max="5078" width="11.5546875" style="5" customWidth="1"/>
    <col min="5079" max="5079" width="13.44140625" style="5" customWidth="1"/>
    <col min="5080" max="5080" width="16.33203125" style="5" customWidth="1"/>
    <col min="5081" max="5081" width="45.6640625" style="5" bestFit="1" customWidth="1"/>
    <col min="5082" max="5082" width="31.6640625" style="5" bestFit="1" customWidth="1"/>
    <col min="5083" max="5083" width="18.88671875" style="5" bestFit="1" customWidth="1"/>
    <col min="5084" max="5084" width="115.44140625" style="5" bestFit="1" customWidth="1"/>
    <col min="5085" max="5085" width="26.5546875" style="5" bestFit="1" customWidth="1"/>
    <col min="5086" max="5086" width="118.109375" style="5" bestFit="1" customWidth="1"/>
    <col min="5087" max="5087" width="26.5546875" style="5" bestFit="1" customWidth="1"/>
    <col min="5088" max="5088" width="17.88671875" style="5" bestFit="1" customWidth="1"/>
    <col min="5089" max="5089" width="16" style="5" customWidth="1"/>
    <col min="5090" max="5090" width="18.88671875" style="5" bestFit="1" customWidth="1"/>
    <col min="5091" max="5091" width="22" style="5" customWidth="1"/>
    <col min="5092" max="5092" width="29.88671875" style="5" bestFit="1" customWidth="1"/>
    <col min="5093" max="5093" width="46.5546875" style="5" bestFit="1" customWidth="1"/>
    <col min="5094" max="5094" width="47.5546875" style="5" bestFit="1" customWidth="1"/>
    <col min="5095" max="5095" width="39.109375" style="5" bestFit="1" customWidth="1"/>
    <col min="5096" max="5096" width="20.6640625" style="5" bestFit="1" customWidth="1"/>
    <col min="5097" max="5097" width="17.33203125" style="5" bestFit="1" customWidth="1"/>
    <col min="5098" max="5098" width="33.109375" style="5" bestFit="1" customWidth="1"/>
    <col min="5099" max="5099" width="43.88671875" style="5" bestFit="1" customWidth="1"/>
    <col min="5100" max="5100" width="43.5546875" style="5" bestFit="1" customWidth="1"/>
    <col min="5101" max="5101" width="16.109375" style="5" bestFit="1" customWidth="1"/>
    <col min="5102" max="5102" width="17.33203125" style="5" bestFit="1" customWidth="1"/>
    <col min="5103" max="5103" width="28.6640625" style="5" bestFit="1" customWidth="1"/>
    <col min="5104" max="5104" width="44.33203125" style="5" bestFit="1" customWidth="1"/>
    <col min="5105" max="5105" width="38" style="5" bestFit="1" customWidth="1"/>
    <col min="5106" max="5106" width="16.109375" style="5" bestFit="1" customWidth="1"/>
    <col min="5107" max="5107" width="17.33203125" style="5" bestFit="1" customWidth="1"/>
    <col min="5108" max="5108" width="20.33203125" style="5" bestFit="1" customWidth="1"/>
    <col min="5109" max="5109" width="29.44140625" style="5" bestFit="1" customWidth="1"/>
    <col min="5110" max="5110" width="28.44140625" style="5" bestFit="1" customWidth="1"/>
    <col min="5111" max="5111" width="16.109375" style="5" bestFit="1" customWidth="1"/>
    <col min="5112" max="5112" width="17.33203125" style="5" bestFit="1" customWidth="1"/>
    <col min="5113" max="5113" width="63.109375" style="5" bestFit="1" customWidth="1"/>
    <col min="5114" max="5114" width="43.5546875" style="5" bestFit="1" customWidth="1"/>
    <col min="5115" max="5115" width="32.44140625" style="5" bestFit="1" customWidth="1"/>
    <col min="5116" max="5116" width="22.6640625" style="5" bestFit="1" customWidth="1"/>
    <col min="5117" max="5117" width="56.5546875" style="5" bestFit="1" customWidth="1"/>
    <col min="5118" max="5118" width="39.5546875" style="5" bestFit="1" customWidth="1"/>
    <col min="5119" max="5119" width="24.6640625" style="5" bestFit="1" customWidth="1"/>
    <col min="5120" max="5120" width="61.88671875" style="5" bestFit="1" customWidth="1"/>
    <col min="5121" max="5121" width="29.33203125" style="5" bestFit="1" customWidth="1"/>
    <col min="5122" max="5122" width="29.5546875" style="5" bestFit="1" customWidth="1"/>
    <col min="5123" max="5123" width="64.33203125" style="5" bestFit="1" customWidth="1"/>
    <col min="5124" max="5124" width="37" style="5" bestFit="1" customWidth="1"/>
    <col min="5125" max="5125" width="26.109375" style="5" bestFit="1" customWidth="1"/>
    <col min="5126" max="5126" width="14.44140625" style="5" bestFit="1" customWidth="1"/>
    <col min="5127" max="5127" width="16.44140625" style="5" bestFit="1" customWidth="1"/>
    <col min="5128" max="5128" width="15.6640625" style="5" bestFit="1" customWidth="1"/>
    <col min="5129" max="5130" width="19" style="5" bestFit="1" customWidth="1"/>
    <col min="5131" max="5131" width="25.5546875" style="5" customWidth="1"/>
    <col min="5132" max="5132" width="25.44140625" style="5" customWidth="1"/>
    <col min="5133" max="5287" width="8.88671875" style="5"/>
    <col min="5288" max="5288" width="11.44140625" style="5" bestFit="1" customWidth="1"/>
    <col min="5289" max="5289" width="13.6640625" style="5" bestFit="1" customWidth="1"/>
    <col min="5290" max="5290" width="34.109375" style="5" bestFit="1" customWidth="1"/>
    <col min="5291" max="5291" width="13.44140625" style="5" customWidth="1"/>
    <col min="5292" max="5292" width="12.33203125" style="5" customWidth="1"/>
    <col min="5293" max="5293" width="10.88671875" style="5" customWidth="1"/>
    <col min="5294" max="5294" width="10.33203125" style="5" customWidth="1"/>
    <col min="5295" max="5295" width="12.44140625" style="5" customWidth="1"/>
    <col min="5296" max="5296" width="10" style="5" customWidth="1"/>
    <col min="5297" max="5297" width="10.88671875" style="5" customWidth="1"/>
    <col min="5298" max="5298" width="12.33203125" style="5" customWidth="1"/>
    <col min="5299" max="5299" width="66.5546875" style="5" customWidth="1"/>
    <col min="5300" max="5300" width="30.33203125" style="5" customWidth="1"/>
    <col min="5301" max="5301" width="25.5546875" style="5" customWidth="1"/>
    <col min="5302" max="5302" width="16.44140625" style="5" customWidth="1"/>
    <col min="5303" max="5303" width="16.109375" style="5" customWidth="1"/>
    <col min="5304" max="5304" width="19.33203125" style="5" customWidth="1"/>
    <col min="5305" max="5305" width="19.88671875" style="5" customWidth="1"/>
    <col min="5306" max="5306" width="20.88671875" style="5" customWidth="1"/>
    <col min="5307" max="5307" width="17.109375" style="5" customWidth="1"/>
    <col min="5308" max="5308" width="17" style="5" customWidth="1"/>
    <col min="5309" max="5309" width="17.6640625" style="5" customWidth="1"/>
    <col min="5310" max="5310" width="14.109375" style="5" customWidth="1"/>
    <col min="5311" max="5311" width="15.109375" style="5" customWidth="1"/>
    <col min="5312" max="5312" width="19.5546875" style="5" customWidth="1"/>
    <col min="5313" max="5313" width="20" style="5" customWidth="1"/>
    <col min="5314" max="5314" width="20.109375" style="5" customWidth="1"/>
    <col min="5315" max="5315" width="30.6640625" style="5" customWidth="1"/>
    <col min="5316" max="5316" width="26.44140625" style="5" customWidth="1"/>
    <col min="5317" max="5317" width="21.109375" style="5" customWidth="1"/>
    <col min="5318" max="5318" width="29.5546875" style="5" customWidth="1"/>
    <col min="5319" max="5319" width="10.88671875" style="5" customWidth="1"/>
    <col min="5320" max="5320" width="10.33203125" style="5" customWidth="1"/>
    <col min="5321" max="5321" width="16.33203125" style="5" customWidth="1"/>
    <col min="5322" max="5322" width="14.44140625" style="5" customWidth="1"/>
    <col min="5323" max="5323" width="25.6640625" style="5" customWidth="1"/>
    <col min="5324" max="5324" width="10.88671875" style="5" customWidth="1"/>
    <col min="5325" max="5325" width="19.5546875" style="5" customWidth="1"/>
    <col min="5326" max="5326" width="13.44140625" style="5" customWidth="1"/>
    <col min="5327" max="5327" width="15.109375" style="5" customWidth="1"/>
    <col min="5328" max="5328" width="24.88671875" style="5" customWidth="1"/>
    <col min="5329" max="5329" width="10.88671875" style="5" customWidth="1"/>
    <col min="5330" max="5330" width="13.5546875" style="5" customWidth="1"/>
    <col min="5331" max="5331" width="13.44140625" style="5" customWidth="1"/>
    <col min="5332" max="5332" width="15.109375" style="5" customWidth="1"/>
    <col min="5333" max="5333" width="16.44140625" style="5" customWidth="1"/>
    <col min="5334" max="5334" width="11.5546875" style="5" customWidth="1"/>
    <col min="5335" max="5335" width="13.44140625" style="5" customWidth="1"/>
    <col min="5336" max="5336" width="16.33203125" style="5" customWidth="1"/>
    <col min="5337" max="5337" width="45.6640625" style="5" bestFit="1" customWidth="1"/>
    <col min="5338" max="5338" width="31.6640625" style="5" bestFit="1" customWidth="1"/>
    <col min="5339" max="5339" width="18.88671875" style="5" bestFit="1" customWidth="1"/>
    <col min="5340" max="5340" width="115.44140625" style="5" bestFit="1" customWidth="1"/>
    <col min="5341" max="5341" width="26.5546875" style="5" bestFit="1" customWidth="1"/>
    <col min="5342" max="5342" width="118.109375" style="5" bestFit="1" customWidth="1"/>
    <col min="5343" max="5343" width="26.5546875" style="5" bestFit="1" customWidth="1"/>
    <col min="5344" max="5344" width="17.88671875" style="5" bestFit="1" customWidth="1"/>
    <col min="5345" max="5345" width="16" style="5" customWidth="1"/>
    <col min="5346" max="5346" width="18.88671875" style="5" bestFit="1" customWidth="1"/>
    <col min="5347" max="5347" width="22" style="5" customWidth="1"/>
    <col min="5348" max="5348" width="29.88671875" style="5" bestFit="1" customWidth="1"/>
    <col min="5349" max="5349" width="46.5546875" style="5" bestFit="1" customWidth="1"/>
    <col min="5350" max="5350" width="47.5546875" style="5" bestFit="1" customWidth="1"/>
    <col min="5351" max="5351" width="39.109375" style="5" bestFit="1" customWidth="1"/>
    <col min="5352" max="5352" width="20.6640625" style="5" bestFit="1" customWidth="1"/>
    <col min="5353" max="5353" width="17.33203125" style="5" bestFit="1" customWidth="1"/>
    <col min="5354" max="5354" width="33.109375" style="5" bestFit="1" customWidth="1"/>
    <col min="5355" max="5355" width="43.88671875" style="5" bestFit="1" customWidth="1"/>
    <col min="5356" max="5356" width="43.5546875" style="5" bestFit="1" customWidth="1"/>
    <col min="5357" max="5357" width="16.109375" style="5" bestFit="1" customWidth="1"/>
    <col min="5358" max="5358" width="17.33203125" style="5" bestFit="1" customWidth="1"/>
    <col min="5359" max="5359" width="28.6640625" style="5" bestFit="1" customWidth="1"/>
    <col min="5360" max="5360" width="44.33203125" style="5" bestFit="1" customWidth="1"/>
    <col min="5361" max="5361" width="38" style="5" bestFit="1" customWidth="1"/>
    <col min="5362" max="5362" width="16.109375" style="5" bestFit="1" customWidth="1"/>
    <col min="5363" max="5363" width="17.33203125" style="5" bestFit="1" customWidth="1"/>
    <col min="5364" max="5364" width="20.33203125" style="5" bestFit="1" customWidth="1"/>
    <col min="5365" max="5365" width="29.44140625" style="5" bestFit="1" customWidth="1"/>
    <col min="5366" max="5366" width="28.44140625" style="5" bestFit="1" customWidth="1"/>
    <col min="5367" max="5367" width="16.109375" style="5" bestFit="1" customWidth="1"/>
    <col min="5368" max="5368" width="17.33203125" style="5" bestFit="1" customWidth="1"/>
    <col min="5369" max="5369" width="63.109375" style="5" bestFit="1" customWidth="1"/>
    <col min="5370" max="5370" width="43.5546875" style="5" bestFit="1" customWidth="1"/>
    <col min="5371" max="5371" width="32.44140625" style="5" bestFit="1" customWidth="1"/>
    <col min="5372" max="5372" width="22.6640625" style="5" bestFit="1" customWidth="1"/>
    <col min="5373" max="5373" width="56.5546875" style="5" bestFit="1" customWidth="1"/>
    <col min="5374" max="5374" width="39.5546875" style="5" bestFit="1" customWidth="1"/>
    <col min="5375" max="5375" width="24.6640625" style="5" bestFit="1" customWidth="1"/>
    <col min="5376" max="5376" width="61.88671875" style="5" bestFit="1" customWidth="1"/>
    <col min="5377" max="5377" width="29.33203125" style="5" bestFit="1" customWidth="1"/>
    <col min="5378" max="5378" width="29.5546875" style="5" bestFit="1" customWidth="1"/>
    <col min="5379" max="5379" width="64.33203125" style="5" bestFit="1" customWidth="1"/>
    <col min="5380" max="5380" width="37" style="5" bestFit="1" customWidth="1"/>
    <col min="5381" max="5381" width="26.109375" style="5" bestFit="1" customWidth="1"/>
    <col min="5382" max="5382" width="14.44140625" style="5" bestFit="1" customWidth="1"/>
    <col min="5383" max="5383" width="16.44140625" style="5" bestFit="1" customWidth="1"/>
    <col min="5384" max="5384" width="15.6640625" style="5" bestFit="1" customWidth="1"/>
    <col min="5385" max="5386" width="19" style="5" bestFit="1" customWidth="1"/>
    <col min="5387" max="5387" width="25.5546875" style="5" customWidth="1"/>
    <col min="5388" max="5388" width="25.44140625" style="5" customWidth="1"/>
    <col min="5389" max="5543" width="8.88671875" style="5"/>
    <col min="5544" max="5544" width="11.44140625" style="5" bestFit="1" customWidth="1"/>
    <col min="5545" max="5545" width="13.6640625" style="5" bestFit="1" customWidth="1"/>
    <col min="5546" max="5546" width="34.109375" style="5" bestFit="1" customWidth="1"/>
    <col min="5547" max="5547" width="13.44140625" style="5" customWidth="1"/>
    <col min="5548" max="5548" width="12.33203125" style="5" customWidth="1"/>
    <col min="5549" max="5549" width="10.88671875" style="5" customWidth="1"/>
    <col min="5550" max="5550" width="10.33203125" style="5" customWidth="1"/>
    <col min="5551" max="5551" width="12.44140625" style="5" customWidth="1"/>
    <col min="5552" max="5552" width="10" style="5" customWidth="1"/>
    <col min="5553" max="5553" width="10.88671875" style="5" customWidth="1"/>
    <col min="5554" max="5554" width="12.33203125" style="5" customWidth="1"/>
    <col min="5555" max="5555" width="66.5546875" style="5" customWidth="1"/>
    <col min="5556" max="5556" width="30.33203125" style="5" customWidth="1"/>
    <col min="5557" max="5557" width="25.5546875" style="5" customWidth="1"/>
    <col min="5558" max="5558" width="16.44140625" style="5" customWidth="1"/>
    <col min="5559" max="5559" width="16.109375" style="5" customWidth="1"/>
    <col min="5560" max="5560" width="19.33203125" style="5" customWidth="1"/>
    <col min="5561" max="5561" width="19.88671875" style="5" customWidth="1"/>
    <col min="5562" max="5562" width="20.88671875" style="5" customWidth="1"/>
    <col min="5563" max="5563" width="17.109375" style="5" customWidth="1"/>
    <col min="5564" max="5564" width="17" style="5" customWidth="1"/>
    <col min="5565" max="5565" width="17.6640625" style="5" customWidth="1"/>
    <col min="5566" max="5566" width="14.109375" style="5" customWidth="1"/>
    <col min="5567" max="5567" width="15.109375" style="5" customWidth="1"/>
    <col min="5568" max="5568" width="19.5546875" style="5" customWidth="1"/>
    <col min="5569" max="5569" width="20" style="5" customWidth="1"/>
    <col min="5570" max="5570" width="20.109375" style="5" customWidth="1"/>
    <col min="5571" max="5571" width="30.6640625" style="5" customWidth="1"/>
    <col min="5572" max="5572" width="26.44140625" style="5" customWidth="1"/>
    <col min="5573" max="5573" width="21.109375" style="5" customWidth="1"/>
    <col min="5574" max="5574" width="29.5546875" style="5" customWidth="1"/>
    <col min="5575" max="5575" width="10.88671875" style="5" customWidth="1"/>
    <col min="5576" max="5576" width="10.33203125" style="5" customWidth="1"/>
    <col min="5577" max="5577" width="16.33203125" style="5" customWidth="1"/>
    <col min="5578" max="5578" width="14.44140625" style="5" customWidth="1"/>
    <col min="5579" max="5579" width="25.6640625" style="5" customWidth="1"/>
    <col min="5580" max="5580" width="10.88671875" style="5" customWidth="1"/>
    <col min="5581" max="5581" width="19.5546875" style="5" customWidth="1"/>
    <col min="5582" max="5582" width="13.44140625" style="5" customWidth="1"/>
    <col min="5583" max="5583" width="15.109375" style="5" customWidth="1"/>
    <col min="5584" max="5584" width="24.88671875" style="5" customWidth="1"/>
    <col min="5585" max="5585" width="10.88671875" style="5" customWidth="1"/>
    <col min="5586" max="5586" width="13.5546875" style="5" customWidth="1"/>
    <col min="5587" max="5587" width="13.44140625" style="5" customWidth="1"/>
    <col min="5588" max="5588" width="15.109375" style="5" customWidth="1"/>
    <col min="5589" max="5589" width="16.44140625" style="5" customWidth="1"/>
    <col min="5590" max="5590" width="11.5546875" style="5" customWidth="1"/>
    <col min="5591" max="5591" width="13.44140625" style="5" customWidth="1"/>
    <col min="5592" max="5592" width="16.33203125" style="5" customWidth="1"/>
    <col min="5593" max="5593" width="45.6640625" style="5" bestFit="1" customWidth="1"/>
    <col min="5594" max="5594" width="31.6640625" style="5" bestFit="1" customWidth="1"/>
    <col min="5595" max="5595" width="18.88671875" style="5" bestFit="1" customWidth="1"/>
    <col min="5596" max="5596" width="115.44140625" style="5" bestFit="1" customWidth="1"/>
    <col min="5597" max="5597" width="26.5546875" style="5" bestFit="1" customWidth="1"/>
    <col min="5598" max="5598" width="118.109375" style="5" bestFit="1" customWidth="1"/>
    <col min="5599" max="5599" width="26.5546875" style="5" bestFit="1" customWidth="1"/>
    <col min="5600" max="5600" width="17.88671875" style="5" bestFit="1" customWidth="1"/>
    <col min="5601" max="5601" width="16" style="5" customWidth="1"/>
    <col min="5602" max="5602" width="18.88671875" style="5" bestFit="1" customWidth="1"/>
    <col min="5603" max="5603" width="22" style="5" customWidth="1"/>
    <col min="5604" max="5604" width="29.88671875" style="5" bestFit="1" customWidth="1"/>
    <col min="5605" max="5605" width="46.5546875" style="5" bestFit="1" customWidth="1"/>
    <col min="5606" max="5606" width="47.5546875" style="5" bestFit="1" customWidth="1"/>
    <col min="5607" max="5607" width="39.109375" style="5" bestFit="1" customWidth="1"/>
    <col min="5608" max="5608" width="20.6640625" style="5" bestFit="1" customWidth="1"/>
    <col min="5609" max="5609" width="17.33203125" style="5" bestFit="1" customWidth="1"/>
    <col min="5610" max="5610" width="33.109375" style="5" bestFit="1" customWidth="1"/>
    <col min="5611" max="5611" width="43.88671875" style="5" bestFit="1" customWidth="1"/>
    <col min="5612" max="5612" width="43.5546875" style="5" bestFit="1" customWidth="1"/>
    <col min="5613" max="5613" width="16.109375" style="5" bestFit="1" customWidth="1"/>
    <col min="5614" max="5614" width="17.33203125" style="5" bestFit="1" customWidth="1"/>
    <col min="5615" max="5615" width="28.6640625" style="5" bestFit="1" customWidth="1"/>
    <col min="5616" max="5616" width="44.33203125" style="5" bestFit="1" customWidth="1"/>
    <col min="5617" max="5617" width="38" style="5" bestFit="1" customWidth="1"/>
    <col min="5618" max="5618" width="16.109375" style="5" bestFit="1" customWidth="1"/>
    <col min="5619" max="5619" width="17.33203125" style="5" bestFit="1" customWidth="1"/>
    <col min="5620" max="5620" width="20.33203125" style="5" bestFit="1" customWidth="1"/>
    <col min="5621" max="5621" width="29.44140625" style="5" bestFit="1" customWidth="1"/>
    <col min="5622" max="5622" width="28.44140625" style="5" bestFit="1" customWidth="1"/>
    <col min="5623" max="5623" width="16.109375" style="5" bestFit="1" customWidth="1"/>
    <col min="5624" max="5624" width="17.33203125" style="5" bestFit="1" customWidth="1"/>
    <col min="5625" max="5625" width="63.109375" style="5" bestFit="1" customWidth="1"/>
    <col min="5626" max="5626" width="43.5546875" style="5" bestFit="1" customWidth="1"/>
    <col min="5627" max="5627" width="32.44140625" style="5" bestFit="1" customWidth="1"/>
    <col min="5628" max="5628" width="22.6640625" style="5" bestFit="1" customWidth="1"/>
    <col min="5629" max="5629" width="56.5546875" style="5" bestFit="1" customWidth="1"/>
    <col min="5630" max="5630" width="39.5546875" style="5" bestFit="1" customWidth="1"/>
    <col min="5631" max="5631" width="24.6640625" style="5" bestFit="1" customWidth="1"/>
    <col min="5632" max="5632" width="61.88671875" style="5" bestFit="1" customWidth="1"/>
    <col min="5633" max="5633" width="29.33203125" style="5" bestFit="1" customWidth="1"/>
    <col min="5634" max="5634" width="29.5546875" style="5" bestFit="1" customWidth="1"/>
    <col min="5635" max="5635" width="64.33203125" style="5" bestFit="1" customWidth="1"/>
    <col min="5636" max="5636" width="37" style="5" bestFit="1" customWidth="1"/>
    <col min="5637" max="5637" width="26.109375" style="5" bestFit="1" customWidth="1"/>
    <col min="5638" max="5638" width="14.44140625" style="5" bestFit="1" customWidth="1"/>
    <col min="5639" max="5639" width="16.44140625" style="5" bestFit="1" customWidth="1"/>
    <col min="5640" max="5640" width="15.6640625" style="5" bestFit="1" customWidth="1"/>
    <col min="5641" max="5642" width="19" style="5" bestFit="1" customWidth="1"/>
    <col min="5643" max="5643" width="25.5546875" style="5" customWidth="1"/>
    <col min="5644" max="5644" width="25.44140625" style="5" customWidth="1"/>
    <col min="5645" max="5799" width="8.88671875" style="5"/>
    <col min="5800" max="5800" width="11.44140625" style="5" bestFit="1" customWidth="1"/>
    <col min="5801" max="5801" width="13.6640625" style="5" bestFit="1" customWidth="1"/>
    <col min="5802" max="5802" width="34.109375" style="5" bestFit="1" customWidth="1"/>
    <col min="5803" max="5803" width="13.44140625" style="5" customWidth="1"/>
    <col min="5804" max="5804" width="12.33203125" style="5" customWidth="1"/>
    <col min="5805" max="5805" width="10.88671875" style="5" customWidth="1"/>
    <col min="5806" max="5806" width="10.33203125" style="5" customWidth="1"/>
    <col min="5807" max="5807" width="12.44140625" style="5" customWidth="1"/>
    <col min="5808" max="5808" width="10" style="5" customWidth="1"/>
    <col min="5809" max="5809" width="10.88671875" style="5" customWidth="1"/>
    <col min="5810" max="5810" width="12.33203125" style="5" customWidth="1"/>
    <col min="5811" max="5811" width="66.5546875" style="5" customWidth="1"/>
    <col min="5812" max="5812" width="30.33203125" style="5" customWidth="1"/>
    <col min="5813" max="5813" width="25.5546875" style="5" customWidth="1"/>
    <col min="5814" max="5814" width="16.44140625" style="5" customWidth="1"/>
    <col min="5815" max="5815" width="16.109375" style="5" customWidth="1"/>
    <col min="5816" max="5816" width="19.33203125" style="5" customWidth="1"/>
    <col min="5817" max="5817" width="19.88671875" style="5" customWidth="1"/>
    <col min="5818" max="5818" width="20.88671875" style="5" customWidth="1"/>
    <col min="5819" max="5819" width="17.109375" style="5" customWidth="1"/>
    <col min="5820" max="5820" width="17" style="5" customWidth="1"/>
    <col min="5821" max="5821" width="17.6640625" style="5" customWidth="1"/>
    <col min="5822" max="5822" width="14.109375" style="5" customWidth="1"/>
    <col min="5823" max="5823" width="15.109375" style="5" customWidth="1"/>
    <col min="5824" max="5824" width="19.5546875" style="5" customWidth="1"/>
    <col min="5825" max="5825" width="20" style="5" customWidth="1"/>
    <col min="5826" max="5826" width="20.109375" style="5" customWidth="1"/>
    <col min="5827" max="5827" width="30.6640625" style="5" customWidth="1"/>
    <col min="5828" max="5828" width="26.44140625" style="5" customWidth="1"/>
    <col min="5829" max="5829" width="21.109375" style="5" customWidth="1"/>
    <col min="5830" max="5830" width="29.5546875" style="5" customWidth="1"/>
    <col min="5831" max="5831" width="10.88671875" style="5" customWidth="1"/>
    <col min="5832" max="5832" width="10.33203125" style="5" customWidth="1"/>
    <col min="5833" max="5833" width="16.33203125" style="5" customWidth="1"/>
    <col min="5834" max="5834" width="14.44140625" style="5" customWidth="1"/>
    <col min="5835" max="5835" width="25.6640625" style="5" customWidth="1"/>
    <col min="5836" max="5836" width="10.88671875" style="5" customWidth="1"/>
    <col min="5837" max="5837" width="19.5546875" style="5" customWidth="1"/>
    <col min="5838" max="5838" width="13.44140625" style="5" customWidth="1"/>
    <col min="5839" max="5839" width="15.109375" style="5" customWidth="1"/>
    <col min="5840" max="5840" width="24.88671875" style="5" customWidth="1"/>
    <col min="5841" max="5841" width="10.88671875" style="5" customWidth="1"/>
    <col min="5842" max="5842" width="13.5546875" style="5" customWidth="1"/>
    <col min="5843" max="5843" width="13.44140625" style="5" customWidth="1"/>
    <col min="5844" max="5844" width="15.109375" style="5" customWidth="1"/>
    <col min="5845" max="5845" width="16.44140625" style="5" customWidth="1"/>
    <col min="5846" max="5846" width="11.5546875" style="5" customWidth="1"/>
    <col min="5847" max="5847" width="13.44140625" style="5" customWidth="1"/>
    <col min="5848" max="5848" width="16.33203125" style="5" customWidth="1"/>
    <col min="5849" max="5849" width="45.6640625" style="5" bestFit="1" customWidth="1"/>
    <col min="5850" max="5850" width="31.6640625" style="5" bestFit="1" customWidth="1"/>
    <col min="5851" max="5851" width="18.88671875" style="5" bestFit="1" customWidth="1"/>
    <col min="5852" max="5852" width="115.44140625" style="5" bestFit="1" customWidth="1"/>
    <col min="5853" max="5853" width="26.5546875" style="5" bestFit="1" customWidth="1"/>
    <col min="5854" max="5854" width="118.109375" style="5" bestFit="1" customWidth="1"/>
    <col min="5855" max="5855" width="26.5546875" style="5" bestFit="1" customWidth="1"/>
    <col min="5856" max="5856" width="17.88671875" style="5" bestFit="1" customWidth="1"/>
    <col min="5857" max="5857" width="16" style="5" customWidth="1"/>
    <col min="5858" max="5858" width="18.88671875" style="5" bestFit="1" customWidth="1"/>
    <col min="5859" max="5859" width="22" style="5" customWidth="1"/>
    <col min="5860" max="5860" width="29.88671875" style="5" bestFit="1" customWidth="1"/>
    <col min="5861" max="5861" width="46.5546875" style="5" bestFit="1" customWidth="1"/>
    <col min="5862" max="5862" width="47.5546875" style="5" bestFit="1" customWidth="1"/>
    <col min="5863" max="5863" width="39.109375" style="5" bestFit="1" customWidth="1"/>
    <col min="5864" max="5864" width="20.6640625" style="5" bestFit="1" customWidth="1"/>
    <col min="5865" max="5865" width="17.33203125" style="5" bestFit="1" customWidth="1"/>
    <col min="5866" max="5866" width="33.109375" style="5" bestFit="1" customWidth="1"/>
    <col min="5867" max="5867" width="43.88671875" style="5" bestFit="1" customWidth="1"/>
    <col min="5868" max="5868" width="43.5546875" style="5" bestFit="1" customWidth="1"/>
    <col min="5869" max="5869" width="16.109375" style="5" bestFit="1" customWidth="1"/>
    <col min="5870" max="5870" width="17.33203125" style="5" bestFit="1" customWidth="1"/>
    <col min="5871" max="5871" width="28.6640625" style="5" bestFit="1" customWidth="1"/>
    <col min="5872" max="5872" width="44.33203125" style="5" bestFit="1" customWidth="1"/>
    <col min="5873" max="5873" width="38" style="5" bestFit="1" customWidth="1"/>
    <col min="5874" max="5874" width="16.109375" style="5" bestFit="1" customWidth="1"/>
    <col min="5875" max="5875" width="17.33203125" style="5" bestFit="1" customWidth="1"/>
    <col min="5876" max="5876" width="20.33203125" style="5" bestFit="1" customWidth="1"/>
    <col min="5877" max="5877" width="29.44140625" style="5" bestFit="1" customWidth="1"/>
    <col min="5878" max="5878" width="28.44140625" style="5" bestFit="1" customWidth="1"/>
    <col min="5879" max="5879" width="16.109375" style="5" bestFit="1" customWidth="1"/>
    <col min="5880" max="5880" width="17.33203125" style="5" bestFit="1" customWidth="1"/>
    <col min="5881" max="5881" width="63.109375" style="5" bestFit="1" customWidth="1"/>
    <col min="5882" max="5882" width="43.5546875" style="5" bestFit="1" customWidth="1"/>
    <col min="5883" max="5883" width="32.44140625" style="5" bestFit="1" customWidth="1"/>
    <col min="5884" max="5884" width="22.6640625" style="5" bestFit="1" customWidth="1"/>
    <col min="5885" max="5885" width="56.5546875" style="5" bestFit="1" customWidth="1"/>
    <col min="5886" max="5886" width="39.5546875" style="5" bestFit="1" customWidth="1"/>
    <col min="5887" max="5887" width="24.6640625" style="5" bestFit="1" customWidth="1"/>
    <col min="5888" max="5888" width="61.88671875" style="5" bestFit="1" customWidth="1"/>
    <col min="5889" max="5889" width="29.33203125" style="5" bestFit="1" customWidth="1"/>
    <col min="5890" max="5890" width="29.5546875" style="5" bestFit="1" customWidth="1"/>
    <col min="5891" max="5891" width="64.33203125" style="5" bestFit="1" customWidth="1"/>
    <col min="5892" max="5892" width="37" style="5" bestFit="1" customWidth="1"/>
    <col min="5893" max="5893" width="26.109375" style="5" bestFit="1" customWidth="1"/>
    <col min="5894" max="5894" width="14.44140625" style="5" bestFit="1" customWidth="1"/>
    <col min="5895" max="5895" width="16.44140625" style="5" bestFit="1" customWidth="1"/>
    <col min="5896" max="5896" width="15.6640625" style="5" bestFit="1" customWidth="1"/>
    <col min="5897" max="5898" width="19" style="5" bestFit="1" customWidth="1"/>
    <col min="5899" max="5899" width="25.5546875" style="5" customWidth="1"/>
    <col min="5900" max="5900" width="25.44140625" style="5" customWidth="1"/>
    <col min="5901" max="6055" width="8.88671875" style="5"/>
    <col min="6056" max="6056" width="11.44140625" style="5" bestFit="1" customWidth="1"/>
    <col min="6057" max="6057" width="13.6640625" style="5" bestFit="1" customWidth="1"/>
    <col min="6058" max="6058" width="34.109375" style="5" bestFit="1" customWidth="1"/>
    <col min="6059" max="6059" width="13.44140625" style="5" customWidth="1"/>
    <col min="6060" max="6060" width="12.33203125" style="5" customWidth="1"/>
    <col min="6061" max="6061" width="10.88671875" style="5" customWidth="1"/>
    <col min="6062" max="6062" width="10.33203125" style="5" customWidth="1"/>
    <col min="6063" max="6063" width="12.44140625" style="5" customWidth="1"/>
    <col min="6064" max="6064" width="10" style="5" customWidth="1"/>
    <col min="6065" max="6065" width="10.88671875" style="5" customWidth="1"/>
    <col min="6066" max="6066" width="12.33203125" style="5" customWidth="1"/>
    <col min="6067" max="6067" width="66.5546875" style="5" customWidth="1"/>
    <col min="6068" max="6068" width="30.33203125" style="5" customWidth="1"/>
    <col min="6069" max="6069" width="25.5546875" style="5" customWidth="1"/>
    <col min="6070" max="6070" width="16.44140625" style="5" customWidth="1"/>
    <col min="6071" max="6071" width="16.109375" style="5" customWidth="1"/>
    <col min="6072" max="6072" width="19.33203125" style="5" customWidth="1"/>
    <col min="6073" max="6073" width="19.88671875" style="5" customWidth="1"/>
    <col min="6074" max="6074" width="20.88671875" style="5" customWidth="1"/>
    <col min="6075" max="6075" width="17.109375" style="5" customWidth="1"/>
    <col min="6076" max="6076" width="17" style="5" customWidth="1"/>
    <col min="6077" max="6077" width="17.6640625" style="5" customWidth="1"/>
    <col min="6078" max="6078" width="14.109375" style="5" customWidth="1"/>
    <col min="6079" max="6079" width="15.109375" style="5" customWidth="1"/>
    <col min="6080" max="6080" width="19.5546875" style="5" customWidth="1"/>
    <col min="6081" max="6081" width="20" style="5" customWidth="1"/>
    <col min="6082" max="6082" width="20.109375" style="5" customWidth="1"/>
    <col min="6083" max="6083" width="30.6640625" style="5" customWidth="1"/>
    <col min="6084" max="6084" width="26.44140625" style="5" customWidth="1"/>
    <col min="6085" max="6085" width="21.109375" style="5" customWidth="1"/>
    <col min="6086" max="6086" width="29.5546875" style="5" customWidth="1"/>
    <col min="6087" max="6087" width="10.88671875" style="5" customWidth="1"/>
    <col min="6088" max="6088" width="10.33203125" style="5" customWidth="1"/>
    <col min="6089" max="6089" width="16.33203125" style="5" customWidth="1"/>
    <col min="6090" max="6090" width="14.44140625" style="5" customWidth="1"/>
    <col min="6091" max="6091" width="25.6640625" style="5" customWidth="1"/>
    <col min="6092" max="6092" width="10.88671875" style="5" customWidth="1"/>
    <col min="6093" max="6093" width="19.5546875" style="5" customWidth="1"/>
    <col min="6094" max="6094" width="13.44140625" style="5" customWidth="1"/>
    <col min="6095" max="6095" width="15.109375" style="5" customWidth="1"/>
    <col min="6096" max="6096" width="24.88671875" style="5" customWidth="1"/>
    <col min="6097" max="6097" width="10.88671875" style="5" customWidth="1"/>
    <col min="6098" max="6098" width="13.5546875" style="5" customWidth="1"/>
    <col min="6099" max="6099" width="13.44140625" style="5" customWidth="1"/>
    <col min="6100" max="6100" width="15.109375" style="5" customWidth="1"/>
    <col min="6101" max="6101" width="16.44140625" style="5" customWidth="1"/>
    <col min="6102" max="6102" width="11.5546875" style="5" customWidth="1"/>
    <col min="6103" max="6103" width="13.44140625" style="5" customWidth="1"/>
    <col min="6104" max="6104" width="16.33203125" style="5" customWidth="1"/>
    <col min="6105" max="6105" width="45.6640625" style="5" bestFit="1" customWidth="1"/>
    <col min="6106" max="6106" width="31.6640625" style="5" bestFit="1" customWidth="1"/>
    <col min="6107" max="6107" width="18.88671875" style="5" bestFit="1" customWidth="1"/>
    <col min="6108" max="6108" width="115.44140625" style="5" bestFit="1" customWidth="1"/>
    <col min="6109" max="6109" width="26.5546875" style="5" bestFit="1" customWidth="1"/>
    <col min="6110" max="6110" width="118.109375" style="5" bestFit="1" customWidth="1"/>
    <col min="6111" max="6111" width="26.5546875" style="5" bestFit="1" customWidth="1"/>
    <col min="6112" max="6112" width="17.88671875" style="5" bestFit="1" customWidth="1"/>
    <col min="6113" max="6113" width="16" style="5" customWidth="1"/>
    <col min="6114" max="6114" width="18.88671875" style="5" bestFit="1" customWidth="1"/>
    <col min="6115" max="6115" width="22" style="5" customWidth="1"/>
    <col min="6116" max="6116" width="29.88671875" style="5" bestFit="1" customWidth="1"/>
    <col min="6117" max="6117" width="46.5546875" style="5" bestFit="1" customWidth="1"/>
    <col min="6118" max="6118" width="47.5546875" style="5" bestFit="1" customWidth="1"/>
    <col min="6119" max="6119" width="39.109375" style="5" bestFit="1" customWidth="1"/>
    <col min="6120" max="6120" width="20.6640625" style="5" bestFit="1" customWidth="1"/>
    <col min="6121" max="6121" width="17.33203125" style="5" bestFit="1" customWidth="1"/>
    <col min="6122" max="6122" width="33.109375" style="5" bestFit="1" customWidth="1"/>
    <col min="6123" max="6123" width="43.88671875" style="5" bestFit="1" customWidth="1"/>
    <col min="6124" max="6124" width="43.5546875" style="5" bestFit="1" customWidth="1"/>
    <col min="6125" max="6125" width="16.109375" style="5" bestFit="1" customWidth="1"/>
    <col min="6126" max="6126" width="17.33203125" style="5" bestFit="1" customWidth="1"/>
    <col min="6127" max="6127" width="28.6640625" style="5" bestFit="1" customWidth="1"/>
    <col min="6128" max="6128" width="44.33203125" style="5" bestFit="1" customWidth="1"/>
    <col min="6129" max="6129" width="38" style="5" bestFit="1" customWidth="1"/>
    <col min="6130" max="6130" width="16.109375" style="5" bestFit="1" customWidth="1"/>
    <col min="6131" max="6131" width="17.33203125" style="5" bestFit="1" customWidth="1"/>
    <col min="6132" max="6132" width="20.33203125" style="5" bestFit="1" customWidth="1"/>
    <col min="6133" max="6133" width="29.44140625" style="5" bestFit="1" customWidth="1"/>
    <col min="6134" max="6134" width="28.44140625" style="5" bestFit="1" customWidth="1"/>
    <col min="6135" max="6135" width="16.109375" style="5" bestFit="1" customWidth="1"/>
    <col min="6136" max="6136" width="17.33203125" style="5" bestFit="1" customWidth="1"/>
    <col min="6137" max="6137" width="63.109375" style="5" bestFit="1" customWidth="1"/>
    <col min="6138" max="6138" width="43.5546875" style="5" bestFit="1" customWidth="1"/>
    <col min="6139" max="6139" width="32.44140625" style="5" bestFit="1" customWidth="1"/>
    <col min="6140" max="6140" width="22.6640625" style="5" bestFit="1" customWidth="1"/>
    <col min="6141" max="6141" width="56.5546875" style="5" bestFit="1" customWidth="1"/>
    <col min="6142" max="6142" width="39.5546875" style="5" bestFit="1" customWidth="1"/>
    <col min="6143" max="6143" width="24.6640625" style="5" bestFit="1" customWidth="1"/>
    <col min="6144" max="6144" width="61.88671875" style="5" bestFit="1" customWidth="1"/>
    <col min="6145" max="6145" width="29.33203125" style="5" bestFit="1" customWidth="1"/>
    <col min="6146" max="6146" width="29.5546875" style="5" bestFit="1" customWidth="1"/>
    <col min="6147" max="6147" width="64.33203125" style="5" bestFit="1" customWidth="1"/>
    <col min="6148" max="6148" width="37" style="5" bestFit="1" customWidth="1"/>
    <col min="6149" max="6149" width="26.109375" style="5" bestFit="1" customWidth="1"/>
    <col min="6150" max="6150" width="14.44140625" style="5" bestFit="1" customWidth="1"/>
    <col min="6151" max="6151" width="16.44140625" style="5" bestFit="1" customWidth="1"/>
    <col min="6152" max="6152" width="15.6640625" style="5" bestFit="1" customWidth="1"/>
    <col min="6153" max="6154" width="19" style="5" bestFit="1" customWidth="1"/>
    <col min="6155" max="6155" width="25.5546875" style="5" customWidth="1"/>
    <col min="6156" max="6156" width="25.44140625" style="5" customWidth="1"/>
    <col min="6157" max="6311" width="8.88671875" style="5"/>
    <col min="6312" max="6312" width="11.44140625" style="5" bestFit="1" customWidth="1"/>
    <col min="6313" max="6313" width="13.6640625" style="5" bestFit="1" customWidth="1"/>
    <col min="6314" max="6314" width="34.109375" style="5" bestFit="1" customWidth="1"/>
    <col min="6315" max="6315" width="13.44140625" style="5" customWidth="1"/>
    <col min="6316" max="6316" width="12.33203125" style="5" customWidth="1"/>
    <col min="6317" max="6317" width="10.88671875" style="5" customWidth="1"/>
    <col min="6318" max="6318" width="10.33203125" style="5" customWidth="1"/>
    <col min="6319" max="6319" width="12.44140625" style="5" customWidth="1"/>
    <col min="6320" max="6320" width="10" style="5" customWidth="1"/>
    <col min="6321" max="6321" width="10.88671875" style="5" customWidth="1"/>
    <col min="6322" max="6322" width="12.33203125" style="5" customWidth="1"/>
    <col min="6323" max="6323" width="66.5546875" style="5" customWidth="1"/>
    <col min="6324" max="6324" width="30.33203125" style="5" customWidth="1"/>
    <col min="6325" max="6325" width="25.5546875" style="5" customWidth="1"/>
    <col min="6326" max="6326" width="16.44140625" style="5" customWidth="1"/>
    <col min="6327" max="6327" width="16.109375" style="5" customWidth="1"/>
    <col min="6328" max="6328" width="19.33203125" style="5" customWidth="1"/>
    <col min="6329" max="6329" width="19.88671875" style="5" customWidth="1"/>
    <col min="6330" max="6330" width="20.88671875" style="5" customWidth="1"/>
    <col min="6331" max="6331" width="17.109375" style="5" customWidth="1"/>
    <col min="6332" max="6332" width="17" style="5" customWidth="1"/>
    <col min="6333" max="6333" width="17.6640625" style="5" customWidth="1"/>
    <col min="6334" max="6334" width="14.109375" style="5" customWidth="1"/>
    <col min="6335" max="6335" width="15.109375" style="5" customWidth="1"/>
    <col min="6336" max="6336" width="19.5546875" style="5" customWidth="1"/>
    <col min="6337" max="6337" width="20" style="5" customWidth="1"/>
    <col min="6338" max="6338" width="20.109375" style="5" customWidth="1"/>
    <col min="6339" max="6339" width="30.6640625" style="5" customWidth="1"/>
    <col min="6340" max="6340" width="26.44140625" style="5" customWidth="1"/>
    <col min="6341" max="6341" width="21.109375" style="5" customWidth="1"/>
    <col min="6342" max="6342" width="29.5546875" style="5" customWidth="1"/>
    <col min="6343" max="6343" width="10.88671875" style="5" customWidth="1"/>
    <col min="6344" max="6344" width="10.33203125" style="5" customWidth="1"/>
    <col min="6345" max="6345" width="16.33203125" style="5" customWidth="1"/>
    <col min="6346" max="6346" width="14.44140625" style="5" customWidth="1"/>
    <col min="6347" max="6347" width="25.6640625" style="5" customWidth="1"/>
    <col min="6348" max="6348" width="10.88671875" style="5" customWidth="1"/>
    <col min="6349" max="6349" width="19.5546875" style="5" customWidth="1"/>
    <col min="6350" max="6350" width="13.44140625" style="5" customWidth="1"/>
    <col min="6351" max="6351" width="15.109375" style="5" customWidth="1"/>
    <col min="6352" max="6352" width="24.88671875" style="5" customWidth="1"/>
    <col min="6353" max="6353" width="10.88671875" style="5" customWidth="1"/>
    <col min="6354" max="6354" width="13.5546875" style="5" customWidth="1"/>
    <col min="6355" max="6355" width="13.44140625" style="5" customWidth="1"/>
    <col min="6356" max="6356" width="15.109375" style="5" customWidth="1"/>
    <col min="6357" max="6357" width="16.44140625" style="5" customWidth="1"/>
    <col min="6358" max="6358" width="11.5546875" style="5" customWidth="1"/>
    <col min="6359" max="6359" width="13.44140625" style="5" customWidth="1"/>
    <col min="6360" max="6360" width="16.33203125" style="5" customWidth="1"/>
    <col min="6361" max="6361" width="45.6640625" style="5" bestFit="1" customWidth="1"/>
    <col min="6362" max="6362" width="31.6640625" style="5" bestFit="1" customWidth="1"/>
    <col min="6363" max="6363" width="18.88671875" style="5" bestFit="1" customWidth="1"/>
    <col min="6364" max="6364" width="115.44140625" style="5" bestFit="1" customWidth="1"/>
    <col min="6365" max="6365" width="26.5546875" style="5" bestFit="1" customWidth="1"/>
    <col min="6366" max="6366" width="118.109375" style="5" bestFit="1" customWidth="1"/>
    <col min="6367" max="6367" width="26.5546875" style="5" bestFit="1" customWidth="1"/>
    <col min="6368" max="6368" width="17.88671875" style="5" bestFit="1" customWidth="1"/>
    <col min="6369" max="6369" width="16" style="5" customWidth="1"/>
    <col min="6370" max="6370" width="18.88671875" style="5" bestFit="1" customWidth="1"/>
    <col min="6371" max="6371" width="22" style="5" customWidth="1"/>
    <col min="6372" max="6372" width="29.88671875" style="5" bestFit="1" customWidth="1"/>
    <col min="6373" max="6373" width="46.5546875" style="5" bestFit="1" customWidth="1"/>
    <col min="6374" max="6374" width="47.5546875" style="5" bestFit="1" customWidth="1"/>
    <col min="6375" max="6375" width="39.109375" style="5" bestFit="1" customWidth="1"/>
    <col min="6376" max="6376" width="20.6640625" style="5" bestFit="1" customWidth="1"/>
    <col min="6377" max="6377" width="17.33203125" style="5" bestFit="1" customWidth="1"/>
    <col min="6378" max="6378" width="33.109375" style="5" bestFit="1" customWidth="1"/>
    <col min="6379" max="6379" width="43.88671875" style="5" bestFit="1" customWidth="1"/>
    <col min="6380" max="6380" width="43.5546875" style="5" bestFit="1" customWidth="1"/>
    <col min="6381" max="6381" width="16.109375" style="5" bestFit="1" customWidth="1"/>
    <col min="6382" max="6382" width="17.33203125" style="5" bestFit="1" customWidth="1"/>
    <col min="6383" max="6383" width="28.6640625" style="5" bestFit="1" customWidth="1"/>
    <col min="6384" max="6384" width="44.33203125" style="5" bestFit="1" customWidth="1"/>
    <col min="6385" max="6385" width="38" style="5" bestFit="1" customWidth="1"/>
    <col min="6386" max="6386" width="16.109375" style="5" bestFit="1" customWidth="1"/>
    <col min="6387" max="6387" width="17.33203125" style="5" bestFit="1" customWidth="1"/>
    <col min="6388" max="6388" width="20.33203125" style="5" bestFit="1" customWidth="1"/>
    <col min="6389" max="6389" width="29.44140625" style="5" bestFit="1" customWidth="1"/>
    <col min="6390" max="6390" width="28.44140625" style="5" bestFit="1" customWidth="1"/>
    <col min="6391" max="6391" width="16.109375" style="5" bestFit="1" customWidth="1"/>
    <col min="6392" max="6392" width="17.33203125" style="5" bestFit="1" customWidth="1"/>
    <col min="6393" max="6393" width="63.109375" style="5" bestFit="1" customWidth="1"/>
    <col min="6394" max="6394" width="43.5546875" style="5" bestFit="1" customWidth="1"/>
    <col min="6395" max="6395" width="32.44140625" style="5" bestFit="1" customWidth="1"/>
    <col min="6396" max="6396" width="22.6640625" style="5" bestFit="1" customWidth="1"/>
    <col min="6397" max="6397" width="56.5546875" style="5" bestFit="1" customWidth="1"/>
    <col min="6398" max="6398" width="39.5546875" style="5" bestFit="1" customWidth="1"/>
    <col min="6399" max="6399" width="24.6640625" style="5" bestFit="1" customWidth="1"/>
    <col min="6400" max="6400" width="61.88671875" style="5" bestFit="1" customWidth="1"/>
    <col min="6401" max="6401" width="29.33203125" style="5" bestFit="1" customWidth="1"/>
    <col min="6402" max="6402" width="29.5546875" style="5" bestFit="1" customWidth="1"/>
    <col min="6403" max="6403" width="64.33203125" style="5" bestFit="1" customWidth="1"/>
    <col min="6404" max="6404" width="37" style="5" bestFit="1" customWidth="1"/>
    <col min="6405" max="6405" width="26.109375" style="5" bestFit="1" customWidth="1"/>
    <col min="6406" max="6406" width="14.44140625" style="5" bestFit="1" customWidth="1"/>
    <col min="6407" max="6407" width="16.44140625" style="5" bestFit="1" customWidth="1"/>
    <col min="6408" max="6408" width="15.6640625" style="5" bestFit="1" customWidth="1"/>
    <col min="6409" max="6410" width="19" style="5" bestFit="1" customWidth="1"/>
    <col min="6411" max="6411" width="25.5546875" style="5" customWidth="1"/>
    <col min="6412" max="6412" width="25.44140625" style="5" customWidth="1"/>
    <col min="6413" max="6567" width="8.88671875" style="5"/>
    <col min="6568" max="6568" width="11.44140625" style="5" bestFit="1" customWidth="1"/>
    <col min="6569" max="6569" width="13.6640625" style="5" bestFit="1" customWidth="1"/>
    <col min="6570" max="6570" width="34.109375" style="5" bestFit="1" customWidth="1"/>
    <col min="6571" max="6571" width="13.44140625" style="5" customWidth="1"/>
    <col min="6572" max="6572" width="12.33203125" style="5" customWidth="1"/>
    <col min="6573" max="6573" width="10.88671875" style="5" customWidth="1"/>
    <col min="6574" max="6574" width="10.33203125" style="5" customWidth="1"/>
    <col min="6575" max="6575" width="12.44140625" style="5" customWidth="1"/>
    <col min="6576" max="6576" width="10" style="5" customWidth="1"/>
    <col min="6577" max="6577" width="10.88671875" style="5" customWidth="1"/>
    <col min="6578" max="6578" width="12.33203125" style="5" customWidth="1"/>
    <col min="6579" max="6579" width="66.5546875" style="5" customWidth="1"/>
    <col min="6580" max="6580" width="30.33203125" style="5" customWidth="1"/>
    <col min="6581" max="6581" width="25.5546875" style="5" customWidth="1"/>
    <col min="6582" max="6582" width="16.44140625" style="5" customWidth="1"/>
    <col min="6583" max="6583" width="16.109375" style="5" customWidth="1"/>
    <col min="6584" max="6584" width="19.33203125" style="5" customWidth="1"/>
    <col min="6585" max="6585" width="19.88671875" style="5" customWidth="1"/>
    <col min="6586" max="6586" width="20.88671875" style="5" customWidth="1"/>
    <col min="6587" max="6587" width="17.109375" style="5" customWidth="1"/>
    <col min="6588" max="6588" width="17" style="5" customWidth="1"/>
    <col min="6589" max="6589" width="17.6640625" style="5" customWidth="1"/>
    <col min="6590" max="6590" width="14.109375" style="5" customWidth="1"/>
    <col min="6591" max="6591" width="15.109375" style="5" customWidth="1"/>
    <col min="6592" max="6592" width="19.5546875" style="5" customWidth="1"/>
    <col min="6593" max="6593" width="20" style="5" customWidth="1"/>
    <col min="6594" max="6594" width="20.109375" style="5" customWidth="1"/>
    <col min="6595" max="6595" width="30.6640625" style="5" customWidth="1"/>
    <col min="6596" max="6596" width="26.44140625" style="5" customWidth="1"/>
    <col min="6597" max="6597" width="21.109375" style="5" customWidth="1"/>
    <col min="6598" max="6598" width="29.5546875" style="5" customWidth="1"/>
    <col min="6599" max="6599" width="10.88671875" style="5" customWidth="1"/>
    <col min="6600" max="6600" width="10.33203125" style="5" customWidth="1"/>
    <col min="6601" max="6601" width="16.33203125" style="5" customWidth="1"/>
    <col min="6602" max="6602" width="14.44140625" style="5" customWidth="1"/>
    <col min="6603" max="6603" width="25.6640625" style="5" customWidth="1"/>
    <col min="6604" max="6604" width="10.88671875" style="5" customWidth="1"/>
    <col min="6605" max="6605" width="19.5546875" style="5" customWidth="1"/>
    <col min="6606" max="6606" width="13.44140625" style="5" customWidth="1"/>
    <col min="6607" max="6607" width="15.109375" style="5" customWidth="1"/>
    <col min="6608" max="6608" width="24.88671875" style="5" customWidth="1"/>
    <col min="6609" max="6609" width="10.88671875" style="5" customWidth="1"/>
    <col min="6610" max="6610" width="13.5546875" style="5" customWidth="1"/>
    <col min="6611" max="6611" width="13.44140625" style="5" customWidth="1"/>
    <col min="6612" max="6612" width="15.109375" style="5" customWidth="1"/>
    <col min="6613" max="6613" width="16.44140625" style="5" customWidth="1"/>
    <col min="6614" max="6614" width="11.5546875" style="5" customWidth="1"/>
    <col min="6615" max="6615" width="13.44140625" style="5" customWidth="1"/>
    <col min="6616" max="6616" width="16.33203125" style="5" customWidth="1"/>
    <col min="6617" max="6617" width="45.6640625" style="5" bestFit="1" customWidth="1"/>
    <col min="6618" max="6618" width="31.6640625" style="5" bestFit="1" customWidth="1"/>
    <col min="6619" max="6619" width="18.88671875" style="5" bestFit="1" customWidth="1"/>
    <col min="6620" max="6620" width="115.44140625" style="5" bestFit="1" customWidth="1"/>
    <col min="6621" max="6621" width="26.5546875" style="5" bestFit="1" customWidth="1"/>
    <col min="6622" max="6622" width="118.109375" style="5" bestFit="1" customWidth="1"/>
    <col min="6623" max="6623" width="26.5546875" style="5" bestFit="1" customWidth="1"/>
    <col min="6624" max="6624" width="17.88671875" style="5" bestFit="1" customWidth="1"/>
    <col min="6625" max="6625" width="16" style="5" customWidth="1"/>
    <col min="6626" max="6626" width="18.88671875" style="5" bestFit="1" customWidth="1"/>
    <col min="6627" max="6627" width="22" style="5" customWidth="1"/>
    <col min="6628" max="6628" width="29.88671875" style="5" bestFit="1" customWidth="1"/>
    <col min="6629" max="6629" width="46.5546875" style="5" bestFit="1" customWidth="1"/>
    <col min="6630" max="6630" width="47.5546875" style="5" bestFit="1" customWidth="1"/>
    <col min="6631" max="6631" width="39.109375" style="5" bestFit="1" customWidth="1"/>
    <col min="6632" max="6632" width="20.6640625" style="5" bestFit="1" customWidth="1"/>
    <col min="6633" max="6633" width="17.33203125" style="5" bestFit="1" customWidth="1"/>
    <col min="6634" max="6634" width="33.109375" style="5" bestFit="1" customWidth="1"/>
    <col min="6635" max="6635" width="43.88671875" style="5" bestFit="1" customWidth="1"/>
    <col min="6636" max="6636" width="43.5546875" style="5" bestFit="1" customWidth="1"/>
    <col min="6637" max="6637" width="16.109375" style="5" bestFit="1" customWidth="1"/>
    <col min="6638" max="6638" width="17.33203125" style="5" bestFit="1" customWidth="1"/>
    <col min="6639" max="6639" width="28.6640625" style="5" bestFit="1" customWidth="1"/>
    <col min="6640" max="6640" width="44.33203125" style="5" bestFit="1" customWidth="1"/>
    <col min="6641" max="6641" width="38" style="5" bestFit="1" customWidth="1"/>
    <col min="6642" max="6642" width="16.109375" style="5" bestFit="1" customWidth="1"/>
    <col min="6643" max="6643" width="17.33203125" style="5" bestFit="1" customWidth="1"/>
    <col min="6644" max="6644" width="20.33203125" style="5" bestFit="1" customWidth="1"/>
    <col min="6645" max="6645" width="29.44140625" style="5" bestFit="1" customWidth="1"/>
    <col min="6646" max="6646" width="28.44140625" style="5" bestFit="1" customWidth="1"/>
    <col min="6647" max="6647" width="16.109375" style="5" bestFit="1" customWidth="1"/>
    <col min="6648" max="6648" width="17.33203125" style="5" bestFit="1" customWidth="1"/>
    <col min="6649" max="6649" width="63.109375" style="5" bestFit="1" customWidth="1"/>
    <col min="6650" max="6650" width="43.5546875" style="5" bestFit="1" customWidth="1"/>
    <col min="6651" max="6651" width="32.44140625" style="5" bestFit="1" customWidth="1"/>
    <col min="6652" max="6652" width="22.6640625" style="5" bestFit="1" customWidth="1"/>
    <col min="6653" max="6653" width="56.5546875" style="5" bestFit="1" customWidth="1"/>
    <col min="6654" max="6654" width="39.5546875" style="5" bestFit="1" customWidth="1"/>
    <col min="6655" max="6655" width="24.6640625" style="5" bestFit="1" customWidth="1"/>
    <col min="6656" max="6656" width="61.88671875" style="5" bestFit="1" customWidth="1"/>
    <col min="6657" max="6657" width="29.33203125" style="5" bestFit="1" customWidth="1"/>
    <col min="6658" max="6658" width="29.5546875" style="5" bestFit="1" customWidth="1"/>
    <col min="6659" max="6659" width="64.33203125" style="5" bestFit="1" customWidth="1"/>
    <col min="6660" max="6660" width="37" style="5" bestFit="1" customWidth="1"/>
    <col min="6661" max="6661" width="26.109375" style="5" bestFit="1" customWidth="1"/>
    <col min="6662" max="6662" width="14.44140625" style="5" bestFit="1" customWidth="1"/>
    <col min="6663" max="6663" width="16.44140625" style="5" bestFit="1" customWidth="1"/>
    <col min="6664" max="6664" width="15.6640625" style="5" bestFit="1" customWidth="1"/>
    <col min="6665" max="6666" width="19" style="5" bestFit="1" customWidth="1"/>
    <col min="6667" max="6667" width="25.5546875" style="5" customWidth="1"/>
    <col min="6668" max="6668" width="25.44140625" style="5" customWidth="1"/>
    <col min="6669" max="6823" width="8.88671875" style="5"/>
    <col min="6824" max="6824" width="11.44140625" style="5" bestFit="1" customWidth="1"/>
    <col min="6825" max="6825" width="13.6640625" style="5" bestFit="1" customWidth="1"/>
    <col min="6826" max="6826" width="34.109375" style="5" bestFit="1" customWidth="1"/>
    <col min="6827" max="6827" width="13.44140625" style="5" customWidth="1"/>
    <col min="6828" max="6828" width="12.33203125" style="5" customWidth="1"/>
    <col min="6829" max="6829" width="10.88671875" style="5" customWidth="1"/>
    <col min="6830" max="6830" width="10.33203125" style="5" customWidth="1"/>
    <col min="6831" max="6831" width="12.44140625" style="5" customWidth="1"/>
    <col min="6832" max="6832" width="10" style="5" customWidth="1"/>
    <col min="6833" max="6833" width="10.88671875" style="5" customWidth="1"/>
    <col min="6834" max="6834" width="12.33203125" style="5" customWidth="1"/>
    <col min="6835" max="6835" width="66.5546875" style="5" customWidth="1"/>
    <col min="6836" max="6836" width="30.33203125" style="5" customWidth="1"/>
    <col min="6837" max="6837" width="25.5546875" style="5" customWidth="1"/>
    <col min="6838" max="6838" width="16.44140625" style="5" customWidth="1"/>
    <col min="6839" max="6839" width="16.109375" style="5" customWidth="1"/>
    <col min="6840" max="6840" width="19.33203125" style="5" customWidth="1"/>
    <col min="6841" max="6841" width="19.88671875" style="5" customWidth="1"/>
    <col min="6842" max="6842" width="20.88671875" style="5" customWidth="1"/>
    <col min="6843" max="6843" width="17.109375" style="5" customWidth="1"/>
    <col min="6844" max="6844" width="17" style="5" customWidth="1"/>
    <col min="6845" max="6845" width="17.6640625" style="5" customWidth="1"/>
    <col min="6846" max="6846" width="14.109375" style="5" customWidth="1"/>
    <col min="6847" max="6847" width="15.109375" style="5" customWidth="1"/>
    <col min="6848" max="6848" width="19.5546875" style="5" customWidth="1"/>
    <col min="6849" max="6849" width="20" style="5" customWidth="1"/>
    <col min="6850" max="6850" width="20.109375" style="5" customWidth="1"/>
    <col min="6851" max="6851" width="30.6640625" style="5" customWidth="1"/>
    <col min="6852" max="6852" width="26.44140625" style="5" customWidth="1"/>
    <col min="6853" max="6853" width="21.109375" style="5" customWidth="1"/>
    <col min="6854" max="6854" width="29.5546875" style="5" customWidth="1"/>
    <col min="6855" max="6855" width="10.88671875" style="5" customWidth="1"/>
    <col min="6856" max="6856" width="10.33203125" style="5" customWidth="1"/>
    <col min="6857" max="6857" width="16.33203125" style="5" customWidth="1"/>
    <col min="6858" max="6858" width="14.44140625" style="5" customWidth="1"/>
    <col min="6859" max="6859" width="25.6640625" style="5" customWidth="1"/>
    <col min="6860" max="6860" width="10.88671875" style="5" customWidth="1"/>
    <col min="6861" max="6861" width="19.5546875" style="5" customWidth="1"/>
    <col min="6862" max="6862" width="13.44140625" style="5" customWidth="1"/>
    <col min="6863" max="6863" width="15.109375" style="5" customWidth="1"/>
    <col min="6864" max="6864" width="24.88671875" style="5" customWidth="1"/>
    <col min="6865" max="6865" width="10.88671875" style="5" customWidth="1"/>
    <col min="6866" max="6866" width="13.5546875" style="5" customWidth="1"/>
    <col min="6867" max="6867" width="13.44140625" style="5" customWidth="1"/>
    <col min="6868" max="6868" width="15.109375" style="5" customWidth="1"/>
    <col min="6869" max="6869" width="16.44140625" style="5" customWidth="1"/>
    <col min="6870" max="6870" width="11.5546875" style="5" customWidth="1"/>
    <col min="6871" max="6871" width="13.44140625" style="5" customWidth="1"/>
    <col min="6872" max="6872" width="16.33203125" style="5" customWidth="1"/>
    <col min="6873" max="6873" width="45.6640625" style="5" bestFit="1" customWidth="1"/>
    <col min="6874" max="6874" width="31.6640625" style="5" bestFit="1" customWidth="1"/>
    <col min="6875" max="6875" width="18.88671875" style="5" bestFit="1" customWidth="1"/>
    <col min="6876" max="6876" width="115.44140625" style="5" bestFit="1" customWidth="1"/>
    <col min="6877" max="6877" width="26.5546875" style="5" bestFit="1" customWidth="1"/>
    <col min="6878" max="6878" width="118.109375" style="5" bestFit="1" customWidth="1"/>
    <col min="6879" max="6879" width="26.5546875" style="5" bestFit="1" customWidth="1"/>
    <col min="6880" max="6880" width="17.88671875" style="5" bestFit="1" customWidth="1"/>
    <col min="6881" max="6881" width="16" style="5" customWidth="1"/>
    <col min="6882" max="6882" width="18.88671875" style="5" bestFit="1" customWidth="1"/>
    <col min="6883" max="6883" width="22" style="5" customWidth="1"/>
    <col min="6884" max="6884" width="29.88671875" style="5" bestFit="1" customWidth="1"/>
    <col min="6885" max="6885" width="46.5546875" style="5" bestFit="1" customWidth="1"/>
    <col min="6886" max="6886" width="47.5546875" style="5" bestFit="1" customWidth="1"/>
    <col min="6887" max="6887" width="39.109375" style="5" bestFit="1" customWidth="1"/>
    <col min="6888" max="6888" width="20.6640625" style="5" bestFit="1" customWidth="1"/>
    <col min="6889" max="6889" width="17.33203125" style="5" bestFit="1" customWidth="1"/>
    <col min="6890" max="6890" width="33.109375" style="5" bestFit="1" customWidth="1"/>
    <col min="6891" max="6891" width="43.88671875" style="5" bestFit="1" customWidth="1"/>
    <col min="6892" max="6892" width="43.5546875" style="5" bestFit="1" customWidth="1"/>
    <col min="6893" max="6893" width="16.109375" style="5" bestFit="1" customWidth="1"/>
    <col min="6894" max="6894" width="17.33203125" style="5" bestFit="1" customWidth="1"/>
    <col min="6895" max="6895" width="28.6640625" style="5" bestFit="1" customWidth="1"/>
    <col min="6896" max="6896" width="44.33203125" style="5" bestFit="1" customWidth="1"/>
    <col min="6897" max="6897" width="38" style="5" bestFit="1" customWidth="1"/>
    <col min="6898" max="6898" width="16.109375" style="5" bestFit="1" customWidth="1"/>
    <col min="6899" max="6899" width="17.33203125" style="5" bestFit="1" customWidth="1"/>
    <col min="6900" max="6900" width="20.33203125" style="5" bestFit="1" customWidth="1"/>
    <col min="6901" max="6901" width="29.44140625" style="5" bestFit="1" customWidth="1"/>
    <col min="6902" max="6902" width="28.44140625" style="5" bestFit="1" customWidth="1"/>
    <col min="6903" max="6903" width="16.109375" style="5" bestFit="1" customWidth="1"/>
    <col min="6904" max="6904" width="17.33203125" style="5" bestFit="1" customWidth="1"/>
    <col min="6905" max="6905" width="63.109375" style="5" bestFit="1" customWidth="1"/>
    <col min="6906" max="6906" width="43.5546875" style="5" bestFit="1" customWidth="1"/>
    <col min="6907" max="6907" width="32.44140625" style="5" bestFit="1" customWidth="1"/>
    <col min="6908" max="6908" width="22.6640625" style="5" bestFit="1" customWidth="1"/>
    <col min="6909" max="6909" width="56.5546875" style="5" bestFit="1" customWidth="1"/>
    <col min="6910" max="6910" width="39.5546875" style="5" bestFit="1" customWidth="1"/>
    <col min="6911" max="6911" width="24.6640625" style="5" bestFit="1" customWidth="1"/>
    <col min="6912" max="6912" width="61.88671875" style="5" bestFit="1" customWidth="1"/>
    <col min="6913" max="6913" width="29.33203125" style="5" bestFit="1" customWidth="1"/>
    <col min="6914" max="6914" width="29.5546875" style="5" bestFit="1" customWidth="1"/>
    <col min="6915" max="6915" width="64.33203125" style="5" bestFit="1" customWidth="1"/>
    <col min="6916" max="6916" width="37" style="5" bestFit="1" customWidth="1"/>
    <col min="6917" max="6917" width="26.109375" style="5" bestFit="1" customWidth="1"/>
    <col min="6918" max="6918" width="14.44140625" style="5" bestFit="1" customWidth="1"/>
    <col min="6919" max="6919" width="16.44140625" style="5" bestFit="1" customWidth="1"/>
    <col min="6920" max="6920" width="15.6640625" style="5" bestFit="1" customWidth="1"/>
    <col min="6921" max="6922" width="19" style="5" bestFit="1" customWidth="1"/>
    <col min="6923" max="6923" width="25.5546875" style="5" customWidth="1"/>
    <col min="6924" max="6924" width="25.44140625" style="5" customWidth="1"/>
    <col min="6925" max="7079" width="8.88671875" style="5"/>
    <col min="7080" max="7080" width="11.44140625" style="5" bestFit="1" customWidth="1"/>
    <col min="7081" max="7081" width="13.6640625" style="5" bestFit="1" customWidth="1"/>
    <col min="7082" max="7082" width="34.109375" style="5" bestFit="1" customWidth="1"/>
    <col min="7083" max="7083" width="13.44140625" style="5" customWidth="1"/>
    <col min="7084" max="7084" width="12.33203125" style="5" customWidth="1"/>
    <col min="7085" max="7085" width="10.88671875" style="5" customWidth="1"/>
    <col min="7086" max="7086" width="10.33203125" style="5" customWidth="1"/>
    <col min="7087" max="7087" width="12.44140625" style="5" customWidth="1"/>
    <col min="7088" max="7088" width="10" style="5" customWidth="1"/>
    <col min="7089" max="7089" width="10.88671875" style="5" customWidth="1"/>
    <col min="7090" max="7090" width="12.33203125" style="5" customWidth="1"/>
    <col min="7091" max="7091" width="66.5546875" style="5" customWidth="1"/>
    <col min="7092" max="7092" width="30.33203125" style="5" customWidth="1"/>
    <col min="7093" max="7093" width="25.5546875" style="5" customWidth="1"/>
    <col min="7094" max="7094" width="16.44140625" style="5" customWidth="1"/>
    <col min="7095" max="7095" width="16.109375" style="5" customWidth="1"/>
    <col min="7096" max="7096" width="19.33203125" style="5" customWidth="1"/>
    <col min="7097" max="7097" width="19.88671875" style="5" customWidth="1"/>
    <col min="7098" max="7098" width="20.88671875" style="5" customWidth="1"/>
    <col min="7099" max="7099" width="17.109375" style="5" customWidth="1"/>
    <col min="7100" max="7100" width="17" style="5" customWidth="1"/>
    <col min="7101" max="7101" width="17.6640625" style="5" customWidth="1"/>
    <col min="7102" max="7102" width="14.109375" style="5" customWidth="1"/>
    <col min="7103" max="7103" width="15.109375" style="5" customWidth="1"/>
    <col min="7104" max="7104" width="19.5546875" style="5" customWidth="1"/>
    <col min="7105" max="7105" width="20" style="5" customWidth="1"/>
    <col min="7106" max="7106" width="20.109375" style="5" customWidth="1"/>
    <col min="7107" max="7107" width="30.6640625" style="5" customWidth="1"/>
    <col min="7108" max="7108" width="26.44140625" style="5" customWidth="1"/>
    <col min="7109" max="7109" width="21.109375" style="5" customWidth="1"/>
    <col min="7110" max="7110" width="29.5546875" style="5" customWidth="1"/>
    <col min="7111" max="7111" width="10.88671875" style="5" customWidth="1"/>
    <col min="7112" max="7112" width="10.33203125" style="5" customWidth="1"/>
    <col min="7113" max="7113" width="16.33203125" style="5" customWidth="1"/>
    <col min="7114" max="7114" width="14.44140625" style="5" customWidth="1"/>
    <col min="7115" max="7115" width="25.6640625" style="5" customWidth="1"/>
    <col min="7116" max="7116" width="10.88671875" style="5" customWidth="1"/>
    <col min="7117" max="7117" width="19.5546875" style="5" customWidth="1"/>
    <col min="7118" max="7118" width="13.44140625" style="5" customWidth="1"/>
    <col min="7119" max="7119" width="15.109375" style="5" customWidth="1"/>
    <col min="7120" max="7120" width="24.88671875" style="5" customWidth="1"/>
    <col min="7121" max="7121" width="10.88671875" style="5" customWidth="1"/>
    <col min="7122" max="7122" width="13.5546875" style="5" customWidth="1"/>
    <col min="7123" max="7123" width="13.44140625" style="5" customWidth="1"/>
    <col min="7124" max="7124" width="15.109375" style="5" customWidth="1"/>
    <col min="7125" max="7125" width="16.44140625" style="5" customWidth="1"/>
    <col min="7126" max="7126" width="11.5546875" style="5" customWidth="1"/>
    <col min="7127" max="7127" width="13.44140625" style="5" customWidth="1"/>
    <col min="7128" max="7128" width="16.33203125" style="5" customWidth="1"/>
    <col min="7129" max="7129" width="45.6640625" style="5" bestFit="1" customWidth="1"/>
    <col min="7130" max="7130" width="31.6640625" style="5" bestFit="1" customWidth="1"/>
    <col min="7131" max="7131" width="18.88671875" style="5" bestFit="1" customWidth="1"/>
    <col min="7132" max="7132" width="115.44140625" style="5" bestFit="1" customWidth="1"/>
    <col min="7133" max="7133" width="26.5546875" style="5" bestFit="1" customWidth="1"/>
    <col min="7134" max="7134" width="118.109375" style="5" bestFit="1" customWidth="1"/>
    <col min="7135" max="7135" width="26.5546875" style="5" bestFit="1" customWidth="1"/>
    <col min="7136" max="7136" width="17.88671875" style="5" bestFit="1" customWidth="1"/>
    <col min="7137" max="7137" width="16" style="5" customWidth="1"/>
    <col min="7138" max="7138" width="18.88671875" style="5" bestFit="1" customWidth="1"/>
    <col min="7139" max="7139" width="22" style="5" customWidth="1"/>
    <col min="7140" max="7140" width="29.88671875" style="5" bestFit="1" customWidth="1"/>
    <col min="7141" max="7141" width="46.5546875" style="5" bestFit="1" customWidth="1"/>
    <col min="7142" max="7142" width="47.5546875" style="5" bestFit="1" customWidth="1"/>
    <col min="7143" max="7143" width="39.109375" style="5" bestFit="1" customWidth="1"/>
    <col min="7144" max="7144" width="20.6640625" style="5" bestFit="1" customWidth="1"/>
    <col min="7145" max="7145" width="17.33203125" style="5" bestFit="1" customWidth="1"/>
    <col min="7146" max="7146" width="33.109375" style="5" bestFit="1" customWidth="1"/>
    <col min="7147" max="7147" width="43.88671875" style="5" bestFit="1" customWidth="1"/>
    <col min="7148" max="7148" width="43.5546875" style="5" bestFit="1" customWidth="1"/>
    <col min="7149" max="7149" width="16.109375" style="5" bestFit="1" customWidth="1"/>
    <col min="7150" max="7150" width="17.33203125" style="5" bestFit="1" customWidth="1"/>
    <col min="7151" max="7151" width="28.6640625" style="5" bestFit="1" customWidth="1"/>
    <col min="7152" max="7152" width="44.33203125" style="5" bestFit="1" customWidth="1"/>
    <col min="7153" max="7153" width="38" style="5" bestFit="1" customWidth="1"/>
    <col min="7154" max="7154" width="16.109375" style="5" bestFit="1" customWidth="1"/>
    <col min="7155" max="7155" width="17.33203125" style="5" bestFit="1" customWidth="1"/>
    <col min="7156" max="7156" width="20.33203125" style="5" bestFit="1" customWidth="1"/>
    <col min="7157" max="7157" width="29.44140625" style="5" bestFit="1" customWidth="1"/>
    <col min="7158" max="7158" width="28.44140625" style="5" bestFit="1" customWidth="1"/>
    <col min="7159" max="7159" width="16.109375" style="5" bestFit="1" customWidth="1"/>
    <col min="7160" max="7160" width="17.33203125" style="5" bestFit="1" customWidth="1"/>
    <col min="7161" max="7161" width="63.109375" style="5" bestFit="1" customWidth="1"/>
    <col min="7162" max="7162" width="43.5546875" style="5" bestFit="1" customWidth="1"/>
    <col min="7163" max="7163" width="32.44140625" style="5" bestFit="1" customWidth="1"/>
    <col min="7164" max="7164" width="22.6640625" style="5" bestFit="1" customWidth="1"/>
    <col min="7165" max="7165" width="56.5546875" style="5" bestFit="1" customWidth="1"/>
    <col min="7166" max="7166" width="39.5546875" style="5" bestFit="1" customWidth="1"/>
    <col min="7167" max="7167" width="24.6640625" style="5" bestFit="1" customWidth="1"/>
    <col min="7168" max="7168" width="61.88671875" style="5" bestFit="1" customWidth="1"/>
    <col min="7169" max="7169" width="29.33203125" style="5" bestFit="1" customWidth="1"/>
    <col min="7170" max="7170" width="29.5546875" style="5" bestFit="1" customWidth="1"/>
    <col min="7171" max="7171" width="64.33203125" style="5" bestFit="1" customWidth="1"/>
    <col min="7172" max="7172" width="37" style="5" bestFit="1" customWidth="1"/>
    <col min="7173" max="7173" width="26.109375" style="5" bestFit="1" customWidth="1"/>
    <col min="7174" max="7174" width="14.44140625" style="5" bestFit="1" customWidth="1"/>
    <col min="7175" max="7175" width="16.44140625" style="5" bestFit="1" customWidth="1"/>
    <col min="7176" max="7176" width="15.6640625" style="5" bestFit="1" customWidth="1"/>
    <col min="7177" max="7178" width="19" style="5" bestFit="1" customWidth="1"/>
    <col min="7179" max="7179" width="25.5546875" style="5" customWidth="1"/>
    <col min="7180" max="7180" width="25.44140625" style="5" customWidth="1"/>
    <col min="7181" max="7335" width="8.88671875" style="5"/>
    <col min="7336" max="7336" width="11.44140625" style="5" bestFit="1" customWidth="1"/>
    <col min="7337" max="7337" width="13.6640625" style="5" bestFit="1" customWidth="1"/>
    <col min="7338" max="7338" width="34.109375" style="5" bestFit="1" customWidth="1"/>
    <col min="7339" max="7339" width="13.44140625" style="5" customWidth="1"/>
    <col min="7340" max="7340" width="12.33203125" style="5" customWidth="1"/>
    <col min="7341" max="7341" width="10.88671875" style="5" customWidth="1"/>
    <col min="7342" max="7342" width="10.33203125" style="5" customWidth="1"/>
    <col min="7343" max="7343" width="12.44140625" style="5" customWidth="1"/>
    <col min="7344" max="7344" width="10" style="5" customWidth="1"/>
    <col min="7345" max="7345" width="10.88671875" style="5" customWidth="1"/>
    <col min="7346" max="7346" width="12.33203125" style="5" customWidth="1"/>
    <col min="7347" max="7347" width="66.5546875" style="5" customWidth="1"/>
    <col min="7348" max="7348" width="30.33203125" style="5" customWidth="1"/>
    <col min="7349" max="7349" width="25.5546875" style="5" customWidth="1"/>
    <col min="7350" max="7350" width="16.44140625" style="5" customWidth="1"/>
    <col min="7351" max="7351" width="16.109375" style="5" customWidth="1"/>
    <col min="7352" max="7352" width="19.33203125" style="5" customWidth="1"/>
    <col min="7353" max="7353" width="19.88671875" style="5" customWidth="1"/>
    <col min="7354" max="7354" width="20.88671875" style="5" customWidth="1"/>
    <col min="7355" max="7355" width="17.109375" style="5" customWidth="1"/>
    <col min="7356" max="7356" width="17" style="5" customWidth="1"/>
    <col min="7357" max="7357" width="17.6640625" style="5" customWidth="1"/>
    <col min="7358" max="7358" width="14.109375" style="5" customWidth="1"/>
    <col min="7359" max="7359" width="15.109375" style="5" customWidth="1"/>
    <col min="7360" max="7360" width="19.5546875" style="5" customWidth="1"/>
    <col min="7361" max="7361" width="20" style="5" customWidth="1"/>
    <col min="7362" max="7362" width="20.109375" style="5" customWidth="1"/>
    <col min="7363" max="7363" width="30.6640625" style="5" customWidth="1"/>
    <col min="7364" max="7364" width="26.44140625" style="5" customWidth="1"/>
    <col min="7365" max="7365" width="21.109375" style="5" customWidth="1"/>
    <col min="7366" max="7366" width="29.5546875" style="5" customWidth="1"/>
    <col min="7367" max="7367" width="10.88671875" style="5" customWidth="1"/>
    <col min="7368" max="7368" width="10.33203125" style="5" customWidth="1"/>
    <col min="7369" max="7369" width="16.33203125" style="5" customWidth="1"/>
    <col min="7370" max="7370" width="14.44140625" style="5" customWidth="1"/>
    <col min="7371" max="7371" width="25.6640625" style="5" customWidth="1"/>
    <col min="7372" max="7372" width="10.88671875" style="5" customWidth="1"/>
    <col min="7373" max="7373" width="19.5546875" style="5" customWidth="1"/>
    <col min="7374" max="7374" width="13.44140625" style="5" customWidth="1"/>
    <col min="7375" max="7375" width="15.109375" style="5" customWidth="1"/>
    <col min="7376" max="7376" width="24.88671875" style="5" customWidth="1"/>
    <col min="7377" max="7377" width="10.88671875" style="5" customWidth="1"/>
    <col min="7378" max="7378" width="13.5546875" style="5" customWidth="1"/>
    <col min="7379" max="7379" width="13.44140625" style="5" customWidth="1"/>
    <col min="7380" max="7380" width="15.109375" style="5" customWidth="1"/>
    <col min="7381" max="7381" width="16.44140625" style="5" customWidth="1"/>
    <col min="7382" max="7382" width="11.5546875" style="5" customWidth="1"/>
    <col min="7383" max="7383" width="13.44140625" style="5" customWidth="1"/>
    <col min="7384" max="7384" width="16.33203125" style="5" customWidth="1"/>
    <col min="7385" max="7385" width="45.6640625" style="5" bestFit="1" customWidth="1"/>
    <col min="7386" max="7386" width="31.6640625" style="5" bestFit="1" customWidth="1"/>
    <col min="7387" max="7387" width="18.88671875" style="5" bestFit="1" customWidth="1"/>
    <col min="7388" max="7388" width="115.44140625" style="5" bestFit="1" customWidth="1"/>
    <col min="7389" max="7389" width="26.5546875" style="5" bestFit="1" customWidth="1"/>
    <col min="7390" max="7390" width="118.109375" style="5" bestFit="1" customWidth="1"/>
    <col min="7391" max="7391" width="26.5546875" style="5" bestFit="1" customWidth="1"/>
    <col min="7392" max="7392" width="17.88671875" style="5" bestFit="1" customWidth="1"/>
    <col min="7393" max="7393" width="16" style="5" customWidth="1"/>
    <col min="7394" max="7394" width="18.88671875" style="5" bestFit="1" customWidth="1"/>
    <col min="7395" max="7395" width="22" style="5" customWidth="1"/>
    <col min="7396" max="7396" width="29.88671875" style="5" bestFit="1" customWidth="1"/>
    <col min="7397" max="7397" width="46.5546875" style="5" bestFit="1" customWidth="1"/>
    <col min="7398" max="7398" width="47.5546875" style="5" bestFit="1" customWidth="1"/>
    <col min="7399" max="7399" width="39.109375" style="5" bestFit="1" customWidth="1"/>
    <col min="7400" max="7400" width="20.6640625" style="5" bestFit="1" customWidth="1"/>
    <col min="7401" max="7401" width="17.33203125" style="5" bestFit="1" customWidth="1"/>
    <col min="7402" max="7402" width="33.109375" style="5" bestFit="1" customWidth="1"/>
    <col min="7403" max="7403" width="43.88671875" style="5" bestFit="1" customWidth="1"/>
    <col min="7404" max="7404" width="43.5546875" style="5" bestFit="1" customWidth="1"/>
    <col min="7405" max="7405" width="16.109375" style="5" bestFit="1" customWidth="1"/>
    <col min="7406" max="7406" width="17.33203125" style="5" bestFit="1" customWidth="1"/>
    <col min="7407" max="7407" width="28.6640625" style="5" bestFit="1" customWidth="1"/>
    <col min="7408" max="7408" width="44.33203125" style="5" bestFit="1" customWidth="1"/>
    <col min="7409" max="7409" width="38" style="5" bestFit="1" customWidth="1"/>
    <col min="7410" max="7410" width="16.109375" style="5" bestFit="1" customWidth="1"/>
    <col min="7411" max="7411" width="17.33203125" style="5" bestFit="1" customWidth="1"/>
    <col min="7412" max="7412" width="20.33203125" style="5" bestFit="1" customWidth="1"/>
    <col min="7413" max="7413" width="29.44140625" style="5" bestFit="1" customWidth="1"/>
    <col min="7414" max="7414" width="28.44140625" style="5" bestFit="1" customWidth="1"/>
    <col min="7415" max="7415" width="16.109375" style="5" bestFit="1" customWidth="1"/>
    <col min="7416" max="7416" width="17.33203125" style="5" bestFit="1" customWidth="1"/>
    <col min="7417" max="7417" width="63.109375" style="5" bestFit="1" customWidth="1"/>
    <col min="7418" max="7418" width="43.5546875" style="5" bestFit="1" customWidth="1"/>
    <col min="7419" max="7419" width="32.44140625" style="5" bestFit="1" customWidth="1"/>
    <col min="7420" max="7420" width="22.6640625" style="5" bestFit="1" customWidth="1"/>
    <col min="7421" max="7421" width="56.5546875" style="5" bestFit="1" customWidth="1"/>
    <col min="7422" max="7422" width="39.5546875" style="5" bestFit="1" customWidth="1"/>
    <col min="7423" max="7423" width="24.6640625" style="5" bestFit="1" customWidth="1"/>
    <col min="7424" max="7424" width="61.88671875" style="5" bestFit="1" customWidth="1"/>
    <col min="7425" max="7425" width="29.33203125" style="5" bestFit="1" customWidth="1"/>
    <col min="7426" max="7426" width="29.5546875" style="5" bestFit="1" customWidth="1"/>
    <col min="7427" max="7427" width="64.33203125" style="5" bestFit="1" customWidth="1"/>
    <col min="7428" max="7428" width="37" style="5" bestFit="1" customWidth="1"/>
    <col min="7429" max="7429" width="26.109375" style="5" bestFit="1" customWidth="1"/>
    <col min="7430" max="7430" width="14.44140625" style="5" bestFit="1" customWidth="1"/>
    <col min="7431" max="7431" width="16.44140625" style="5" bestFit="1" customWidth="1"/>
    <col min="7432" max="7432" width="15.6640625" style="5" bestFit="1" customWidth="1"/>
    <col min="7433" max="7434" width="19" style="5" bestFit="1" customWidth="1"/>
    <col min="7435" max="7435" width="25.5546875" style="5" customWidth="1"/>
    <col min="7436" max="7436" width="25.44140625" style="5" customWidth="1"/>
    <col min="7437" max="7591" width="8.88671875" style="5"/>
    <col min="7592" max="7592" width="11.44140625" style="5" bestFit="1" customWidth="1"/>
    <col min="7593" max="7593" width="13.6640625" style="5" bestFit="1" customWidth="1"/>
    <col min="7594" max="7594" width="34.109375" style="5" bestFit="1" customWidth="1"/>
    <col min="7595" max="7595" width="13.44140625" style="5" customWidth="1"/>
    <col min="7596" max="7596" width="12.33203125" style="5" customWidth="1"/>
    <col min="7597" max="7597" width="10.88671875" style="5" customWidth="1"/>
    <col min="7598" max="7598" width="10.33203125" style="5" customWidth="1"/>
    <col min="7599" max="7599" width="12.44140625" style="5" customWidth="1"/>
    <col min="7600" max="7600" width="10" style="5" customWidth="1"/>
    <col min="7601" max="7601" width="10.88671875" style="5" customWidth="1"/>
    <col min="7602" max="7602" width="12.33203125" style="5" customWidth="1"/>
    <col min="7603" max="7603" width="66.5546875" style="5" customWidth="1"/>
    <col min="7604" max="7604" width="30.33203125" style="5" customWidth="1"/>
    <col min="7605" max="7605" width="25.5546875" style="5" customWidth="1"/>
    <col min="7606" max="7606" width="16.44140625" style="5" customWidth="1"/>
    <col min="7607" max="7607" width="16.109375" style="5" customWidth="1"/>
    <col min="7608" max="7608" width="19.33203125" style="5" customWidth="1"/>
    <col min="7609" max="7609" width="19.88671875" style="5" customWidth="1"/>
    <col min="7610" max="7610" width="20.88671875" style="5" customWidth="1"/>
    <col min="7611" max="7611" width="17.109375" style="5" customWidth="1"/>
    <col min="7612" max="7612" width="17" style="5" customWidth="1"/>
    <col min="7613" max="7613" width="17.6640625" style="5" customWidth="1"/>
    <col min="7614" max="7614" width="14.109375" style="5" customWidth="1"/>
    <col min="7615" max="7615" width="15.109375" style="5" customWidth="1"/>
    <col min="7616" max="7616" width="19.5546875" style="5" customWidth="1"/>
    <col min="7617" max="7617" width="20" style="5" customWidth="1"/>
    <col min="7618" max="7618" width="20.109375" style="5" customWidth="1"/>
    <col min="7619" max="7619" width="30.6640625" style="5" customWidth="1"/>
    <col min="7620" max="7620" width="26.44140625" style="5" customWidth="1"/>
    <col min="7621" max="7621" width="21.109375" style="5" customWidth="1"/>
    <col min="7622" max="7622" width="29.5546875" style="5" customWidth="1"/>
    <col min="7623" max="7623" width="10.88671875" style="5" customWidth="1"/>
    <col min="7624" max="7624" width="10.33203125" style="5" customWidth="1"/>
    <col min="7625" max="7625" width="16.33203125" style="5" customWidth="1"/>
    <col min="7626" max="7626" width="14.44140625" style="5" customWidth="1"/>
    <col min="7627" max="7627" width="25.6640625" style="5" customWidth="1"/>
    <col min="7628" max="7628" width="10.88671875" style="5" customWidth="1"/>
    <col min="7629" max="7629" width="19.5546875" style="5" customWidth="1"/>
    <col min="7630" max="7630" width="13.44140625" style="5" customWidth="1"/>
    <col min="7631" max="7631" width="15.109375" style="5" customWidth="1"/>
    <col min="7632" max="7632" width="24.88671875" style="5" customWidth="1"/>
    <col min="7633" max="7633" width="10.88671875" style="5" customWidth="1"/>
    <col min="7634" max="7634" width="13.5546875" style="5" customWidth="1"/>
    <col min="7635" max="7635" width="13.44140625" style="5" customWidth="1"/>
    <col min="7636" max="7636" width="15.109375" style="5" customWidth="1"/>
    <col min="7637" max="7637" width="16.44140625" style="5" customWidth="1"/>
    <col min="7638" max="7638" width="11.5546875" style="5" customWidth="1"/>
    <col min="7639" max="7639" width="13.44140625" style="5" customWidth="1"/>
    <col min="7640" max="7640" width="16.33203125" style="5" customWidth="1"/>
    <col min="7641" max="7641" width="45.6640625" style="5" bestFit="1" customWidth="1"/>
    <col min="7642" max="7642" width="31.6640625" style="5" bestFit="1" customWidth="1"/>
    <col min="7643" max="7643" width="18.88671875" style="5" bestFit="1" customWidth="1"/>
    <col min="7644" max="7644" width="115.44140625" style="5" bestFit="1" customWidth="1"/>
    <col min="7645" max="7645" width="26.5546875" style="5" bestFit="1" customWidth="1"/>
    <col min="7646" max="7646" width="118.109375" style="5" bestFit="1" customWidth="1"/>
    <col min="7647" max="7647" width="26.5546875" style="5" bestFit="1" customWidth="1"/>
    <col min="7648" max="7648" width="17.88671875" style="5" bestFit="1" customWidth="1"/>
    <col min="7649" max="7649" width="16" style="5" customWidth="1"/>
    <col min="7650" max="7650" width="18.88671875" style="5" bestFit="1" customWidth="1"/>
    <col min="7651" max="7651" width="22" style="5" customWidth="1"/>
    <col min="7652" max="7652" width="29.88671875" style="5" bestFit="1" customWidth="1"/>
    <col min="7653" max="7653" width="46.5546875" style="5" bestFit="1" customWidth="1"/>
    <col min="7654" max="7654" width="47.5546875" style="5" bestFit="1" customWidth="1"/>
    <col min="7655" max="7655" width="39.109375" style="5" bestFit="1" customWidth="1"/>
    <col min="7656" max="7656" width="20.6640625" style="5" bestFit="1" customWidth="1"/>
    <col min="7657" max="7657" width="17.33203125" style="5" bestFit="1" customWidth="1"/>
    <col min="7658" max="7658" width="33.109375" style="5" bestFit="1" customWidth="1"/>
    <col min="7659" max="7659" width="43.88671875" style="5" bestFit="1" customWidth="1"/>
    <col min="7660" max="7660" width="43.5546875" style="5" bestFit="1" customWidth="1"/>
    <col min="7661" max="7661" width="16.109375" style="5" bestFit="1" customWidth="1"/>
    <col min="7662" max="7662" width="17.33203125" style="5" bestFit="1" customWidth="1"/>
    <col min="7663" max="7663" width="28.6640625" style="5" bestFit="1" customWidth="1"/>
    <col min="7664" max="7664" width="44.33203125" style="5" bestFit="1" customWidth="1"/>
    <col min="7665" max="7665" width="38" style="5" bestFit="1" customWidth="1"/>
    <col min="7666" max="7666" width="16.109375" style="5" bestFit="1" customWidth="1"/>
    <col min="7667" max="7667" width="17.33203125" style="5" bestFit="1" customWidth="1"/>
    <col min="7668" max="7668" width="20.33203125" style="5" bestFit="1" customWidth="1"/>
    <col min="7669" max="7669" width="29.44140625" style="5" bestFit="1" customWidth="1"/>
    <col min="7670" max="7670" width="28.44140625" style="5" bestFit="1" customWidth="1"/>
    <col min="7671" max="7671" width="16.109375" style="5" bestFit="1" customWidth="1"/>
    <col min="7672" max="7672" width="17.33203125" style="5" bestFit="1" customWidth="1"/>
    <col min="7673" max="7673" width="63.109375" style="5" bestFit="1" customWidth="1"/>
    <col min="7674" max="7674" width="43.5546875" style="5" bestFit="1" customWidth="1"/>
    <col min="7675" max="7675" width="32.44140625" style="5" bestFit="1" customWidth="1"/>
    <col min="7676" max="7676" width="22.6640625" style="5" bestFit="1" customWidth="1"/>
    <col min="7677" max="7677" width="56.5546875" style="5" bestFit="1" customWidth="1"/>
    <col min="7678" max="7678" width="39.5546875" style="5" bestFit="1" customWidth="1"/>
    <col min="7679" max="7679" width="24.6640625" style="5" bestFit="1" customWidth="1"/>
    <col min="7680" max="7680" width="61.88671875" style="5" bestFit="1" customWidth="1"/>
    <col min="7681" max="7681" width="29.33203125" style="5" bestFit="1" customWidth="1"/>
    <col min="7682" max="7682" width="29.5546875" style="5" bestFit="1" customWidth="1"/>
    <col min="7683" max="7683" width="64.33203125" style="5" bestFit="1" customWidth="1"/>
    <col min="7684" max="7684" width="37" style="5" bestFit="1" customWidth="1"/>
    <col min="7685" max="7685" width="26.109375" style="5" bestFit="1" customWidth="1"/>
    <col min="7686" max="7686" width="14.44140625" style="5" bestFit="1" customWidth="1"/>
    <col min="7687" max="7687" width="16.44140625" style="5" bestFit="1" customWidth="1"/>
    <col min="7688" max="7688" width="15.6640625" style="5" bestFit="1" customWidth="1"/>
    <col min="7689" max="7690" width="19" style="5" bestFit="1" customWidth="1"/>
    <col min="7691" max="7691" width="25.5546875" style="5" customWidth="1"/>
    <col min="7692" max="7692" width="25.44140625" style="5" customWidth="1"/>
    <col min="7693" max="7847" width="8.88671875" style="5"/>
    <col min="7848" max="7848" width="11.44140625" style="5" bestFit="1" customWidth="1"/>
    <col min="7849" max="7849" width="13.6640625" style="5" bestFit="1" customWidth="1"/>
    <col min="7850" max="7850" width="34.109375" style="5" bestFit="1" customWidth="1"/>
    <col min="7851" max="7851" width="13.44140625" style="5" customWidth="1"/>
    <col min="7852" max="7852" width="12.33203125" style="5" customWidth="1"/>
    <col min="7853" max="7853" width="10.88671875" style="5" customWidth="1"/>
    <col min="7854" max="7854" width="10.33203125" style="5" customWidth="1"/>
    <col min="7855" max="7855" width="12.44140625" style="5" customWidth="1"/>
    <col min="7856" max="7856" width="10" style="5" customWidth="1"/>
    <col min="7857" max="7857" width="10.88671875" style="5" customWidth="1"/>
    <col min="7858" max="7858" width="12.33203125" style="5" customWidth="1"/>
    <col min="7859" max="7859" width="66.5546875" style="5" customWidth="1"/>
    <col min="7860" max="7860" width="30.33203125" style="5" customWidth="1"/>
    <col min="7861" max="7861" width="25.5546875" style="5" customWidth="1"/>
    <col min="7862" max="7862" width="16.44140625" style="5" customWidth="1"/>
    <col min="7863" max="7863" width="16.109375" style="5" customWidth="1"/>
    <col min="7864" max="7864" width="19.33203125" style="5" customWidth="1"/>
    <col min="7865" max="7865" width="19.88671875" style="5" customWidth="1"/>
    <col min="7866" max="7866" width="20.88671875" style="5" customWidth="1"/>
    <col min="7867" max="7867" width="17.109375" style="5" customWidth="1"/>
    <col min="7868" max="7868" width="17" style="5" customWidth="1"/>
    <col min="7869" max="7869" width="17.6640625" style="5" customWidth="1"/>
    <col min="7870" max="7870" width="14.109375" style="5" customWidth="1"/>
    <col min="7871" max="7871" width="15.109375" style="5" customWidth="1"/>
    <col min="7872" max="7872" width="19.5546875" style="5" customWidth="1"/>
    <col min="7873" max="7873" width="20" style="5" customWidth="1"/>
    <col min="7874" max="7874" width="20.109375" style="5" customWidth="1"/>
    <col min="7875" max="7875" width="30.6640625" style="5" customWidth="1"/>
    <col min="7876" max="7876" width="26.44140625" style="5" customWidth="1"/>
    <col min="7877" max="7877" width="21.109375" style="5" customWidth="1"/>
    <col min="7878" max="7878" width="29.5546875" style="5" customWidth="1"/>
    <col min="7879" max="7879" width="10.88671875" style="5" customWidth="1"/>
    <col min="7880" max="7880" width="10.33203125" style="5" customWidth="1"/>
    <col min="7881" max="7881" width="16.33203125" style="5" customWidth="1"/>
    <col min="7882" max="7882" width="14.44140625" style="5" customWidth="1"/>
    <col min="7883" max="7883" width="25.6640625" style="5" customWidth="1"/>
    <col min="7884" max="7884" width="10.88671875" style="5" customWidth="1"/>
    <col min="7885" max="7885" width="19.5546875" style="5" customWidth="1"/>
    <col min="7886" max="7886" width="13.44140625" style="5" customWidth="1"/>
    <col min="7887" max="7887" width="15.109375" style="5" customWidth="1"/>
    <col min="7888" max="7888" width="24.88671875" style="5" customWidth="1"/>
    <col min="7889" max="7889" width="10.88671875" style="5" customWidth="1"/>
    <col min="7890" max="7890" width="13.5546875" style="5" customWidth="1"/>
    <col min="7891" max="7891" width="13.44140625" style="5" customWidth="1"/>
    <col min="7892" max="7892" width="15.109375" style="5" customWidth="1"/>
    <col min="7893" max="7893" width="16.44140625" style="5" customWidth="1"/>
    <col min="7894" max="7894" width="11.5546875" style="5" customWidth="1"/>
    <col min="7895" max="7895" width="13.44140625" style="5" customWidth="1"/>
    <col min="7896" max="7896" width="16.33203125" style="5" customWidth="1"/>
    <col min="7897" max="7897" width="45.6640625" style="5" bestFit="1" customWidth="1"/>
    <col min="7898" max="7898" width="31.6640625" style="5" bestFit="1" customWidth="1"/>
    <col min="7899" max="7899" width="18.88671875" style="5" bestFit="1" customWidth="1"/>
    <col min="7900" max="7900" width="115.44140625" style="5" bestFit="1" customWidth="1"/>
    <col min="7901" max="7901" width="26.5546875" style="5" bestFit="1" customWidth="1"/>
    <col min="7902" max="7902" width="118.109375" style="5" bestFit="1" customWidth="1"/>
    <col min="7903" max="7903" width="26.5546875" style="5" bestFit="1" customWidth="1"/>
    <col min="7904" max="7904" width="17.88671875" style="5" bestFit="1" customWidth="1"/>
    <col min="7905" max="7905" width="16" style="5" customWidth="1"/>
    <col min="7906" max="7906" width="18.88671875" style="5" bestFit="1" customWidth="1"/>
    <col min="7907" max="7907" width="22" style="5" customWidth="1"/>
    <col min="7908" max="7908" width="29.88671875" style="5" bestFit="1" customWidth="1"/>
    <col min="7909" max="7909" width="46.5546875" style="5" bestFit="1" customWidth="1"/>
    <col min="7910" max="7910" width="47.5546875" style="5" bestFit="1" customWidth="1"/>
    <col min="7911" max="7911" width="39.109375" style="5" bestFit="1" customWidth="1"/>
    <col min="7912" max="7912" width="20.6640625" style="5" bestFit="1" customWidth="1"/>
    <col min="7913" max="7913" width="17.33203125" style="5" bestFit="1" customWidth="1"/>
    <col min="7914" max="7914" width="33.109375" style="5" bestFit="1" customWidth="1"/>
    <col min="7915" max="7915" width="43.88671875" style="5" bestFit="1" customWidth="1"/>
    <col min="7916" max="7916" width="43.5546875" style="5" bestFit="1" customWidth="1"/>
    <col min="7917" max="7917" width="16.109375" style="5" bestFit="1" customWidth="1"/>
    <col min="7918" max="7918" width="17.33203125" style="5" bestFit="1" customWidth="1"/>
    <col min="7919" max="7919" width="28.6640625" style="5" bestFit="1" customWidth="1"/>
    <col min="7920" max="7920" width="44.33203125" style="5" bestFit="1" customWidth="1"/>
    <col min="7921" max="7921" width="38" style="5" bestFit="1" customWidth="1"/>
    <col min="7922" max="7922" width="16.109375" style="5" bestFit="1" customWidth="1"/>
    <col min="7923" max="7923" width="17.33203125" style="5" bestFit="1" customWidth="1"/>
    <col min="7924" max="7924" width="20.33203125" style="5" bestFit="1" customWidth="1"/>
    <col min="7925" max="7925" width="29.44140625" style="5" bestFit="1" customWidth="1"/>
    <col min="7926" max="7926" width="28.44140625" style="5" bestFit="1" customWidth="1"/>
    <col min="7927" max="7927" width="16.109375" style="5" bestFit="1" customWidth="1"/>
    <col min="7928" max="7928" width="17.33203125" style="5" bestFit="1" customWidth="1"/>
    <col min="7929" max="7929" width="63.109375" style="5" bestFit="1" customWidth="1"/>
    <col min="7930" max="7930" width="43.5546875" style="5" bestFit="1" customWidth="1"/>
    <col min="7931" max="7931" width="32.44140625" style="5" bestFit="1" customWidth="1"/>
    <col min="7932" max="7932" width="22.6640625" style="5" bestFit="1" customWidth="1"/>
    <col min="7933" max="7933" width="56.5546875" style="5" bestFit="1" customWidth="1"/>
    <col min="7934" max="7934" width="39.5546875" style="5" bestFit="1" customWidth="1"/>
    <col min="7935" max="7935" width="24.6640625" style="5" bestFit="1" customWidth="1"/>
    <col min="7936" max="7936" width="61.88671875" style="5" bestFit="1" customWidth="1"/>
    <col min="7937" max="7937" width="29.33203125" style="5" bestFit="1" customWidth="1"/>
    <col min="7938" max="7938" width="29.5546875" style="5" bestFit="1" customWidth="1"/>
    <col min="7939" max="7939" width="64.33203125" style="5" bestFit="1" customWidth="1"/>
    <col min="7940" max="7940" width="37" style="5" bestFit="1" customWidth="1"/>
    <col min="7941" max="7941" width="26.109375" style="5" bestFit="1" customWidth="1"/>
    <col min="7942" max="7942" width="14.44140625" style="5" bestFit="1" customWidth="1"/>
    <col min="7943" max="7943" width="16.44140625" style="5" bestFit="1" customWidth="1"/>
    <col min="7944" max="7944" width="15.6640625" style="5" bestFit="1" customWidth="1"/>
    <col min="7945" max="7946" width="19" style="5" bestFit="1" customWidth="1"/>
    <col min="7947" max="7947" width="25.5546875" style="5" customWidth="1"/>
    <col min="7948" max="7948" width="25.44140625" style="5" customWidth="1"/>
    <col min="7949" max="8103" width="8.88671875" style="5"/>
    <col min="8104" max="8104" width="11.44140625" style="5" bestFit="1" customWidth="1"/>
    <col min="8105" max="8105" width="13.6640625" style="5" bestFit="1" customWidth="1"/>
    <col min="8106" max="8106" width="34.109375" style="5" bestFit="1" customWidth="1"/>
    <col min="8107" max="8107" width="13.44140625" style="5" customWidth="1"/>
    <col min="8108" max="8108" width="12.33203125" style="5" customWidth="1"/>
    <col min="8109" max="8109" width="10.88671875" style="5" customWidth="1"/>
    <col min="8110" max="8110" width="10.33203125" style="5" customWidth="1"/>
    <col min="8111" max="8111" width="12.44140625" style="5" customWidth="1"/>
    <col min="8112" max="8112" width="10" style="5" customWidth="1"/>
    <col min="8113" max="8113" width="10.88671875" style="5" customWidth="1"/>
    <col min="8114" max="8114" width="12.33203125" style="5" customWidth="1"/>
    <col min="8115" max="8115" width="66.5546875" style="5" customWidth="1"/>
    <col min="8116" max="8116" width="30.33203125" style="5" customWidth="1"/>
    <col min="8117" max="8117" width="25.5546875" style="5" customWidth="1"/>
    <col min="8118" max="8118" width="16.44140625" style="5" customWidth="1"/>
    <col min="8119" max="8119" width="16.109375" style="5" customWidth="1"/>
    <col min="8120" max="8120" width="19.33203125" style="5" customWidth="1"/>
    <col min="8121" max="8121" width="19.88671875" style="5" customWidth="1"/>
    <col min="8122" max="8122" width="20.88671875" style="5" customWidth="1"/>
    <col min="8123" max="8123" width="17.109375" style="5" customWidth="1"/>
    <col min="8124" max="8124" width="17" style="5" customWidth="1"/>
    <col min="8125" max="8125" width="17.6640625" style="5" customWidth="1"/>
    <col min="8126" max="8126" width="14.109375" style="5" customWidth="1"/>
    <col min="8127" max="8127" width="15.109375" style="5" customWidth="1"/>
    <col min="8128" max="8128" width="19.5546875" style="5" customWidth="1"/>
    <col min="8129" max="8129" width="20" style="5" customWidth="1"/>
    <col min="8130" max="8130" width="20.109375" style="5" customWidth="1"/>
    <col min="8131" max="8131" width="30.6640625" style="5" customWidth="1"/>
    <col min="8132" max="8132" width="26.44140625" style="5" customWidth="1"/>
    <col min="8133" max="8133" width="21.109375" style="5" customWidth="1"/>
    <col min="8134" max="8134" width="29.5546875" style="5" customWidth="1"/>
    <col min="8135" max="8135" width="10.88671875" style="5" customWidth="1"/>
    <col min="8136" max="8136" width="10.33203125" style="5" customWidth="1"/>
    <col min="8137" max="8137" width="16.33203125" style="5" customWidth="1"/>
    <col min="8138" max="8138" width="14.44140625" style="5" customWidth="1"/>
    <col min="8139" max="8139" width="25.6640625" style="5" customWidth="1"/>
    <col min="8140" max="8140" width="10.88671875" style="5" customWidth="1"/>
    <col min="8141" max="8141" width="19.5546875" style="5" customWidth="1"/>
    <col min="8142" max="8142" width="13.44140625" style="5" customWidth="1"/>
    <col min="8143" max="8143" width="15.109375" style="5" customWidth="1"/>
    <col min="8144" max="8144" width="24.88671875" style="5" customWidth="1"/>
    <col min="8145" max="8145" width="10.88671875" style="5" customWidth="1"/>
    <col min="8146" max="8146" width="13.5546875" style="5" customWidth="1"/>
    <col min="8147" max="8147" width="13.44140625" style="5" customWidth="1"/>
    <col min="8148" max="8148" width="15.109375" style="5" customWidth="1"/>
    <col min="8149" max="8149" width="16.44140625" style="5" customWidth="1"/>
    <col min="8150" max="8150" width="11.5546875" style="5" customWidth="1"/>
    <col min="8151" max="8151" width="13.44140625" style="5" customWidth="1"/>
    <col min="8152" max="8152" width="16.33203125" style="5" customWidth="1"/>
    <col min="8153" max="8153" width="45.6640625" style="5" bestFit="1" customWidth="1"/>
    <col min="8154" max="8154" width="31.6640625" style="5" bestFit="1" customWidth="1"/>
    <col min="8155" max="8155" width="18.88671875" style="5" bestFit="1" customWidth="1"/>
    <col min="8156" max="8156" width="115.44140625" style="5" bestFit="1" customWidth="1"/>
    <col min="8157" max="8157" width="26.5546875" style="5" bestFit="1" customWidth="1"/>
    <col min="8158" max="8158" width="118.109375" style="5" bestFit="1" customWidth="1"/>
    <col min="8159" max="8159" width="26.5546875" style="5" bestFit="1" customWidth="1"/>
    <col min="8160" max="8160" width="17.88671875" style="5" bestFit="1" customWidth="1"/>
    <col min="8161" max="8161" width="16" style="5" customWidth="1"/>
    <col min="8162" max="8162" width="18.88671875" style="5" bestFit="1" customWidth="1"/>
    <col min="8163" max="8163" width="22" style="5" customWidth="1"/>
    <col min="8164" max="8164" width="29.88671875" style="5" bestFit="1" customWidth="1"/>
    <col min="8165" max="8165" width="46.5546875" style="5" bestFit="1" customWidth="1"/>
    <col min="8166" max="8166" width="47.5546875" style="5" bestFit="1" customWidth="1"/>
    <col min="8167" max="8167" width="39.109375" style="5" bestFit="1" customWidth="1"/>
    <col min="8168" max="8168" width="20.6640625" style="5" bestFit="1" customWidth="1"/>
    <col min="8169" max="8169" width="17.33203125" style="5" bestFit="1" customWidth="1"/>
    <col min="8170" max="8170" width="33.109375" style="5" bestFit="1" customWidth="1"/>
    <col min="8171" max="8171" width="43.88671875" style="5" bestFit="1" customWidth="1"/>
    <col min="8172" max="8172" width="43.5546875" style="5" bestFit="1" customWidth="1"/>
    <col min="8173" max="8173" width="16.109375" style="5" bestFit="1" customWidth="1"/>
    <col min="8174" max="8174" width="17.33203125" style="5" bestFit="1" customWidth="1"/>
    <col min="8175" max="8175" width="28.6640625" style="5" bestFit="1" customWidth="1"/>
    <col min="8176" max="8176" width="44.33203125" style="5" bestFit="1" customWidth="1"/>
    <col min="8177" max="8177" width="38" style="5" bestFit="1" customWidth="1"/>
    <col min="8178" max="8178" width="16.109375" style="5" bestFit="1" customWidth="1"/>
    <col min="8179" max="8179" width="17.33203125" style="5" bestFit="1" customWidth="1"/>
    <col min="8180" max="8180" width="20.33203125" style="5" bestFit="1" customWidth="1"/>
    <col min="8181" max="8181" width="29.44140625" style="5" bestFit="1" customWidth="1"/>
    <col min="8182" max="8182" width="28.44140625" style="5" bestFit="1" customWidth="1"/>
    <col min="8183" max="8183" width="16.109375" style="5" bestFit="1" customWidth="1"/>
    <col min="8184" max="8184" width="17.33203125" style="5" bestFit="1" customWidth="1"/>
    <col min="8185" max="8185" width="63.109375" style="5" bestFit="1" customWidth="1"/>
    <col min="8186" max="8186" width="43.5546875" style="5" bestFit="1" customWidth="1"/>
    <col min="8187" max="8187" width="32.44140625" style="5" bestFit="1" customWidth="1"/>
    <col min="8188" max="8188" width="22.6640625" style="5" bestFit="1" customWidth="1"/>
    <col min="8189" max="8189" width="56.5546875" style="5" bestFit="1" customWidth="1"/>
    <col min="8190" max="8190" width="39.5546875" style="5" bestFit="1" customWidth="1"/>
    <col min="8191" max="8191" width="24.6640625" style="5" bestFit="1" customWidth="1"/>
    <col min="8192" max="8192" width="61.88671875" style="5" bestFit="1" customWidth="1"/>
    <col min="8193" max="8193" width="29.33203125" style="5" bestFit="1" customWidth="1"/>
    <col min="8194" max="8194" width="29.5546875" style="5" bestFit="1" customWidth="1"/>
    <col min="8195" max="8195" width="64.33203125" style="5" bestFit="1" customWidth="1"/>
    <col min="8196" max="8196" width="37" style="5" bestFit="1" customWidth="1"/>
    <col min="8197" max="8197" width="26.109375" style="5" bestFit="1" customWidth="1"/>
    <col min="8198" max="8198" width="14.44140625" style="5" bestFit="1" customWidth="1"/>
    <col min="8199" max="8199" width="16.44140625" style="5" bestFit="1" customWidth="1"/>
    <col min="8200" max="8200" width="15.6640625" style="5" bestFit="1" customWidth="1"/>
    <col min="8201" max="8202" width="19" style="5" bestFit="1" customWidth="1"/>
    <col min="8203" max="8203" width="25.5546875" style="5" customWidth="1"/>
    <col min="8204" max="8204" width="25.44140625" style="5" customWidth="1"/>
    <col min="8205" max="8359" width="8.88671875" style="5"/>
    <col min="8360" max="8360" width="11.44140625" style="5" bestFit="1" customWidth="1"/>
    <col min="8361" max="8361" width="13.6640625" style="5" bestFit="1" customWidth="1"/>
    <col min="8362" max="8362" width="34.109375" style="5" bestFit="1" customWidth="1"/>
    <col min="8363" max="8363" width="13.44140625" style="5" customWidth="1"/>
    <col min="8364" max="8364" width="12.33203125" style="5" customWidth="1"/>
    <col min="8365" max="8365" width="10.88671875" style="5" customWidth="1"/>
    <col min="8366" max="8366" width="10.33203125" style="5" customWidth="1"/>
    <col min="8367" max="8367" width="12.44140625" style="5" customWidth="1"/>
    <col min="8368" max="8368" width="10" style="5" customWidth="1"/>
    <col min="8369" max="8369" width="10.88671875" style="5" customWidth="1"/>
    <col min="8370" max="8370" width="12.33203125" style="5" customWidth="1"/>
    <col min="8371" max="8371" width="66.5546875" style="5" customWidth="1"/>
    <col min="8372" max="8372" width="30.33203125" style="5" customWidth="1"/>
    <col min="8373" max="8373" width="25.5546875" style="5" customWidth="1"/>
    <col min="8374" max="8374" width="16.44140625" style="5" customWidth="1"/>
    <col min="8375" max="8375" width="16.109375" style="5" customWidth="1"/>
    <col min="8376" max="8376" width="19.33203125" style="5" customWidth="1"/>
    <col min="8377" max="8377" width="19.88671875" style="5" customWidth="1"/>
    <col min="8378" max="8378" width="20.88671875" style="5" customWidth="1"/>
    <col min="8379" max="8379" width="17.109375" style="5" customWidth="1"/>
    <col min="8380" max="8380" width="17" style="5" customWidth="1"/>
    <col min="8381" max="8381" width="17.6640625" style="5" customWidth="1"/>
    <col min="8382" max="8382" width="14.109375" style="5" customWidth="1"/>
    <col min="8383" max="8383" width="15.109375" style="5" customWidth="1"/>
    <col min="8384" max="8384" width="19.5546875" style="5" customWidth="1"/>
    <col min="8385" max="8385" width="20" style="5" customWidth="1"/>
    <col min="8386" max="8386" width="20.109375" style="5" customWidth="1"/>
    <col min="8387" max="8387" width="30.6640625" style="5" customWidth="1"/>
    <col min="8388" max="8388" width="26.44140625" style="5" customWidth="1"/>
    <col min="8389" max="8389" width="21.109375" style="5" customWidth="1"/>
    <col min="8390" max="8390" width="29.5546875" style="5" customWidth="1"/>
    <col min="8391" max="8391" width="10.88671875" style="5" customWidth="1"/>
    <col min="8392" max="8392" width="10.33203125" style="5" customWidth="1"/>
    <col min="8393" max="8393" width="16.33203125" style="5" customWidth="1"/>
    <col min="8394" max="8394" width="14.44140625" style="5" customWidth="1"/>
    <col min="8395" max="8395" width="25.6640625" style="5" customWidth="1"/>
    <col min="8396" max="8396" width="10.88671875" style="5" customWidth="1"/>
    <col min="8397" max="8397" width="19.5546875" style="5" customWidth="1"/>
    <col min="8398" max="8398" width="13.44140625" style="5" customWidth="1"/>
    <col min="8399" max="8399" width="15.109375" style="5" customWidth="1"/>
    <col min="8400" max="8400" width="24.88671875" style="5" customWidth="1"/>
    <col min="8401" max="8401" width="10.88671875" style="5" customWidth="1"/>
    <col min="8402" max="8402" width="13.5546875" style="5" customWidth="1"/>
    <col min="8403" max="8403" width="13.44140625" style="5" customWidth="1"/>
    <col min="8404" max="8404" width="15.109375" style="5" customWidth="1"/>
    <col min="8405" max="8405" width="16.44140625" style="5" customWidth="1"/>
    <col min="8406" max="8406" width="11.5546875" style="5" customWidth="1"/>
    <col min="8407" max="8407" width="13.44140625" style="5" customWidth="1"/>
    <col min="8408" max="8408" width="16.33203125" style="5" customWidth="1"/>
    <col min="8409" max="8409" width="45.6640625" style="5" bestFit="1" customWidth="1"/>
    <col min="8410" max="8410" width="31.6640625" style="5" bestFit="1" customWidth="1"/>
    <col min="8411" max="8411" width="18.88671875" style="5" bestFit="1" customWidth="1"/>
    <col min="8412" max="8412" width="115.44140625" style="5" bestFit="1" customWidth="1"/>
    <col min="8413" max="8413" width="26.5546875" style="5" bestFit="1" customWidth="1"/>
    <col min="8414" max="8414" width="118.109375" style="5" bestFit="1" customWidth="1"/>
    <col min="8415" max="8415" width="26.5546875" style="5" bestFit="1" customWidth="1"/>
    <col min="8416" max="8416" width="17.88671875" style="5" bestFit="1" customWidth="1"/>
    <col min="8417" max="8417" width="16" style="5" customWidth="1"/>
    <col min="8418" max="8418" width="18.88671875" style="5" bestFit="1" customWidth="1"/>
    <col min="8419" max="8419" width="22" style="5" customWidth="1"/>
    <col min="8420" max="8420" width="29.88671875" style="5" bestFit="1" customWidth="1"/>
    <col min="8421" max="8421" width="46.5546875" style="5" bestFit="1" customWidth="1"/>
    <col min="8422" max="8422" width="47.5546875" style="5" bestFit="1" customWidth="1"/>
    <col min="8423" max="8423" width="39.109375" style="5" bestFit="1" customWidth="1"/>
    <col min="8424" max="8424" width="20.6640625" style="5" bestFit="1" customWidth="1"/>
    <col min="8425" max="8425" width="17.33203125" style="5" bestFit="1" customWidth="1"/>
    <col min="8426" max="8426" width="33.109375" style="5" bestFit="1" customWidth="1"/>
    <col min="8427" max="8427" width="43.88671875" style="5" bestFit="1" customWidth="1"/>
    <col min="8428" max="8428" width="43.5546875" style="5" bestFit="1" customWidth="1"/>
    <col min="8429" max="8429" width="16.109375" style="5" bestFit="1" customWidth="1"/>
    <col min="8430" max="8430" width="17.33203125" style="5" bestFit="1" customWidth="1"/>
    <col min="8431" max="8431" width="28.6640625" style="5" bestFit="1" customWidth="1"/>
    <col min="8432" max="8432" width="44.33203125" style="5" bestFit="1" customWidth="1"/>
    <col min="8433" max="8433" width="38" style="5" bestFit="1" customWidth="1"/>
    <col min="8434" max="8434" width="16.109375" style="5" bestFit="1" customWidth="1"/>
    <col min="8435" max="8435" width="17.33203125" style="5" bestFit="1" customWidth="1"/>
    <col min="8436" max="8436" width="20.33203125" style="5" bestFit="1" customWidth="1"/>
    <col min="8437" max="8437" width="29.44140625" style="5" bestFit="1" customWidth="1"/>
    <col min="8438" max="8438" width="28.44140625" style="5" bestFit="1" customWidth="1"/>
    <col min="8439" max="8439" width="16.109375" style="5" bestFit="1" customWidth="1"/>
    <col min="8440" max="8440" width="17.33203125" style="5" bestFit="1" customWidth="1"/>
    <col min="8441" max="8441" width="63.109375" style="5" bestFit="1" customWidth="1"/>
    <col min="8442" max="8442" width="43.5546875" style="5" bestFit="1" customWidth="1"/>
    <col min="8443" max="8443" width="32.44140625" style="5" bestFit="1" customWidth="1"/>
    <col min="8444" max="8444" width="22.6640625" style="5" bestFit="1" customWidth="1"/>
    <col min="8445" max="8445" width="56.5546875" style="5" bestFit="1" customWidth="1"/>
    <col min="8446" max="8446" width="39.5546875" style="5" bestFit="1" customWidth="1"/>
    <col min="8447" max="8447" width="24.6640625" style="5" bestFit="1" customWidth="1"/>
    <col min="8448" max="8448" width="61.88671875" style="5" bestFit="1" customWidth="1"/>
    <col min="8449" max="8449" width="29.33203125" style="5" bestFit="1" customWidth="1"/>
    <col min="8450" max="8450" width="29.5546875" style="5" bestFit="1" customWidth="1"/>
    <col min="8451" max="8451" width="64.33203125" style="5" bestFit="1" customWidth="1"/>
    <col min="8452" max="8452" width="37" style="5" bestFit="1" customWidth="1"/>
    <col min="8453" max="8453" width="26.109375" style="5" bestFit="1" customWidth="1"/>
    <col min="8454" max="8454" width="14.44140625" style="5" bestFit="1" customWidth="1"/>
    <col min="8455" max="8455" width="16.44140625" style="5" bestFit="1" customWidth="1"/>
    <col min="8456" max="8456" width="15.6640625" style="5" bestFit="1" customWidth="1"/>
    <col min="8457" max="8458" width="19" style="5" bestFit="1" customWidth="1"/>
    <col min="8459" max="8459" width="25.5546875" style="5" customWidth="1"/>
    <col min="8460" max="8460" width="25.44140625" style="5" customWidth="1"/>
    <col min="8461" max="8615" width="8.88671875" style="5"/>
    <col min="8616" max="8616" width="11.44140625" style="5" bestFit="1" customWidth="1"/>
    <col min="8617" max="8617" width="13.6640625" style="5" bestFit="1" customWidth="1"/>
    <col min="8618" max="8618" width="34.109375" style="5" bestFit="1" customWidth="1"/>
    <col min="8619" max="8619" width="13.44140625" style="5" customWidth="1"/>
    <col min="8620" max="8620" width="12.33203125" style="5" customWidth="1"/>
    <col min="8621" max="8621" width="10.88671875" style="5" customWidth="1"/>
    <col min="8622" max="8622" width="10.33203125" style="5" customWidth="1"/>
    <col min="8623" max="8623" width="12.44140625" style="5" customWidth="1"/>
    <col min="8624" max="8624" width="10" style="5" customWidth="1"/>
    <col min="8625" max="8625" width="10.88671875" style="5" customWidth="1"/>
    <col min="8626" max="8626" width="12.33203125" style="5" customWidth="1"/>
    <col min="8627" max="8627" width="66.5546875" style="5" customWidth="1"/>
    <col min="8628" max="8628" width="30.33203125" style="5" customWidth="1"/>
    <col min="8629" max="8629" width="25.5546875" style="5" customWidth="1"/>
    <col min="8630" max="8630" width="16.44140625" style="5" customWidth="1"/>
    <col min="8631" max="8631" width="16.109375" style="5" customWidth="1"/>
    <col min="8632" max="8632" width="19.33203125" style="5" customWidth="1"/>
    <col min="8633" max="8633" width="19.88671875" style="5" customWidth="1"/>
    <col min="8634" max="8634" width="20.88671875" style="5" customWidth="1"/>
    <col min="8635" max="8635" width="17.109375" style="5" customWidth="1"/>
    <col min="8636" max="8636" width="17" style="5" customWidth="1"/>
    <col min="8637" max="8637" width="17.6640625" style="5" customWidth="1"/>
    <col min="8638" max="8638" width="14.109375" style="5" customWidth="1"/>
    <col min="8639" max="8639" width="15.109375" style="5" customWidth="1"/>
    <col min="8640" max="8640" width="19.5546875" style="5" customWidth="1"/>
    <col min="8641" max="8641" width="20" style="5" customWidth="1"/>
    <col min="8642" max="8642" width="20.109375" style="5" customWidth="1"/>
    <col min="8643" max="8643" width="30.6640625" style="5" customWidth="1"/>
    <col min="8644" max="8644" width="26.44140625" style="5" customWidth="1"/>
    <col min="8645" max="8645" width="21.109375" style="5" customWidth="1"/>
    <col min="8646" max="8646" width="29.5546875" style="5" customWidth="1"/>
    <col min="8647" max="8647" width="10.88671875" style="5" customWidth="1"/>
    <col min="8648" max="8648" width="10.33203125" style="5" customWidth="1"/>
    <col min="8649" max="8649" width="16.33203125" style="5" customWidth="1"/>
    <col min="8650" max="8650" width="14.44140625" style="5" customWidth="1"/>
    <col min="8651" max="8651" width="25.6640625" style="5" customWidth="1"/>
    <col min="8652" max="8652" width="10.88671875" style="5" customWidth="1"/>
    <col min="8653" max="8653" width="19.5546875" style="5" customWidth="1"/>
    <col min="8654" max="8654" width="13.44140625" style="5" customWidth="1"/>
    <col min="8655" max="8655" width="15.109375" style="5" customWidth="1"/>
    <col min="8656" max="8656" width="24.88671875" style="5" customWidth="1"/>
    <col min="8657" max="8657" width="10.88671875" style="5" customWidth="1"/>
    <col min="8658" max="8658" width="13.5546875" style="5" customWidth="1"/>
    <col min="8659" max="8659" width="13.44140625" style="5" customWidth="1"/>
    <col min="8660" max="8660" width="15.109375" style="5" customWidth="1"/>
    <col min="8661" max="8661" width="16.44140625" style="5" customWidth="1"/>
    <col min="8662" max="8662" width="11.5546875" style="5" customWidth="1"/>
    <col min="8663" max="8663" width="13.44140625" style="5" customWidth="1"/>
    <col min="8664" max="8664" width="16.33203125" style="5" customWidth="1"/>
    <col min="8665" max="8665" width="45.6640625" style="5" bestFit="1" customWidth="1"/>
    <col min="8666" max="8666" width="31.6640625" style="5" bestFit="1" customWidth="1"/>
    <col min="8667" max="8667" width="18.88671875" style="5" bestFit="1" customWidth="1"/>
    <col min="8668" max="8668" width="115.44140625" style="5" bestFit="1" customWidth="1"/>
    <col min="8669" max="8669" width="26.5546875" style="5" bestFit="1" customWidth="1"/>
    <col min="8670" max="8670" width="118.109375" style="5" bestFit="1" customWidth="1"/>
    <col min="8671" max="8671" width="26.5546875" style="5" bestFit="1" customWidth="1"/>
    <col min="8672" max="8672" width="17.88671875" style="5" bestFit="1" customWidth="1"/>
    <col min="8673" max="8673" width="16" style="5" customWidth="1"/>
    <col min="8674" max="8674" width="18.88671875" style="5" bestFit="1" customWidth="1"/>
    <col min="8675" max="8675" width="22" style="5" customWidth="1"/>
    <col min="8676" max="8676" width="29.88671875" style="5" bestFit="1" customWidth="1"/>
    <col min="8677" max="8677" width="46.5546875" style="5" bestFit="1" customWidth="1"/>
    <col min="8678" max="8678" width="47.5546875" style="5" bestFit="1" customWidth="1"/>
    <col min="8679" max="8679" width="39.109375" style="5" bestFit="1" customWidth="1"/>
    <col min="8680" max="8680" width="20.6640625" style="5" bestFit="1" customWidth="1"/>
    <col min="8681" max="8681" width="17.33203125" style="5" bestFit="1" customWidth="1"/>
    <col min="8682" max="8682" width="33.109375" style="5" bestFit="1" customWidth="1"/>
    <col min="8683" max="8683" width="43.88671875" style="5" bestFit="1" customWidth="1"/>
    <col min="8684" max="8684" width="43.5546875" style="5" bestFit="1" customWidth="1"/>
    <col min="8685" max="8685" width="16.109375" style="5" bestFit="1" customWidth="1"/>
    <col min="8686" max="8686" width="17.33203125" style="5" bestFit="1" customWidth="1"/>
    <col min="8687" max="8687" width="28.6640625" style="5" bestFit="1" customWidth="1"/>
    <col min="8688" max="8688" width="44.33203125" style="5" bestFit="1" customWidth="1"/>
    <col min="8689" max="8689" width="38" style="5" bestFit="1" customWidth="1"/>
    <col min="8690" max="8690" width="16.109375" style="5" bestFit="1" customWidth="1"/>
    <col min="8691" max="8691" width="17.33203125" style="5" bestFit="1" customWidth="1"/>
    <col min="8692" max="8692" width="20.33203125" style="5" bestFit="1" customWidth="1"/>
    <col min="8693" max="8693" width="29.44140625" style="5" bestFit="1" customWidth="1"/>
    <col min="8694" max="8694" width="28.44140625" style="5" bestFit="1" customWidth="1"/>
    <col min="8695" max="8695" width="16.109375" style="5" bestFit="1" customWidth="1"/>
    <col min="8696" max="8696" width="17.33203125" style="5" bestFit="1" customWidth="1"/>
    <col min="8697" max="8697" width="63.109375" style="5" bestFit="1" customWidth="1"/>
    <col min="8698" max="8698" width="43.5546875" style="5" bestFit="1" customWidth="1"/>
    <col min="8699" max="8699" width="32.44140625" style="5" bestFit="1" customWidth="1"/>
    <col min="8700" max="8700" width="22.6640625" style="5" bestFit="1" customWidth="1"/>
    <col min="8701" max="8701" width="56.5546875" style="5" bestFit="1" customWidth="1"/>
    <col min="8702" max="8702" width="39.5546875" style="5" bestFit="1" customWidth="1"/>
    <col min="8703" max="8703" width="24.6640625" style="5" bestFit="1" customWidth="1"/>
    <col min="8704" max="8704" width="61.88671875" style="5" bestFit="1" customWidth="1"/>
    <col min="8705" max="8705" width="29.33203125" style="5" bestFit="1" customWidth="1"/>
    <col min="8706" max="8706" width="29.5546875" style="5" bestFit="1" customWidth="1"/>
    <col min="8707" max="8707" width="64.33203125" style="5" bestFit="1" customWidth="1"/>
    <col min="8708" max="8708" width="37" style="5" bestFit="1" customWidth="1"/>
    <col min="8709" max="8709" width="26.109375" style="5" bestFit="1" customWidth="1"/>
    <col min="8710" max="8710" width="14.44140625" style="5" bestFit="1" customWidth="1"/>
    <col min="8711" max="8711" width="16.44140625" style="5" bestFit="1" customWidth="1"/>
    <col min="8712" max="8712" width="15.6640625" style="5" bestFit="1" customWidth="1"/>
    <col min="8713" max="8714" width="19" style="5" bestFit="1" customWidth="1"/>
    <col min="8715" max="8715" width="25.5546875" style="5" customWidth="1"/>
    <col min="8716" max="8716" width="25.44140625" style="5" customWidth="1"/>
    <col min="8717" max="8871" width="8.88671875" style="5"/>
    <col min="8872" max="8872" width="11.44140625" style="5" bestFit="1" customWidth="1"/>
    <col min="8873" max="8873" width="13.6640625" style="5" bestFit="1" customWidth="1"/>
    <col min="8874" max="8874" width="34.109375" style="5" bestFit="1" customWidth="1"/>
    <col min="8875" max="8875" width="13.44140625" style="5" customWidth="1"/>
    <col min="8876" max="8876" width="12.33203125" style="5" customWidth="1"/>
    <col min="8877" max="8877" width="10.88671875" style="5" customWidth="1"/>
    <col min="8878" max="8878" width="10.33203125" style="5" customWidth="1"/>
    <col min="8879" max="8879" width="12.44140625" style="5" customWidth="1"/>
    <col min="8880" max="8880" width="10" style="5" customWidth="1"/>
    <col min="8881" max="8881" width="10.88671875" style="5" customWidth="1"/>
    <col min="8882" max="8882" width="12.33203125" style="5" customWidth="1"/>
    <col min="8883" max="8883" width="66.5546875" style="5" customWidth="1"/>
    <col min="8884" max="8884" width="30.33203125" style="5" customWidth="1"/>
    <col min="8885" max="8885" width="25.5546875" style="5" customWidth="1"/>
    <col min="8886" max="8886" width="16.44140625" style="5" customWidth="1"/>
    <col min="8887" max="8887" width="16.109375" style="5" customWidth="1"/>
    <col min="8888" max="8888" width="19.33203125" style="5" customWidth="1"/>
    <col min="8889" max="8889" width="19.88671875" style="5" customWidth="1"/>
    <col min="8890" max="8890" width="20.88671875" style="5" customWidth="1"/>
    <col min="8891" max="8891" width="17.109375" style="5" customWidth="1"/>
    <col min="8892" max="8892" width="17" style="5" customWidth="1"/>
    <col min="8893" max="8893" width="17.6640625" style="5" customWidth="1"/>
    <col min="8894" max="8894" width="14.109375" style="5" customWidth="1"/>
    <col min="8895" max="8895" width="15.109375" style="5" customWidth="1"/>
    <col min="8896" max="8896" width="19.5546875" style="5" customWidth="1"/>
    <col min="8897" max="8897" width="20" style="5" customWidth="1"/>
    <col min="8898" max="8898" width="20.109375" style="5" customWidth="1"/>
    <col min="8899" max="8899" width="30.6640625" style="5" customWidth="1"/>
    <col min="8900" max="8900" width="26.44140625" style="5" customWidth="1"/>
    <col min="8901" max="8901" width="21.109375" style="5" customWidth="1"/>
    <col min="8902" max="8902" width="29.5546875" style="5" customWidth="1"/>
    <col min="8903" max="8903" width="10.88671875" style="5" customWidth="1"/>
    <col min="8904" max="8904" width="10.33203125" style="5" customWidth="1"/>
    <col min="8905" max="8905" width="16.33203125" style="5" customWidth="1"/>
    <col min="8906" max="8906" width="14.44140625" style="5" customWidth="1"/>
    <col min="8907" max="8907" width="25.6640625" style="5" customWidth="1"/>
    <col min="8908" max="8908" width="10.88671875" style="5" customWidth="1"/>
    <col min="8909" max="8909" width="19.5546875" style="5" customWidth="1"/>
    <col min="8910" max="8910" width="13.44140625" style="5" customWidth="1"/>
    <col min="8911" max="8911" width="15.109375" style="5" customWidth="1"/>
    <col min="8912" max="8912" width="24.88671875" style="5" customWidth="1"/>
    <col min="8913" max="8913" width="10.88671875" style="5" customWidth="1"/>
    <col min="8914" max="8914" width="13.5546875" style="5" customWidth="1"/>
    <col min="8915" max="8915" width="13.44140625" style="5" customWidth="1"/>
    <col min="8916" max="8916" width="15.109375" style="5" customWidth="1"/>
    <col min="8917" max="8917" width="16.44140625" style="5" customWidth="1"/>
    <col min="8918" max="8918" width="11.5546875" style="5" customWidth="1"/>
    <col min="8919" max="8919" width="13.44140625" style="5" customWidth="1"/>
    <col min="8920" max="8920" width="16.33203125" style="5" customWidth="1"/>
    <col min="8921" max="8921" width="45.6640625" style="5" bestFit="1" customWidth="1"/>
    <col min="8922" max="8922" width="31.6640625" style="5" bestFit="1" customWidth="1"/>
    <col min="8923" max="8923" width="18.88671875" style="5" bestFit="1" customWidth="1"/>
    <col min="8924" max="8924" width="115.44140625" style="5" bestFit="1" customWidth="1"/>
    <col min="8925" max="8925" width="26.5546875" style="5" bestFit="1" customWidth="1"/>
    <col min="8926" max="8926" width="118.109375" style="5" bestFit="1" customWidth="1"/>
    <col min="8927" max="8927" width="26.5546875" style="5" bestFit="1" customWidth="1"/>
    <col min="8928" max="8928" width="17.88671875" style="5" bestFit="1" customWidth="1"/>
    <col min="8929" max="8929" width="16" style="5" customWidth="1"/>
    <col min="8930" max="8930" width="18.88671875" style="5" bestFit="1" customWidth="1"/>
    <col min="8931" max="8931" width="22" style="5" customWidth="1"/>
    <col min="8932" max="8932" width="29.88671875" style="5" bestFit="1" customWidth="1"/>
    <col min="8933" max="8933" width="46.5546875" style="5" bestFit="1" customWidth="1"/>
    <col min="8934" max="8934" width="47.5546875" style="5" bestFit="1" customWidth="1"/>
    <col min="8935" max="8935" width="39.109375" style="5" bestFit="1" customWidth="1"/>
    <col min="8936" max="8936" width="20.6640625" style="5" bestFit="1" customWidth="1"/>
    <col min="8937" max="8937" width="17.33203125" style="5" bestFit="1" customWidth="1"/>
    <col min="8938" max="8938" width="33.109375" style="5" bestFit="1" customWidth="1"/>
    <col min="8939" max="8939" width="43.88671875" style="5" bestFit="1" customWidth="1"/>
    <col min="8940" max="8940" width="43.5546875" style="5" bestFit="1" customWidth="1"/>
    <col min="8941" max="8941" width="16.109375" style="5" bestFit="1" customWidth="1"/>
    <col min="8942" max="8942" width="17.33203125" style="5" bestFit="1" customWidth="1"/>
    <col min="8943" max="8943" width="28.6640625" style="5" bestFit="1" customWidth="1"/>
    <col min="8944" max="8944" width="44.33203125" style="5" bestFit="1" customWidth="1"/>
    <col min="8945" max="8945" width="38" style="5" bestFit="1" customWidth="1"/>
    <col min="8946" max="8946" width="16.109375" style="5" bestFit="1" customWidth="1"/>
    <col min="8947" max="8947" width="17.33203125" style="5" bestFit="1" customWidth="1"/>
    <col min="8948" max="8948" width="20.33203125" style="5" bestFit="1" customWidth="1"/>
    <col min="8949" max="8949" width="29.44140625" style="5" bestFit="1" customWidth="1"/>
    <col min="8950" max="8950" width="28.44140625" style="5" bestFit="1" customWidth="1"/>
    <col min="8951" max="8951" width="16.109375" style="5" bestFit="1" customWidth="1"/>
    <col min="8952" max="8952" width="17.33203125" style="5" bestFit="1" customWidth="1"/>
    <col min="8953" max="8953" width="63.109375" style="5" bestFit="1" customWidth="1"/>
    <col min="8954" max="8954" width="43.5546875" style="5" bestFit="1" customWidth="1"/>
    <col min="8955" max="8955" width="32.44140625" style="5" bestFit="1" customWidth="1"/>
    <col min="8956" max="8956" width="22.6640625" style="5" bestFit="1" customWidth="1"/>
    <col min="8957" max="8957" width="56.5546875" style="5" bestFit="1" customWidth="1"/>
    <col min="8958" max="8958" width="39.5546875" style="5" bestFit="1" customWidth="1"/>
    <col min="8959" max="8959" width="24.6640625" style="5" bestFit="1" customWidth="1"/>
    <col min="8960" max="8960" width="61.88671875" style="5" bestFit="1" customWidth="1"/>
    <col min="8961" max="8961" width="29.33203125" style="5" bestFit="1" customWidth="1"/>
    <col min="8962" max="8962" width="29.5546875" style="5" bestFit="1" customWidth="1"/>
    <col min="8963" max="8963" width="64.33203125" style="5" bestFit="1" customWidth="1"/>
    <col min="8964" max="8964" width="37" style="5" bestFit="1" customWidth="1"/>
    <col min="8965" max="8965" width="26.109375" style="5" bestFit="1" customWidth="1"/>
    <col min="8966" max="8966" width="14.44140625" style="5" bestFit="1" customWidth="1"/>
    <col min="8967" max="8967" width="16.44140625" style="5" bestFit="1" customWidth="1"/>
    <col min="8968" max="8968" width="15.6640625" style="5" bestFit="1" customWidth="1"/>
    <col min="8969" max="8970" width="19" style="5" bestFit="1" customWidth="1"/>
    <col min="8971" max="8971" width="25.5546875" style="5" customWidth="1"/>
    <col min="8972" max="8972" width="25.44140625" style="5" customWidth="1"/>
    <col min="8973" max="9127" width="8.88671875" style="5"/>
    <col min="9128" max="9128" width="11.44140625" style="5" bestFit="1" customWidth="1"/>
    <col min="9129" max="9129" width="13.6640625" style="5" bestFit="1" customWidth="1"/>
    <col min="9130" max="9130" width="34.109375" style="5" bestFit="1" customWidth="1"/>
    <col min="9131" max="9131" width="13.44140625" style="5" customWidth="1"/>
    <col min="9132" max="9132" width="12.33203125" style="5" customWidth="1"/>
    <col min="9133" max="9133" width="10.88671875" style="5" customWidth="1"/>
    <col min="9134" max="9134" width="10.33203125" style="5" customWidth="1"/>
    <col min="9135" max="9135" width="12.44140625" style="5" customWidth="1"/>
    <col min="9136" max="9136" width="10" style="5" customWidth="1"/>
    <col min="9137" max="9137" width="10.88671875" style="5" customWidth="1"/>
    <col min="9138" max="9138" width="12.33203125" style="5" customWidth="1"/>
    <col min="9139" max="9139" width="66.5546875" style="5" customWidth="1"/>
    <col min="9140" max="9140" width="30.33203125" style="5" customWidth="1"/>
    <col min="9141" max="9141" width="25.5546875" style="5" customWidth="1"/>
    <col min="9142" max="9142" width="16.44140625" style="5" customWidth="1"/>
    <col min="9143" max="9143" width="16.109375" style="5" customWidth="1"/>
    <col min="9144" max="9144" width="19.33203125" style="5" customWidth="1"/>
    <col min="9145" max="9145" width="19.88671875" style="5" customWidth="1"/>
    <col min="9146" max="9146" width="20.88671875" style="5" customWidth="1"/>
    <col min="9147" max="9147" width="17.109375" style="5" customWidth="1"/>
    <col min="9148" max="9148" width="17" style="5" customWidth="1"/>
    <col min="9149" max="9149" width="17.6640625" style="5" customWidth="1"/>
    <col min="9150" max="9150" width="14.109375" style="5" customWidth="1"/>
    <col min="9151" max="9151" width="15.109375" style="5" customWidth="1"/>
    <col min="9152" max="9152" width="19.5546875" style="5" customWidth="1"/>
    <col min="9153" max="9153" width="20" style="5" customWidth="1"/>
    <col min="9154" max="9154" width="20.109375" style="5" customWidth="1"/>
    <col min="9155" max="9155" width="30.6640625" style="5" customWidth="1"/>
    <col min="9156" max="9156" width="26.44140625" style="5" customWidth="1"/>
    <col min="9157" max="9157" width="21.109375" style="5" customWidth="1"/>
    <col min="9158" max="9158" width="29.5546875" style="5" customWidth="1"/>
    <col min="9159" max="9159" width="10.88671875" style="5" customWidth="1"/>
    <col min="9160" max="9160" width="10.33203125" style="5" customWidth="1"/>
    <col min="9161" max="9161" width="16.33203125" style="5" customWidth="1"/>
    <col min="9162" max="9162" width="14.44140625" style="5" customWidth="1"/>
    <col min="9163" max="9163" width="25.6640625" style="5" customWidth="1"/>
    <col min="9164" max="9164" width="10.88671875" style="5" customWidth="1"/>
    <col min="9165" max="9165" width="19.5546875" style="5" customWidth="1"/>
    <col min="9166" max="9166" width="13.44140625" style="5" customWidth="1"/>
    <col min="9167" max="9167" width="15.109375" style="5" customWidth="1"/>
    <col min="9168" max="9168" width="24.88671875" style="5" customWidth="1"/>
    <col min="9169" max="9169" width="10.88671875" style="5" customWidth="1"/>
    <col min="9170" max="9170" width="13.5546875" style="5" customWidth="1"/>
    <col min="9171" max="9171" width="13.44140625" style="5" customWidth="1"/>
    <col min="9172" max="9172" width="15.109375" style="5" customWidth="1"/>
    <col min="9173" max="9173" width="16.44140625" style="5" customWidth="1"/>
    <col min="9174" max="9174" width="11.5546875" style="5" customWidth="1"/>
    <col min="9175" max="9175" width="13.44140625" style="5" customWidth="1"/>
    <col min="9176" max="9176" width="16.33203125" style="5" customWidth="1"/>
    <col min="9177" max="9177" width="45.6640625" style="5" bestFit="1" customWidth="1"/>
    <col min="9178" max="9178" width="31.6640625" style="5" bestFit="1" customWidth="1"/>
    <col min="9179" max="9179" width="18.88671875" style="5" bestFit="1" customWidth="1"/>
    <col min="9180" max="9180" width="115.44140625" style="5" bestFit="1" customWidth="1"/>
    <col min="9181" max="9181" width="26.5546875" style="5" bestFit="1" customWidth="1"/>
    <col min="9182" max="9182" width="118.109375" style="5" bestFit="1" customWidth="1"/>
    <col min="9183" max="9183" width="26.5546875" style="5" bestFit="1" customWidth="1"/>
    <col min="9184" max="9184" width="17.88671875" style="5" bestFit="1" customWidth="1"/>
    <col min="9185" max="9185" width="16" style="5" customWidth="1"/>
    <col min="9186" max="9186" width="18.88671875" style="5" bestFit="1" customWidth="1"/>
    <col min="9187" max="9187" width="22" style="5" customWidth="1"/>
    <col min="9188" max="9188" width="29.88671875" style="5" bestFit="1" customWidth="1"/>
    <col min="9189" max="9189" width="46.5546875" style="5" bestFit="1" customWidth="1"/>
    <col min="9190" max="9190" width="47.5546875" style="5" bestFit="1" customWidth="1"/>
    <col min="9191" max="9191" width="39.109375" style="5" bestFit="1" customWidth="1"/>
    <col min="9192" max="9192" width="20.6640625" style="5" bestFit="1" customWidth="1"/>
    <col min="9193" max="9193" width="17.33203125" style="5" bestFit="1" customWidth="1"/>
    <col min="9194" max="9194" width="33.109375" style="5" bestFit="1" customWidth="1"/>
    <col min="9195" max="9195" width="43.88671875" style="5" bestFit="1" customWidth="1"/>
    <col min="9196" max="9196" width="43.5546875" style="5" bestFit="1" customWidth="1"/>
    <col min="9197" max="9197" width="16.109375" style="5" bestFit="1" customWidth="1"/>
    <col min="9198" max="9198" width="17.33203125" style="5" bestFit="1" customWidth="1"/>
    <col min="9199" max="9199" width="28.6640625" style="5" bestFit="1" customWidth="1"/>
    <col min="9200" max="9200" width="44.33203125" style="5" bestFit="1" customWidth="1"/>
    <col min="9201" max="9201" width="38" style="5" bestFit="1" customWidth="1"/>
    <col min="9202" max="9202" width="16.109375" style="5" bestFit="1" customWidth="1"/>
    <col min="9203" max="9203" width="17.33203125" style="5" bestFit="1" customWidth="1"/>
    <col min="9204" max="9204" width="20.33203125" style="5" bestFit="1" customWidth="1"/>
    <col min="9205" max="9205" width="29.44140625" style="5" bestFit="1" customWidth="1"/>
    <col min="9206" max="9206" width="28.44140625" style="5" bestFit="1" customWidth="1"/>
    <col min="9207" max="9207" width="16.109375" style="5" bestFit="1" customWidth="1"/>
    <col min="9208" max="9208" width="17.33203125" style="5" bestFit="1" customWidth="1"/>
    <col min="9209" max="9209" width="63.109375" style="5" bestFit="1" customWidth="1"/>
    <col min="9210" max="9210" width="43.5546875" style="5" bestFit="1" customWidth="1"/>
    <col min="9211" max="9211" width="32.44140625" style="5" bestFit="1" customWidth="1"/>
    <col min="9212" max="9212" width="22.6640625" style="5" bestFit="1" customWidth="1"/>
    <col min="9213" max="9213" width="56.5546875" style="5" bestFit="1" customWidth="1"/>
    <col min="9214" max="9214" width="39.5546875" style="5" bestFit="1" customWidth="1"/>
    <col min="9215" max="9215" width="24.6640625" style="5" bestFit="1" customWidth="1"/>
    <col min="9216" max="9216" width="61.88671875" style="5" bestFit="1" customWidth="1"/>
    <col min="9217" max="9217" width="29.33203125" style="5" bestFit="1" customWidth="1"/>
    <col min="9218" max="9218" width="29.5546875" style="5" bestFit="1" customWidth="1"/>
    <col min="9219" max="9219" width="64.33203125" style="5" bestFit="1" customWidth="1"/>
    <col min="9220" max="9220" width="37" style="5" bestFit="1" customWidth="1"/>
    <col min="9221" max="9221" width="26.109375" style="5" bestFit="1" customWidth="1"/>
    <col min="9222" max="9222" width="14.44140625" style="5" bestFit="1" customWidth="1"/>
    <col min="9223" max="9223" width="16.44140625" style="5" bestFit="1" customWidth="1"/>
    <col min="9224" max="9224" width="15.6640625" style="5" bestFit="1" customWidth="1"/>
    <col min="9225" max="9226" width="19" style="5" bestFit="1" customWidth="1"/>
    <col min="9227" max="9227" width="25.5546875" style="5" customWidth="1"/>
    <col min="9228" max="9228" width="25.44140625" style="5" customWidth="1"/>
    <col min="9229" max="9383" width="8.88671875" style="5"/>
    <col min="9384" max="9384" width="11.44140625" style="5" bestFit="1" customWidth="1"/>
    <col min="9385" max="9385" width="13.6640625" style="5" bestFit="1" customWidth="1"/>
    <col min="9386" max="9386" width="34.109375" style="5" bestFit="1" customWidth="1"/>
    <col min="9387" max="9387" width="13.44140625" style="5" customWidth="1"/>
    <col min="9388" max="9388" width="12.33203125" style="5" customWidth="1"/>
    <col min="9389" max="9389" width="10.88671875" style="5" customWidth="1"/>
    <col min="9390" max="9390" width="10.33203125" style="5" customWidth="1"/>
    <col min="9391" max="9391" width="12.44140625" style="5" customWidth="1"/>
    <col min="9392" max="9392" width="10" style="5" customWidth="1"/>
    <col min="9393" max="9393" width="10.88671875" style="5" customWidth="1"/>
    <col min="9394" max="9394" width="12.33203125" style="5" customWidth="1"/>
    <col min="9395" max="9395" width="66.5546875" style="5" customWidth="1"/>
    <col min="9396" max="9396" width="30.33203125" style="5" customWidth="1"/>
    <col min="9397" max="9397" width="25.5546875" style="5" customWidth="1"/>
    <col min="9398" max="9398" width="16.44140625" style="5" customWidth="1"/>
    <col min="9399" max="9399" width="16.109375" style="5" customWidth="1"/>
    <col min="9400" max="9400" width="19.33203125" style="5" customWidth="1"/>
    <col min="9401" max="9401" width="19.88671875" style="5" customWidth="1"/>
    <col min="9402" max="9402" width="20.88671875" style="5" customWidth="1"/>
    <col min="9403" max="9403" width="17.109375" style="5" customWidth="1"/>
    <col min="9404" max="9404" width="17" style="5" customWidth="1"/>
    <col min="9405" max="9405" width="17.6640625" style="5" customWidth="1"/>
    <col min="9406" max="9406" width="14.109375" style="5" customWidth="1"/>
    <col min="9407" max="9407" width="15.109375" style="5" customWidth="1"/>
    <col min="9408" max="9408" width="19.5546875" style="5" customWidth="1"/>
    <col min="9409" max="9409" width="20" style="5" customWidth="1"/>
    <col min="9410" max="9410" width="20.109375" style="5" customWidth="1"/>
    <col min="9411" max="9411" width="30.6640625" style="5" customWidth="1"/>
    <col min="9412" max="9412" width="26.44140625" style="5" customWidth="1"/>
    <col min="9413" max="9413" width="21.109375" style="5" customWidth="1"/>
    <col min="9414" max="9414" width="29.5546875" style="5" customWidth="1"/>
    <col min="9415" max="9415" width="10.88671875" style="5" customWidth="1"/>
    <col min="9416" max="9416" width="10.33203125" style="5" customWidth="1"/>
    <col min="9417" max="9417" width="16.33203125" style="5" customWidth="1"/>
    <col min="9418" max="9418" width="14.44140625" style="5" customWidth="1"/>
    <col min="9419" max="9419" width="25.6640625" style="5" customWidth="1"/>
    <col min="9420" max="9420" width="10.88671875" style="5" customWidth="1"/>
    <col min="9421" max="9421" width="19.5546875" style="5" customWidth="1"/>
    <col min="9422" max="9422" width="13.44140625" style="5" customWidth="1"/>
    <col min="9423" max="9423" width="15.109375" style="5" customWidth="1"/>
    <col min="9424" max="9424" width="24.88671875" style="5" customWidth="1"/>
    <col min="9425" max="9425" width="10.88671875" style="5" customWidth="1"/>
    <col min="9426" max="9426" width="13.5546875" style="5" customWidth="1"/>
    <col min="9427" max="9427" width="13.44140625" style="5" customWidth="1"/>
    <col min="9428" max="9428" width="15.109375" style="5" customWidth="1"/>
    <col min="9429" max="9429" width="16.44140625" style="5" customWidth="1"/>
    <col min="9430" max="9430" width="11.5546875" style="5" customWidth="1"/>
    <col min="9431" max="9431" width="13.44140625" style="5" customWidth="1"/>
    <col min="9432" max="9432" width="16.33203125" style="5" customWidth="1"/>
    <col min="9433" max="9433" width="45.6640625" style="5" bestFit="1" customWidth="1"/>
    <col min="9434" max="9434" width="31.6640625" style="5" bestFit="1" customWidth="1"/>
    <col min="9435" max="9435" width="18.88671875" style="5" bestFit="1" customWidth="1"/>
    <col min="9436" max="9436" width="115.44140625" style="5" bestFit="1" customWidth="1"/>
    <col min="9437" max="9437" width="26.5546875" style="5" bestFit="1" customWidth="1"/>
    <col min="9438" max="9438" width="118.109375" style="5" bestFit="1" customWidth="1"/>
    <col min="9439" max="9439" width="26.5546875" style="5" bestFit="1" customWidth="1"/>
    <col min="9440" max="9440" width="17.88671875" style="5" bestFit="1" customWidth="1"/>
    <col min="9441" max="9441" width="16" style="5" customWidth="1"/>
    <col min="9442" max="9442" width="18.88671875" style="5" bestFit="1" customWidth="1"/>
    <col min="9443" max="9443" width="22" style="5" customWidth="1"/>
    <col min="9444" max="9444" width="29.88671875" style="5" bestFit="1" customWidth="1"/>
    <col min="9445" max="9445" width="46.5546875" style="5" bestFit="1" customWidth="1"/>
    <col min="9446" max="9446" width="47.5546875" style="5" bestFit="1" customWidth="1"/>
    <col min="9447" max="9447" width="39.109375" style="5" bestFit="1" customWidth="1"/>
    <col min="9448" max="9448" width="20.6640625" style="5" bestFit="1" customWidth="1"/>
    <col min="9449" max="9449" width="17.33203125" style="5" bestFit="1" customWidth="1"/>
    <col min="9450" max="9450" width="33.109375" style="5" bestFit="1" customWidth="1"/>
    <col min="9451" max="9451" width="43.88671875" style="5" bestFit="1" customWidth="1"/>
    <col min="9452" max="9452" width="43.5546875" style="5" bestFit="1" customWidth="1"/>
    <col min="9453" max="9453" width="16.109375" style="5" bestFit="1" customWidth="1"/>
    <col min="9454" max="9454" width="17.33203125" style="5" bestFit="1" customWidth="1"/>
    <col min="9455" max="9455" width="28.6640625" style="5" bestFit="1" customWidth="1"/>
    <col min="9456" max="9456" width="44.33203125" style="5" bestFit="1" customWidth="1"/>
    <col min="9457" max="9457" width="38" style="5" bestFit="1" customWidth="1"/>
    <col min="9458" max="9458" width="16.109375" style="5" bestFit="1" customWidth="1"/>
    <col min="9459" max="9459" width="17.33203125" style="5" bestFit="1" customWidth="1"/>
    <col min="9460" max="9460" width="20.33203125" style="5" bestFit="1" customWidth="1"/>
    <col min="9461" max="9461" width="29.44140625" style="5" bestFit="1" customWidth="1"/>
    <col min="9462" max="9462" width="28.44140625" style="5" bestFit="1" customWidth="1"/>
    <col min="9463" max="9463" width="16.109375" style="5" bestFit="1" customWidth="1"/>
    <col min="9464" max="9464" width="17.33203125" style="5" bestFit="1" customWidth="1"/>
    <col min="9465" max="9465" width="63.109375" style="5" bestFit="1" customWidth="1"/>
    <col min="9466" max="9466" width="43.5546875" style="5" bestFit="1" customWidth="1"/>
    <col min="9467" max="9467" width="32.44140625" style="5" bestFit="1" customWidth="1"/>
    <col min="9468" max="9468" width="22.6640625" style="5" bestFit="1" customWidth="1"/>
    <col min="9469" max="9469" width="56.5546875" style="5" bestFit="1" customWidth="1"/>
    <col min="9470" max="9470" width="39.5546875" style="5" bestFit="1" customWidth="1"/>
    <col min="9471" max="9471" width="24.6640625" style="5" bestFit="1" customWidth="1"/>
    <col min="9472" max="9472" width="61.88671875" style="5" bestFit="1" customWidth="1"/>
    <col min="9473" max="9473" width="29.33203125" style="5" bestFit="1" customWidth="1"/>
    <col min="9474" max="9474" width="29.5546875" style="5" bestFit="1" customWidth="1"/>
    <col min="9475" max="9475" width="64.33203125" style="5" bestFit="1" customWidth="1"/>
    <col min="9476" max="9476" width="37" style="5" bestFit="1" customWidth="1"/>
    <col min="9477" max="9477" width="26.109375" style="5" bestFit="1" customWidth="1"/>
    <col min="9478" max="9478" width="14.44140625" style="5" bestFit="1" customWidth="1"/>
    <col min="9479" max="9479" width="16.44140625" style="5" bestFit="1" customWidth="1"/>
    <col min="9480" max="9480" width="15.6640625" style="5" bestFit="1" customWidth="1"/>
    <col min="9481" max="9482" width="19" style="5" bestFit="1" customWidth="1"/>
    <col min="9483" max="9483" width="25.5546875" style="5" customWidth="1"/>
    <col min="9484" max="9484" width="25.44140625" style="5" customWidth="1"/>
    <col min="9485" max="9639" width="8.88671875" style="5"/>
    <col min="9640" max="9640" width="11.44140625" style="5" bestFit="1" customWidth="1"/>
    <col min="9641" max="9641" width="13.6640625" style="5" bestFit="1" customWidth="1"/>
    <col min="9642" max="9642" width="34.109375" style="5" bestFit="1" customWidth="1"/>
    <col min="9643" max="9643" width="13.44140625" style="5" customWidth="1"/>
    <col min="9644" max="9644" width="12.33203125" style="5" customWidth="1"/>
    <col min="9645" max="9645" width="10.88671875" style="5" customWidth="1"/>
    <col min="9646" max="9646" width="10.33203125" style="5" customWidth="1"/>
    <col min="9647" max="9647" width="12.44140625" style="5" customWidth="1"/>
    <col min="9648" max="9648" width="10" style="5" customWidth="1"/>
    <col min="9649" max="9649" width="10.88671875" style="5" customWidth="1"/>
    <col min="9650" max="9650" width="12.33203125" style="5" customWidth="1"/>
    <col min="9651" max="9651" width="66.5546875" style="5" customWidth="1"/>
    <col min="9652" max="9652" width="30.33203125" style="5" customWidth="1"/>
    <col min="9653" max="9653" width="25.5546875" style="5" customWidth="1"/>
    <col min="9654" max="9654" width="16.44140625" style="5" customWidth="1"/>
    <col min="9655" max="9655" width="16.109375" style="5" customWidth="1"/>
    <col min="9656" max="9656" width="19.33203125" style="5" customWidth="1"/>
    <col min="9657" max="9657" width="19.88671875" style="5" customWidth="1"/>
    <col min="9658" max="9658" width="20.88671875" style="5" customWidth="1"/>
    <col min="9659" max="9659" width="17.109375" style="5" customWidth="1"/>
    <col min="9660" max="9660" width="17" style="5" customWidth="1"/>
    <col min="9661" max="9661" width="17.6640625" style="5" customWidth="1"/>
    <col min="9662" max="9662" width="14.109375" style="5" customWidth="1"/>
    <col min="9663" max="9663" width="15.109375" style="5" customWidth="1"/>
    <col min="9664" max="9664" width="19.5546875" style="5" customWidth="1"/>
    <col min="9665" max="9665" width="20" style="5" customWidth="1"/>
    <col min="9666" max="9666" width="20.109375" style="5" customWidth="1"/>
    <col min="9667" max="9667" width="30.6640625" style="5" customWidth="1"/>
    <col min="9668" max="9668" width="26.44140625" style="5" customWidth="1"/>
    <col min="9669" max="9669" width="21.109375" style="5" customWidth="1"/>
    <col min="9670" max="9670" width="29.5546875" style="5" customWidth="1"/>
    <col min="9671" max="9671" width="10.88671875" style="5" customWidth="1"/>
    <col min="9672" max="9672" width="10.33203125" style="5" customWidth="1"/>
    <col min="9673" max="9673" width="16.33203125" style="5" customWidth="1"/>
    <col min="9674" max="9674" width="14.44140625" style="5" customWidth="1"/>
    <col min="9675" max="9675" width="25.6640625" style="5" customWidth="1"/>
    <col min="9676" max="9676" width="10.88671875" style="5" customWidth="1"/>
    <col min="9677" max="9677" width="19.5546875" style="5" customWidth="1"/>
    <col min="9678" max="9678" width="13.44140625" style="5" customWidth="1"/>
    <col min="9679" max="9679" width="15.109375" style="5" customWidth="1"/>
    <col min="9680" max="9680" width="24.88671875" style="5" customWidth="1"/>
    <col min="9681" max="9681" width="10.88671875" style="5" customWidth="1"/>
    <col min="9682" max="9682" width="13.5546875" style="5" customWidth="1"/>
    <col min="9683" max="9683" width="13.44140625" style="5" customWidth="1"/>
    <col min="9684" max="9684" width="15.109375" style="5" customWidth="1"/>
    <col min="9685" max="9685" width="16.44140625" style="5" customWidth="1"/>
    <col min="9686" max="9686" width="11.5546875" style="5" customWidth="1"/>
    <col min="9687" max="9687" width="13.44140625" style="5" customWidth="1"/>
    <col min="9688" max="9688" width="16.33203125" style="5" customWidth="1"/>
    <col min="9689" max="9689" width="45.6640625" style="5" bestFit="1" customWidth="1"/>
    <col min="9690" max="9690" width="31.6640625" style="5" bestFit="1" customWidth="1"/>
    <col min="9691" max="9691" width="18.88671875" style="5" bestFit="1" customWidth="1"/>
    <col min="9692" max="9692" width="115.44140625" style="5" bestFit="1" customWidth="1"/>
    <col min="9693" max="9693" width="26.5546875" style="5" bestFit="1" customWidth="1"/>
    <col min="9694" max="9694" width="118.109375" style="5" bestFit="1" customWidth="1"/>
    <col min="9695" max="9695" width="26.5546875" style="5" bestFit="1" customWidth="1"/>
    <col min="9696" max="9696" width="17.88671875" style="5" bestFit="1" customWidth="1"/>
    <col min="9697" max="9697" width="16" style="5" customWidth="1"/>
    <col min="9698" max="9698" width="18.88671875" style="5" bestFit="1" customWidth="1"/>
    <col min="9699" max="9699" width="22" style="5" customWidth="1"/>
    <col min="9700" max="9700" width="29.88671875" style="5" bestFit="1" customWidth="1"/>
    <col min="9701" max="9701" width="46.5546875" style="5" bestFit="1" customWidth="1"/>
    <col min="9702" max="9702" width="47.5546875" style="5" bestFit="1" customWidth="1"/>
    <col min="9703" max="9703" width="39.109375" style="5" bestFit="1" customWidth="1"/>
    <col min="9704" max="9704" width="20.6640625" style="5" bestFit="1" customWidth="1"/>
    <col min="9705" max="9705" width="17.33203125" style="5" bestFit="1" customWidth="1"/>
    <col min="9706" max="9706" width="33.109375" style="5" bestFit="1" customWidth="1"/>
    <col min="9707" max="9707" width="43.88671875" style="5" bestFit="1" customWidth="1"/>
    <col min="9708" max="9708" width="43.5546875" style="5" bestFit="1" customWidth="1"/>
    <col min="9709" max="9709" width="16.109375" style="5" bestFit="1" customWidth="1"/>
    <col min="9710" max="9710" width="17.33203125" style="5" bestFit="1" customWidth="1"/>
    <col min="9711" max="9711" width="28.6640625" style="5" bestFit="1" customWidth="1"/>
    <col min="9712" max="9712" width="44.33203125" style="5" bestFit="1" customWidth="1"/>
    <col min="9713" max="9713" width="38" style="5" bestFit="1" customWidth="1"/>
    <col min="9714" max="9714" width="16.109375" style="5" bestFit="1" customWidth="1"/>
    <col min="9715" max="9715" width="17.33203125" style="5" bestFit="1" customWidth="1"/>
    <col min="9716" max="9716" width="20.33203125" style="5" bestFit="1" customWidth="1"/>
    <col min="9717" max="9717" width="29.44140625" style="5" bestFit="1" customWidth="1"/>
    <col min="9718" max="9718" width="28.44140625" style="5" bestFit="1" customWidth="1"/>
    <col min="9719" max="9719" width="16.109375" style="5" bestFit="1" customWidth="1"/>
    <col min="9720" max="9720" width="17.33203125" style="5" bestFit="1" customWidth="1"/>
    <col min="9721" max="9721" width="63.109375" style="5" bestFit="1" customWidth="1"/>
    <col min="9722" max="9722" width="43.5546875" style="5" bestFit="1" customWidth="1"/>
    <col min="9723" max="9723" width="32.44140625" style="5" bestFit="1" customWidth="1"/>
    <col min="9724" max="9724" width="22.6640625" style="5" bestFit="1" customWidth="1"/>
    <col min="9725" max="9725" width="56.5546875" style="5" bestFit="1" customWidth="1"/>
    <col min="9726" max="9726" width="39.5546875" style="5" bestFit="1" customWidth="1"/>
    <col min="9727" max="9727" width="24.6640625" style="5" bestFit="1" customWidth="1"/>
    <col min="9728" max="9728" width="61.88671875" style="5" bestFit="1" customWidth="1"/>
    <col min="9729" max="9729" width="29.33203125" style="5" bestFit="1" customWidth="1"/>
    <col min="9730" max="9730" width="29.5546875" style="5" bestFit="1" customWidth="1"/>
    <col min="9731" max="9731" width="64.33203125" style="5" bestFit="1" customWidth="1"/>
    <col min="9732" max="9732" width="37" style="5" bestFit="1" customWidth="1"/>
    <col min="9733" max="9733" width="26.109375" style="5" bestFit="1" customWidth="1"/>
    <col min="9734" max="9734" width="14.44140625" style="5" bestFit="1" customWidth="1"/>
    <col min="9735" max="9735" width="16.44140625" style="5" bestFit="1" customWidth="1"/>
    <col min="9736" max="9736" width="15.6640625" style="5" bestFit="1" customWidth="1"/>
    <col min="9737" max="9738" width="19" style="5" bestFit="1" customWidth="1"/>
    <col min="9739" max="9739" width="25.5546875" style="5" customWidth="1"/>
    <col min="9740" max="9740" width="25.44140625" style="5" customWidth="1"/>
    <col min="9741" max="9895" width="8.88671875" style="5"/>
    <col min="9896" max="9896" width="11.44140625" style="5" bestFit="1" customWidth="1"/>
    <col min="9897" max="9897" width="13.6640625" style="5" bestFit="1" customWidth="1"/>
    <col min="9898" max="9898" width="34.109375" style="5" bestFit="1" customWidth="1"/>
    <col min="9899" max="9899" width="13.44140625" style="5" customWidth="1"/>
    <col min="9900" max="9900" width="12.33203125" style="5" customWidth="1"/>
    <col min="9901" max="9901" width="10.88671875" style="5" customWidth="1"/>
    <col min="9902" max="9902" width="10.33203125" style="5" customWidth="1"/>
    <col min="9903" max="9903" width="12.44140625" style="5" customWidth="1"/>
    <col min="9904" max="9904" width="10" style="5" customWidth="1"/>
    <col min="9905" max="9905" width="10.88671875" style="5" customWidth="1"/>
    <col min="9906" max="9906" width="12.33203125" style="5" customWidth="1"/>
    <col min="9907" max="9907" width="66.5546875" style="5" customWidth="1"/>
    <col min="9908" max="9908" width="30.33203125" style="5" customWidth="1"/>
    <col min="9909" max="9909" width="25.5546875" style="5" customWidth="1"/>
    <col min="9910" max="9910" width="16.44140625" style="5" customWidth="1"/>
    <col min="9911" max="9911" width="16.109375" style="5" customWidth="1"/>
    <col min="9912" max="9912" width="19.33203125" style="5" customWidth="1"/>
    <col min="9913" max="9913" width="19.88671875" style="5" customWidth="1"/>
    <col min="9914" max="9914" width="20.88671875" style="5" customWidth="1"/>
    <col min="9915" max="9915" width="17.109375" style="5" customWidth="1"/>
    <col min="9916" max="9916" width="17" style="5" customWidth="1"/>
    <col min="9917" max="9917" width="17.6640625" style="5" customWidth="1"/>
    <col min="9918" max="9918" width="14.109375" style="5" customWidth="1"/>
    <col min="9919" max="9919" width="15.109375" style="5" customWidth="1"/>
    <col min="9920" max="9920" width="19.5546875" style="5" customWidth="1"/>
    <col min="9921" max="9921" width="20" style="5" customWidth="1"/>
    <col min="9922" max="9922" width="20.109375" style="5" customWidth="1"/>
    <col min="9923" max="9923" width="30.6640625" style="5" customWidth="1"/>
    <col min="9924" max="9924" width="26.44140625" style="5" customWidth="1"/>
    <col min="9925" max="9925" width="21.109375" style="5" customWidth="1"/>
    <col min="9926" max="9926" width="29.5546875" style="5" customWidth="1"/>
    <col min="9927" max="9927" width="10.88671875" style="5" customWidth="1"/>
    <col min="9928" max="9928" width="10.33203125" style="5" customWidth="1"/>
    <col min="9929" max="9929" width="16.33203125" style="5" customWidth="1"/>
    <col min="9930" max="9930" width="14.44140625" style="5" customWidth="1"/>
    <col min="9931" max="9931" width="25.6640625" style="5" customWidth="1"/>
    <col min="9932" max="9932" width="10.88671875" style="5" customWidth="1"/>
    <col min="9933" max="9933" width="19.5546875" style="5" customWidth="1"/>
    <col min="9934" max="9934" width="13.44140625" style="5" customWidth="1"/>
    <col min="9935" max="9935" width="15.109375" style="5" customWidth="1"/>
    <col min="9936" max="9936" width="24.88671875" style="5" customWidth="1"/>
    <col min="9937" max="9937" width="10.88671875" style="5" customWidth="1"/>
    <col min="9938" max="9938" width="13.5546875" style="5" customWidth="1"/>
    <col min="9939" max="9939" width="13.44140625" style="5" customWidth="1"/>
    <col min="9940" max="9940" width="15.109375" style="5" customWidth="1"/>
    <col min="9941" max="9941" width="16.44140625" style="5" customWidth="1"/>
    <col min="9942" max="9942" width="11.5546875" style="5" customWidth="1"/>
    <col min="9943" max="9943" width="13.44140625" style="5" customWidth="1"/>
    <col min="9944" max="9944" width="16.33203125" style="5" customWidth="1"/>
    <col min="9945" max="9945" width="45.6640625" style="5" bestFit="1" customWidth="1"/>
    <col min="9946" max="9946" width="31.6640625" style="5" bestFit="1" customWidth="1"/>
    <col min="9947" max="9947" width="18.88671875" style="5" bestFit="1" customWidth="1"/>
    <col min="9948" max="9948" width="115.44140625" style="5" bestFit="1" customWidth="1"/>
    <col min="9949" max="9949" width="26.5546875" style="5" bestFit="1" customWidth="1"/>
    <col min="9950" max="9950" width="118.109375" style="5" bestFit="1" customWidth="1"/>
    <col min="9951" max="9951" width="26.5546875" style="5" bestFit="1" customWidth="1"/>
    <col min="9952" max="9952" width="17.88671875" style="5" bestFit="1" customWidth="1"/>
    <col min="9953" max="9953" width="16" style="5" customWidth="1"/>
    <col min="9954" max="9954" width="18.88671875" style="5" bestFit="1" customWidth="1"/>
    <col min="9955" max="9955" width="22" style="5" customWidth="1"/>
    <col min="9956" max="9956" width="29.88671875" style="5" bestFit="1" customWidth="1"/>
    <col min="9957" max="9957" width="46.5546875" style="5" bestFit="1" customWidth="1"/>
    <col min="9958" max="9958" width="47.5546875" style="5" bestFit="1" customWidth="1"/>
    <col min="9959" max="9959" width="39.109375" style="5" bestFit="1" customWidth="1"/>
    <col min="9960" max="9960" width="20.6640625" style="5" bestFit="1" customWidth="1"/>
    <col min="9961" max="9961" width="17.33203125" style="5" bestFit="1" customWidth="1"/>
    <col min="9962" max="9962" width="33.109375" style="5" bestFit="1" customWidth="1"/>
    <col min="9963" max="9963" width="43.88671875" style="5" bestFit="1" customWidth="1"/>
    <col min="9964" max="9964" width="43.5546875" style="5" bestFit="1" customWidth="1"/>
    <col min="9965" max="9965" width="16.109375" style="5" bestFit="1" customWidth="1"/>
    <col min="9966" max="9966" width="17.33203125" style="5" bestFit="1" customWidth="1"/>
    <col min="9967" max="9967" width="28.6640625" style="5" bestFit="1" customWidth="1"/>
    <col min="9968" max="9968" width="44.33203125" style="5" bestFit="1" customWidth="1"/>
    <col min="9969" max="9969" width="38" style="5" bestFit="1" customWidth="1"/>
    <col min="9970" max="9970" width="16.109375" style="5" bestFit="1" customWidth="1"/>
    <col min="9971" max="9971" width="17.33203125" style="5" bestFit="1" customWidth="1"/>
    <col min="9972" max="9972" width="20.33203125" style="5" bestFit="1" customWidth="1"/>
    <col min="9973" max="9973" width="29.44140625" style="5" bestFit="1" customWidth="1"/>
    <col min="9974" max="9974" width="28.44140625" style="5" bestFit="1" customWidth="1"/>
    <col min="9975" max="9975" width="16.109375" style="5" bestFit="1" customWidth="1"/>
    <col min="9976" max="9976" width="17.33203125" style="5" bestFit="1" customWidth="1"/>
    <col min="9977" max="9977" width="63.109375" style="5" bestFit="1" customWidth="1"/>
    <col min="9978" max="9978" width="43.5546875" style="5" bestFit="1" customWidth="1"/>
    <col min="9979" max="9979" width="32.44140625" style="5" bestFit="1" customWidth="1"/>
    <col min="9980" max="9980" width="22.6640625" style="5" bestFit="1" customWidth="1"/>
    <col min="9981" max="9981" width="56.5546875" style="5" bestFit="1" customWidth="1"/>
    <col min="9982" max="9982" width="39.5546875" style="5" bestFit="1" customWidth="1"/>
    <col min="9983" max="9983" width="24.6640625" style="5" bestFit="1" customWidth="1"/>
    <col min="9984" max="9984" width="61.88671875" style="5" bestFit="1" customWidth="1"/>
    <col min="9985" max="9985" width="29.33203125" style="5" bestFit="1" customWidth="1"/>
    <col min="9986" max="9986" width="29.5546875" style="5" bestFit="1" customWidth="1"/>
    <col min="9987" max="9987" width="64.33203125" style="5" bestFit="1" customWidth="1"/>
    <col min="9988" max="9988" width="37" style="5" bestFit="1" customWidth="1"/>
    <col min="9989" max="9989" width="26.109375" style="5" bestFit="1" customWidth="1"/>
    <col min="9990" max="9990" width="14.44140625" style="5" bestFit="1" customWidth="1"/>
    <col min="9991" max="9991" width="16.44140625" style="5" bestFit="1" customWidth="1"/>
    <col min="9992" max="9992" width="15.6640625" style="5" bestFit="1" customWidth="1"/>
    <col min="9993" max="9994" width="19" style="5" bestFit="1" customWidth="1"/>
    <col min="9995" max="9995" width="25.5546875" style="5" customWidth="1"/>
    <col min="9996" max="9996" width="25.44140625" style="5" customWidth="1"/>
    <col min="9997" max="10151" width="8.88671875" style="5"/>
    <col min="10152" max="10152" width="11.44140625" style="5" bestFit="1" customWidth="1"/>
    <col min="10153" max="10153" width="13.6640625" style="5" bestFit="1" customWidth="1"/>
    <col min="10154" max="10154" width="34.109375" style="5" bestFit="1" customWidth="1"/>
    <col min="10155" max="10155" width="13.44140625" style="5" customWidth="1"/>
    <col min="10156" max="10156" width="12.33203125" style="5" customWidth="1"/>
    <col min="10157" max="10157" width="10.88671875" style="5" customWidth="1"/>
    <col min="10158" max="10158" width="10.33203125" style="5" customWidth="1"/>
    <col min="10159" max="10159" width="12.44140625" style="5" customWidth="1"/>
    <col min="10160" max="10160" width="10" style="5" customWidth="1"/>
    <col min="10161" max="10161" width="10.88671875" style="5" customWidth="1"/>
    <col min="10162" max="10162" width="12.33203125" style="5" customWidth="1"/>
    <col min="10163" max="10163" width="66.5546875" style="5" customWidth="1"/>
    <col min="10164" max="10164" width="30.33203125" style="5" customWidth="1"/>
    <col min="10165" max="10165" width="25.5546875" style="5" customWidth="1"/>
    <col min="10166" max="10166" width="16.44140625" style="5" customWidth="1"/>
    <col min="10167" max="10167" width="16.109375" style="5" customWidth="1"/>
    <col min="10168" max="10168" width="19.33203125" style="5" customWidth="1"/>
    <col min="10169" max="10169" width="19.88671875" style="5" customWidth="1"/>
    <col min="10170" max="10170" width="20.88671875" style="5" customWidth="1"/>
    <col min="10171" max="10171" width="17.109375" style="5" customWidth="1"/>
    <col min="10172" max="10172" width="17" style="5" customWidth="1"/>
    <col min="10173" max="10173" width="17.6640625" style="5" customWidth="1"/>
    <col min="10174" max="10174" width="14.109375" style="5" customWidth="1"/>
    <col min="10175" max="10175" width="15.109375" style="5" customWidth="1"/>
    <col min="10176" max="10176" width="19.5546875" style="5" customWidth="1"/>
    <col min="10177" max="10177" width="20" style="5" customWidth="1"/>
    <col min="10178" max="10178" width="20.109375" style="5" customWidth="1"/>
    <col min="10179" max="10179" width="30.6640625" style="5" customWidth="1"/>
    <col min="10180" max="10180" width="26.44140625" style="5" customWidth="1"/>
    <col min="10181" max="10181" width="21.109375" style="5" customWidth="1"/>
    <col min="10182" max="10182" width="29.5546875" style="5" customWidth="1"/>
    <col min="10183" max="10183" width="10.88671875" style="5" customWidth="1"/>
    <col min="10184" max="10184" width="10.33203125" style="5" customWidth="1"/>
    <col min="10185" max="10185" width="16.33203125" style="5" customWidth="1"/>
    <col min="10186" max="10186" width="14.44140625" style="5" customWidth="1"/>
    <col min="10187" max="10187" width="25.6640625" style="5" customWidth="1"/>
    <col min="10188" max="10188" width="10.88671875" style="5" customWidth="1"/>
    <col min="10189" max="10189" width="19.5546875" style="5" customWidth="1"/>
    <col min="10190" max="10190" width="13.44140625" style="5" customWidth="1"/>
    <col min="10191" max="10191" width="15.109375" style="5" customWidth="1"/>
    <col min="10192" max="10192" width="24.88671875" style="5" customWidth="1"/>
    <col min="10193" max="10193" width="10.88671875" style="5" customWidth="1"/>
    <col min="10194" max="10194" width="13.5546875" style="5" customWidth="1"/>
    <col min="10195" max="10195" width="13.44140625" style="5" customWidth="1"/>
    <col min="10196" max="10196" width="15.109375" style="5" customWidth="1"/>
    <col min="10197" max="10197" width="16.44140625" style="5" customWidth="1"/>
    <col min="10198" max="10198" width="11.5546875" style="5" customWidth="1"/>
    <col min="10199" max="10199" width="13.44140625" style="5" customWidth="1"/>
    <col min="10200" max="10200" width="16.33203125" style="5" customWidth="1"/>
    <col min="10201" max="10201" width="45.6640625" style="5" bestFit="1" customWidth="1"/>
    <col min="10202" max="10202" width="31.6640625" style="5" bestFit="1" customWidth="1"/>
    <col min="10203" max="10203" width="18.88671875" style="5" bestFit="1" customWidth="1"/>
    <col min="10204" max="10204" width="115.44140625" style="5" bestFit="1" customWidth="1"/>
    <col min="10205" max="10205" width="26.5546875" style="5" bestFit="1" customWidth="1"/>
    <col min="10206" max="10206" width="118.109375" style="5" bestFit="1" customWidth="1"/>
    <col min="10207" max="10207" width="26.5546875" style="5" bestFit="1" customWidth="1"/>
    <col min="10208" max="10208" width="17.88671875" style="5" bestFit="1" customWidth="1"/>
    <col min="10209" max="10209" width="16" style="5" customWidth="1"/>
    <col min="10210" max="10210" width="18.88671875" style="5" bestFit="1" customWidth="1"/>
    <col min="10211" max="10211" width="22" style="5" customWidth="1"/>
    <col min="10212" max="10212" width="29.88671875" style="5" bestFit="1" customWidth="1"/>
    <col min="10213" max="10213" width="46.5546875" style="5" bestFit="1" customWidth="1"/>
    <col min="10214" max="10214" width="47.5546875" style="5" bestFit="1" customWidth="1"/>
    <col min="10215" max="10215" width="39.109375" style="5" bestFit="1" customWidth="1"/>
    <col min="10216" max="10216" width="20.6640625" style="5" bestFit="1" customWidth="1"/>
    <col min="10217" max="10217" width="17.33203125" style="5" bestFit="1" customWidth="1"/>
    <col min="10218" max="10218" width="33.109375" style="5" bestFit="1" customWidth="1"/>
    <col min="10219" max="10219" width="43.88671875" style="5" bestFit="1" customWidth="1"/>
    <col min="10220" max="10220" width="43.5546875" style="5" bestFit="1" customWidth="1"/>
    <col min="10221" max="10221" width="16.109375" style="5" bestFit="1" customWidth="1"/>
    <col min="10222" max="10222" width="17.33203125" style="5" bestFit="1" customWidth="1"/>
    <col min="10223" max="10223" width="28.6640625" style="5" bestFit="1" customWidth="1"/>
    <col min="10224" max="10224" width="44.33203125" style="5" bestFit="1" customWidth="1"/>
    <col min="10225" max="10225" width="38" style="5" bestFit="1" customWidth="1"/>
    <col min="10226" max="10226" width="16.109375" style="5" bestFit="1" customWidth="1"/>
    <col min="10227" max="10227" width="17.33203125" style="5" bestFit="1" customWidth="1"/>
    <col min="10228" max="10228" width="20.33203125" style="5" bestFit="1" customWidth="1"/>
    <col min="10229" max="10229" width="29.44140625" style="5" bestFit="1" customWidth="1"/>
    <col min="10230" max="10230" width="28.44140625" style="5" bestFit="1" customWidth="1"/>
    <col min="10231" max="10231" width="16.109375" style="5" bestFit="1" customWidth="1"/>
    <col min="10232" max="10232" width="17.33203125" style="5" bestFit="1" customWidth="1"/>
    <col min="10233" max="10233" width="63.109375" style="5" bestFit="1" customWidth="1"/>
    <col min="10234" max="10234" width="43.5546875" style="5" bestFit="1" customWidth="1"/>
    <col min="10235" max="10235" width="32.44140625" style="5" bestFit="1" customWidth="1"/>
    <col min="10236" max="10236" width="22.6640625" style="5" bestFit="1" customWidth="1"/>
    <col min="10237" max="10237" width="56.5546875" style="5" bestFit="1" customWidth="1"/>
    <col min="10238" max="10238" width="39.5546875" style="5" bestFit="1" customWidth="1"/>
    <col min="10239" max="10239" width="24.6640625" style="5" bestFit="1" customWidth="1"/>
    <col min="10240" max="10240" width="61.88671875" style="5" bestFit="1" customWidth="1"/>
    <col min="10241" max="10241" width="29.33203125" style="5" bestFit="1" customWidth="1"/>
    <col min="10242" max="10242" width="29.5546875" style="5" bestFit="1" customWidth="1"/>
    <col min="10243" max="10243" width="64.33203125" style="5" bestFit="1" customWidth="1"/>
    <col min="10244" max="10244" width="37" style="5" bestFit="1" customWidth="1"/>
    <col min="10245" max="10245" width="26.109375" style="5" bestFit="1" customWidth="1"/>
    <col min="10246" max="10246" width="14.44140625" style="5" bestFit="1" customWidth="1"/>
    <col min="10247" max="10247" width="16.44140625" style="5" bestFit="1" customWidth="1"/>
    <col min="10248" max="10248" width="15.6640625" style="5" bestFit="1" customWidth="1"/>
    <col min="10249" max="10250" width="19" style="5" bestFit="1" customWidth="1"/>
    <col min="10251" max="10251" width="25.5546875" style="5" customWidth="1"/>
    <col min="10252" max="10252" width="25.44140625" style="5" customWidth="1"/>
    <col min="10253" max="10407" width="8.88671875" style="5"/>
    <col min="10408" max="10408" width="11.44140625" style="5" bestFit="1" customWidth="1"/>
    <col min="10409" max="10409" width="13.6640625" style="5" bestFit="1" customWidth="1"/>
    <col min="10410" max="10410" width="34.109375" style="5" bestFit="1" customWidth="1"/>
    <col min="10411" max="10411" width="13.44140625" style="5" customWidth="1"/>
    <col min="10412" max="10412" width="12.33203125" style="5" customWidth="1"/>
    <col min="10413" max="10413" width="10.88671875" style="5" customWidth="1"/>
    <col min="10414" max="10414" width="10.33203125" style="5" customWidth="1"/>
    <col min="10415" max="10415" width="12.44140625" style="5" customWidth="1"/>
    <col min="10416" max="10416" width="10" style="5" customWidth="1"/>
    <col min="10417" max="10417" width="10.88671875" style="5" customWidth="1"/>
    <col min="10418" max="10418" width="12.33203125" style="5" customWidth="1"/>
    <col min="10419" max="10419" width="66.5546875" style="5" customWidth="1"/>
    <col min="10420" max="10420" width="30.33203125" style="5" customWidth="1"/>
    <col min="10421" max="10421" width="25.5546875" style="5" customWidth="1"/>
    <col min="10422" max="10422" width="16.44140625" style="5" customWidth="1"/>
    <col min="10423" max="10423" width="16.109375" style="5" customWidth="1"/>
    <col min="10424" max="10424" width="19.33203125" style="5" customWidth="1"/>
    <col min="10425" max="10425" width="19.88671875" style="5" customWidth="1"/>
    <col min="10426" max="10426" width="20.88671875" style="5" customWidth="1"/>
    <col min="10427" max="10427" width="17.109375" style="5" customWidth="1"/>
    <col min="10428" max="10428" width="17" style="5" customWidth="1"/>
    <col min="10429" max="10429" width="17.6640625" style="5" customWidth="1"/>
    <col min="10430" max="10430" width="14.109375" style="5" customWidth="1"/>
    <col min="10431" max="10431" width="15.109375" style="5" customWidth="1"/>
    <col min="10432" max="10432" width="19.5546875" style="5" customWidth="1"/>
    <col min="10433" max="10433" width="20" style="5" customWidth="1"/>
    <col min="10434" max="10434" width="20.109375" style="5" customWidth="1"/>
    <col min="10435" max="10435" width="30.6640625" style="5" customWidth="1"/>
    <col min="10436" max="10436" width="26.44140625" style="5" customWidth="1"/>
    <col min="10437" max="10437" width="21.109375" style="5" customWidth="1"/>
    <col min="10438" max="10438" width="29.5546875" style="5" customWidth="1"/>
    <col min="10439" max="10439" width="10.88671875" style="5" customWidth="1"/>
    <col min="10440" max="10440" width="10.33203125" style="5" customWidth="1"/>
    <col min="10441" max="10441" width="16.33203125" style="5" customWidth="1"/>
    <col min="10442" max="10442" width="14.44140625" style="5" customWidth="1"/>
    <col min="10443" max="10443" width="25.6640625" style="5" customWidth="1"/>
    <col min="10444" max="10444" width="10.88671875" style="5" customWidth="1"/>
    <col min="10445" max="10445" width="19.5546875" style="5" customWidth="1"/>
    <col min="10446" max="10446" width="13.44140625" style="5" customWidth="1"/>
    <col min="10447" max="10447" width="15.109375" style="5" customWidth="1"/>
    <col min="10448" max="10448" width="24.88671875" style="5" customWidth="1"/>
    <col min="10449" max="10449" width="10.88671875" style="5" customWidth="1"/>
    <col min="10450" max="10450" width="13.5546875" style="5" customWidth="1"/>
    <col min="10451" max="10451" width="13.44140625" style="5" customWidth="1"/>
    <col min="10452" max="10452" width="15.109375" style="5" customWidth="1"/>
    <col min="10453" max="10453" width="16.44140625" style="5" customWidth="1"/>
    <col min="10454" max="10454" width="11.5546875" style="5" customWidth="1"/>
    <col min="10455" max="10455" width="13.44140625" style="5" customWidth="1"/>
    <col min="10456" max="10456" width="16.33203125" style="5" customWidth="1"/>
    <col min="10457" max="10457" width="45.6640625" style="5" bestFit="1" customWidth="1"/>
    <col min="10458" max="10458" width="31.6640625" style="5" bestFit="1" customWidth="1"/>
    <col min="10459" max="10459" width="18.88671875" style="5" bestFit="1" customWidth="1"/>
    <col min="10460" max="10460" width="115.44140625" style="5" bestFit="1" customWidth="1"/>
    <col min="10461" max="10461" width="26.5546875" style="5" bestFit="1" customWidth="1"/>
    <col min="10462" max="10462" width="118.109375" style="5" bestFit="1" customWidth="1"/>
    <col min="10463" max="10463" width="26.5546875" style="5" bestFit="1" customWidth="1"/>
    <col min="10464" max="10464" width="17.88671875" style="5" bestFit="1" customWidth="1"/>
    <col min="10465" max="10465" width="16" style="5" customWidth="1"/>
    <col min="10466" max="10466" width="18.88671875" style="5" bestFit="1" customWidth="1"/>
    <col min="10467" max="10467" width="22" style="5" customWidth="1"/>
    <col min="10468" max="10468" width="29.88671875" style="5" bestFit="1" customWidth="1"/>
    <col min="10469" max="10469" width="46.5546875" style="5" bestFit="1" customWidth="1"/>
    <col min="10470" max="10470" width="47.5546875" style="5" bestFit="1" customWidth="1"/>
    <col min="10471" max="10471" width="39.109375" style="5" bestFit="1" customWidth="1"/>
    <col min="10472" max="10472" width="20.6640625" style="5" bestFit="1" customWidth="1"/>
    <col min="10473" max="10473" width="17.33203125" style="5" bestFit="1" customWidth="1"/>
    <col min="10474" max="10474" width="33.109375" style="5" bestFit="1" customWidth="1"/>
    <col min="10475" max="10475" width="43.88671875" style="5" bestFit="1" customWidth="1"/>
    <col min="10476" max="10476" width="43.5546875" style="5" bestFit="1" customWidth="1"/>
    <col min="10477" max="10477" width="16.109375" style="5" bestFit="1" customWidth="1"/>
    <col min="10478" max="10478" width="17.33203125" style="5" bestFit="1" customWidth="1"/>
    <col min="10479" max="10479" width="28.6640625" style="5" bestFit="1" customWidth="1"/>
    <col min="10480" max="10480" width="44.33203125" style="5" bestFit="1" customWidth="1"/>
    <col min="10481" max="10481" width="38" style="5" bestFit="1" customWidth="1"/>
    <col min="10482" max="10482" width="16.109375" style="5" bestFit="1" customWidth="1"/>
    <col min="10483" max="10483" width="17.33203125" style="5" bestFit="1" customWidth="1"/>
    <col min="10484" max="10484" width="20.33203125" style="5" bestFit="1" customWidth="1"/>
    <col min="10485" max="10485" width="29.44140625" style="5" bestFit="1" customWidth="1"/>
    <col min="10486" max="10486" width="28.44140625" style="5" bestFit="1" customWidth="1"/>
    <col min="10487" max="10487" width="16.109375" style="5" bestFit="1" customWidth="1"/>
    <col min="10488" max="10488" width="17.33203125" style="5" bestFit="1" customWidth="1"/>
    <col min="10489" max="10489" width="63.109375" style="5" bestFit="1" customWidth="1"/>
    <col min="10490" max="10490" width="43.5546875" style="5" bestFit="1" customWidth="1"/>
    <col min="10491" max="10491" width="32.44140625" style="5" bestFit="1" customWidth="1"/>
    <col min="10492" max="10492" width="22.6640625" style="5" bestFit="1" customWidth="1"/>
    <col min="10493" max="10493" width="56.5546875" style="5" bestFit="1" customWidth="1"/>
    <col min="10494" max="10494" width="39.5546875" style="5" bestFit="1" customWidth="1"/>
    <col min="10495" max="10495" width="24.6640625" style="5" bestFit="1" customWidth="1"/>
    <col min="10496" max="10496" width="61.88671875" style="5" bestFit="1" customWidth="1"/>
    <col min="10497" max="10497" width="29.33203125" style="5" bestFit="1" customWidth="1"/>
    <col min="10498" max="10498" width="29.5546875" style="5" bestFit="1" customWidth="1"/>
    <col min="10499" max="10499" width="64.33203125" style="5" bestFit="1" customWidth="1"/>
    <col min="10500" max="10500" width="37" style="5" bestFit="1" customWidth="1"/>
    <col min="10501" max="10501" width="26.109375" style="5" bestFit="1" customWidth="1"/>
    <col min="10502" max="10502" width="14.44140625" style="5" bestFit="1" customWidth="1"/>
    <col min="10503" max="10503" width="16.44140625" style="5" bestFit="1" customWidth="1"/>
    <col min="10504" max="10504" width="15.6640625" style="5" bestFit="1" customWidth="1"/>
    <col min="10505" max="10506" width="19" style="5" bestFit="1" customWidth="1"/>
    <col min="10507" max="10507" width="25.5546875" style="5" customWidth="1"/>
    <col min="10508" max="10508" width="25.44140625" style="5" customWidth="1"/>
    <col min="10509" max="10663" width="8.88671875" style="5"/>
    <col min="10664" max="10664" width="11.44140625" style="5" bestFit="1" customWidth="1"/>
    <col min="10665" max="10665" width="13.6640625" style="5" bestFit="1" customWidth="1"/>
    <col min="10666" max="10666" width="34.109375" style="5" bestFit="1" customWidth="1"/>
    <col min="10667" max="10667" width="13.44140625" style="5" customWidth="1"/>
    <col min="10668" max="10668" width="12.33203125" style="5" customWidth="1"/>
    <col min="10669" max="10669" width="10.88671875" style="5" customWidth="1"/>
    <col min="10670" max="10670" width="10.33203125" style="5" customWidth="1"/>
    <col min="10671" max="10671" width="12.44140625" style="5" customWidth="1"/>
    <col min="10672" max="10672" width="10" style="5" customWidth="1"/>
    <col min="10673" max="10673" width="10.88671875" style="5" customWidth="1"/>
    <col min="10674" max="10674" width="12.33203125" style="5" customWidth="1"/>
    <col min="10675" max="10675" width="66.5546875" style="5" customWidth="1"/>
    <col min="10676" max="10676" width="30.33203125" style="5" customWidth="1"/>
    <col min="10677" max="10677" width="25.5546875" style="5" customWidth="1"/>
    <col min="10678" max="10678" width="16.44140625" style="5" customWidth="1"/>
    <col min="10679" max="10679" width="16.109375" style="5" customWidth="1"/>
    <col min="10680" max="10680" width="19.33203125" style="5" customWidth="1"/>
    <col min="10681" max="10681" width="19.88671875" style="5" customWidth="1"/>
    <col min="10682" max="10682" width="20.88671875" style="5" customWidth="1"/>
    <col min="10683" max="10683" width="17.109375" style="5" customWidth="1"/>
    <col min="10684" max="10684" width="17" style="5" customWidth="1"/>
    <col min="10685" max="10685" width="17.6640625" style="5" customWidth="1"/>
    <col min="10686" max="10686" width="14.109375" style="5" customWidth="1"/>
    <col min="10687" max="10687" width="15.109375" style="5" customWidth="1"/>
    <col min="10688" max="10688" width="19.5546875" style="5" customWidth="1"/>
    <col min="10689" max="10689" width="20" style="5" customWidth="1"/>
    <col min="10690" max="10690" width="20.109375" style="5" customWidth="1"/>
    <col min="10691" max="10691" width="30.6640625" style="5" customWidth="1"/>
    <col min="10692" max="10692" width="26.44140625" style="5" customWidth="1"/>
    <col min="10693" max="10693" width="21.109375" style="5" customWidth="1"/>
    <col min="10694" max="10694" width="29.5546875" style="5" customWidth="1"/>
    <col min="10695" max="10695" width="10.88671875" style="5" customWidth="1"/>
    <col min="10696" max="10696" width="10.33203125" style="5" customWidth="1"/>
    <col min="10697" max="10697" width="16.33203125" style="5" customWidth="1"/>
    <col min="10698" max="10698" width="14.44140625" style="5" customWidth="1"/>
    <col min="10699" max="10699" width="25.6640625" style="5" customWidth="1"/>
    <col min="10700" max="10700" width="10.88671875" style="5" customWidth="1"/>
    <col min="10701" max="10701" width="19.5546875" style="5" customWidth="1"/>
    <col min="10702" max="10702" width="13.44140625" style="5" customWidth="1"/>
    <col min="10703" max="10703" width="15.109375" style="5" customWidth="1"/>
    <col min="10704" max="10704" width="24.88671875" style="5" customWidth="1"/>
    <col min="10705" max="10705" width="10.88671875" style="5" customWidth="1"/>
    <col min="10706" max="10706" width="13.5546875" style="5" customWidth="1"/>
    <col min="10707" max="10707" width="13.44140625" style="5" customWidth="1"/>
    <col min="10708" max="10708" width="15.109375" style="5" customWidth="1"/>
    <col min="10709" max="10709" width="16.44140625" style="5" customWidth="1"/>
    <col min="10710" max="10710" width="11.5546875" style="5" customWidth="1"/>
    <col min="10711" max="10711" width="13.44140625" style="5" customWidth="1"/>
    <col min="10712" max="10712" width="16.33203125" style="5" customWidth="1"/>
    <col min="10713" max="10713" width="45.6640625" style="5" bestFit="1" customWidth="1"/>
    <col min="10714" max="10714" width="31.6640625" style="5" bestFit="1" customWidth="1"/>
    <col min="10715" max="10715" width="18.88671875" style="5" bestFit="1" customWidth="1"/>
    <col min="10716" max="10716" width="115.44140625" style="5" bestFit="1" customWidth="1"/>
    <col min="10717" max="10717" width="26.5546875" style="5" bestFit="1" customWidth="1"/>
    <col min="10718" max="10718" width="118.109375" style="5" bestFit="1" customWidth="1"/>
    <col min="10719" max="10719" width="26.5546875" style="5" bestFit="1" customWidth="1"/>
    <col min="10720" max="10720" width="17.88671875" style="5" bestFit="1" customWidth="1"/>
    <col min="10721" max="10721" width="16" style="5" customWidth="1"/>
    <col min="10722" max="10722" width="18.88671875" style="5" bestFit="1" customWidth="1"/>
    <col min="10723" max="10723" width="22" style="5" customWidth="1"/>
    <col min="10724" max="10724" width="29.88671875" style="5" bestFit="1" customWidth="1"/>
    <col min="10725" max="10725" width="46.5546875" style="5" bestFit="1" customWidth="1"/>
    <col min="10726" max="10726" width="47.5546875" style="5" bestFit="1" customWidth="1"/>
    <col min="10727" max="10727" width="39.109375" style="5" bestFit="1" customWidth="1"/>
    <col min="10728" max="10728" width="20.6640625" style="5" bestFit="1" customWidth="1"/>
    <col min="10729" max="10729" width="17.33203125" style="5" bestFit="1" customWidth="1"/>
    <col min="10730" max="10730" width="33.109375" style="5" bestFit="1" customWidth="1"/>
    <col min="10731" max="10731" width="43.88671875" style="5" bestFit="1" customWidth="1"/>
    <col min="10732" max="10732" width="43.5546875" style="5" bestFit="1" customWidth="1"/>
    <col min="10733" max="10733" width="16.109375" style="5" bestFit="1" customWidth="1"/>
    <col min="10734" max="10734" width="17.33203125" style="5" bestFit="1" customWidth="1"/>
    <col min="10735" max="10735" width="28.6640625" style="5" bestFit="1" customWidth="1"/>
    <col min="10736" max="10736" width="44.33203125" style="5" bestFit="1" customWidth="1"/>
    <col min="10737" max="10737" width="38" style="5" bestFit="1" customWidth="1"/>
    <col min="10738" max="10738" width="16.109375" style="5" bestFit="1" customWidth="1"/>
    <col min="10739" max="10739" width="17.33203125" style="5" bestFit="1" customWidth="1"/>
    <col min="10740" max="10740" width="20.33203125" style="5" bestFit="1" customWidth="1"/>
    <col min="10741" max="10741" width="29.44140625" style="5" bestFit="1" customWidth="1"/>
    <col min="10742" max="10742" width="28.44140625" style="5" bestFit="1" customWidth="1"/>
    <col min="10743" max="10743" width="16.109375" style="5" bestFit="1" customWidth="1"/>
    <col min="10744" max="10744" width="17.33203125" style="5" bestFit="1" customWidth="1"/>
    <col min="10745" max="10745" width="63.109375" style="5" bestFit="1" customWidth="1"/>
    <col min="10746" max="10746" width="43.5546875" style="5" bestFit="1" customWidth="1"/>
    <col min="10747" max="10747" width="32.44140625" style="5" bestFit="1" customWidth="1"/>
    <col min="10748" max="10748" width="22.6640625" style="5" bestFit="1" customWidth="1"/>
    <col min="10749" max="10749" width="56.5546875" style="5" bestFit="1" customWidth="1"/>
    <col min="10750" max="10750" width="39.5546875" style="5" bestFit="1" customWidth="1"/>
    <col min="10751" max="10751" width="24.6640625" style="5" bestFit="1" customWidth="1"/>
    <col min="10752" max="10752" width="61.88671875" style="5" bestFit="1" customWidth="1"/>
    <col min="10753" max="10753" width="29.33203125" style="5" bestFit="1" customWidth="1"/>
    <col min="10754" max="10754" width="29.5546875" style="5" bestFit="1" customWidth="1"/>
    <col min="10755" max="10755" width="64.33203125" style="5" bestFit="1" customWidth="1"/>
    <col min="10756" max="10756" width="37" style="5" bestFit="1" customWidth="1"/>
    <col min="10757" max="10757" width="26.109375" style="5" bestFit="1" customWidth="1"/>
    <col min="10758" max="10758" width="14.44140625" style="5" bestFit="1" customWidth="1"/>
    <col min="10759" max="10759" width="16.44140625" style="5" bestFit="1" customWidth="1"/>
    <col min="10760" max="10760" width="15.6640625" style="5" bestFit="1" customWidth="1"/>
    <col min="10761" max="10762" width="19" style="5" bestFit="1" customWidth="1"/>
    <col min="10763" max="10763" width="25.5546875" style="5" customWidth="1"/>
    <col min="10764" max="10764" width="25.44140625" style="5" customWidth="1"/>
    <col min="10765" max="10919" width="8.88671875" style="5"/>
    <col min="10920" max="10920" width="11.44140625" style="5" bestFit="1" customWidth="1"/>
    <col min="10921" max="10921" width="13.6640625" style="5" bestFit="1" customWidth="1"/>
    <col min="10922" max="10922" width="34.109375" style="5" bestFit="1" customWidth="1"/>
    <col min="10923" max="10923" width="13.44140625" style="5" customWidth="1"/>
    <col min="10924" max="10924" width="12.33203125" style="5" customWidth="1"/>
    <col min="10925" max="10925" width="10.88671875" style="5" customWidth="1"/>
    <col min="10926" max="10926" width="10.33203125" style="5" customWidth="1"/>
    <col min="10927" max="10927" width="12.44140625" style="5" customWidth="1"/>
    <col min="10928" max="10928" width="10" style="5" customWidth="1"/>
    <col min="10929" max="10929" width="10.88671875" style="5" customWidth="1"/>
    <col min="10930" max="10930" width="12.33203125" style="5" customWidth="1"/>
    <col min="10931" max="10931" width="66.5546875" style="5" customWidth="1"/>
    <col min="10932" max="10932" width="30.33203125" style="5" customWidth="1"/>
    <col min="10933" max="10933" width="25.5546875" style="5" customWidth="1"/>
    <col min="10934" max="10934" width="16.44140625" style="5" customWidth="1"/>
    <col min="10935" max="10935" width="16.109375" style="5" customWidth="1"/>
    <col min="10936" max="10936" width="19.33203125" style="5" customWidth="1"/>
    <col min="10937" max="10937" width="19.88671875" style="5" customWidth="1"/>
    <col min="10938" max="10938" width="20.88671875" style="5" customWidth="1"/>
    <col min="10939" max="10939" width="17.109375" style="5" customWidth="1"/>
    <col min="10940" max="10940" width="17" style="5" customWidth="1"/>
    <col min="10941" max="10941" width="17.6640625" style="5" customWidth="1"/>
    <col min="10942" max="10942" width="14.109375" style="5" customWidth="1"/>
    <col min="10943" max="10943" width="15.109375" style="5" customWidth="1"/>
    <col min="10944" max="10944" width="19.5546875" style="5" customWidth="1"/>
    <col min="10945" max="10945" width="20" style="5" customWidth="1"/>
    <col min="10946" max="10946" width="20.109375" style="5" customWidth="1"/>
    <col min="10947" max="10947" width="30.6640625" style="5" customWidth="1"/>
    <col min="10948" max="10948" width="26.44140625" style="5" customWidth="1"/>
    <col min="10949" max="10949" width="21.109375" style="5" customWidth="1"/>
    <col min="10950" max="10950" width="29.5546875" style="5" customWidth="1"/>
    <col min="10951" max="10951" width="10.88671875" style="5" customWidth="1"/>
    <col min="10952" max="10952" width="10.33203125" style="5" customWidth="1"/>
    <col min="10953" max="10953" width="16.33203125" style="5" customWidth="1"/>
    <col min="10954" max="10954" width="14.44140625" style="5" customWidth="1"/>
    <col min="10955" max="10955" width="25.6640625" style="5" customWidth="1"/>
    <col min="10956" max="10956" width="10.88671875" style="5" customWidth="1"/>
    <col min="10957" max="10957" width="19.5546875" style="5" customWidth="1"/>
    <col min="10958" max="10958" width="13.44140625" style="5" customWidth="1"/>
    <col min="10959" max="10959" width="15.109375" style="5" customWidth="1"/>
    <col min="10960" max="10960" width="24.88671875" style="5" customWidth="1"/>
    <col min="10961" max="10961" width="10.88671875" style="5" customWidth="1"/>
    <col min="10962" max="10962" width="13.5546875" style="5" customWidth="1"/>
    <col min="10963" max="10963" width="13.44140625" style="5" customWidth="1"/>
    <col min="10964" max="10964" width="15.109375" style="5" customWidth="1"/>
    <col min="10965" max="10965" width="16.44140625" style="5" customWidth="1"/>
    <col min="10966" max="10966" width="11.5546875" style="5" customWidth="1"/>
    <col min="10967" max="10967" width="13.44140625" style="5" customWidth="1"/>
    <col min="10968" max="10968" width="16.33203125" style="5" customWidth="1"/>
    <col min="10969" max="10969" width="45.6640625" style="5" bestFit="1" customWidth="1"/>
    <col min="10970" max="10970" width="31.6640625" style="5" bestFit="1" customWidth="1"/>
    <col min="10971" max="10971" width="18.88671875" style="5" bestFit="1" customWidth="1"/>
    <col min="10972" max="10972" width="115.44140625" style="5" bestFit="1" customWidth="1"/>
    <col min="10973" max="10973" width="26.5546875" style="5" bestFit="1" customWidth="1"/>
    <col min="10974" max="10974" width="118.109375" style="5" bestFit="1" customWidth="1"/>
    <col min="10975" max="10975" width="26.5546875" style="5" bestFit="1" customWidth="1"/>
    <col min="10976" max="10976" width="17.88671875" style="5" bestFit="1" customWidth="1"/>
    <col min="10977" max="10977" width="16" style="5" customWidth="1"/>
    <col min="10978" max="10978" width="18.88671875" style="5" bestFit="1" customWidth="1"/>
    <col min="10979" max="10979" width="22" style="5" customWidth="1"/>
    <col min="10980" max="10980" width="29.88671875" style="5" bestFit="1" customWidth="1"/>
    <col min="10981" max="10981" width="46.5546875" style="5" bestFit="1" customWidth="1"/>
    <col min="10982" max="10982" width="47.5546875" style="5" bestFit="1" customWidth="1"/>
    <col min="10983" max="10983" width="39.109375" style="5" bestFit="1" customWidth="1"/>
    <col min="10984" max="10984" width="20.6640625" style="5" bestFit="1" customWidth="1"/>
    <col min="10985" max="10985" width="17.33203125" style="5" bestFit="1" customWidth="1"/>
    <col min="10986" max="10986" width="33.109375" style="5" bestFit="1" customWidth="1"/>
    <col min="10987" max="10987" width="43.88671875" style="5" bestFit="1" customWidth="1"/>
    <col min="10988" max="10988" width="43.5546875" style="5" bestFit="1" customWidth="1"/>
    <col min="10989" max="10989" width="16.109375" style="5" bestFit="1" customWidth="1"/>
    <col min="10990" max="10990" width="17.33203125" style="5" bestFit="1" customWidth="1"/>
    <col min="10991" max="10991" width="28.6640625" style="5" bestFit="1" customWidth="1"/>
    <col min="10992" max="10992" width="44.33203125" style="5" bestFit="1" customWidth="1"/>
    <col min="10993" max="10993" width="38" style="5" bestFit="1" customWidth="1"/>
    <col min="10994" max="10994" width="16.109375" style="5" bestFit="1" customWidth="1"/>
    <col min="10995" max="10995" width="17.33203125" style="5" bestFit="1" customWidth="1"/>
    <col min="10996" max="10996" width="20.33203125" style="5" bestFit="1" customWidth="1"/>
    <col min="10997" max="10997" width="29.44140625" style="5" bestFit="1" customWidth="1"/>
    <col min="10998" max="10998" width="28.44140625" style="5" bestFit="1" customWidth="1"/>
    <col min="10999" max="10999" width="16.109375" style="5" bestFit="1" customWidth="1"/>
    <col min="11000" max="11000" width="17.33203125" style="5" bestFit="1" customWidth="1"/>
    <col min="11001" max="11001" width="63.109375" style="5" bestFit="1" customWidth="1"/>
    <col min="11002" max="11002" width="43.5546875" style="5" bestFit="1" customWidth="1"/>
    <col min="11003" max="11003" width="32.44140625" style="5" bestFit="1" customWidth="1"/>
    <col min="11004" max="11004" width="22.6640625" style="5" bestFit="1" customWidth="1"/>
    <col min="11005" max="11005" width="56.5546875" style="5" bestFit="1" customWidth="1"/>
    <col min="11006" max="11006" width="39.5546875" style="5" bestFit="1" customWidth="1"/>
    <col min="11007" max="11007" width="24.6640625" style="5" bestFit="1" customWidth="1"/>
    <col min="11008" max="11008" width="61.88671875" style="5" bestFit="1" customWidth="1"/>
    <col min="11009" max="11009" width="29.33203125" style="5" bestFit="1" customWidth="1"/>
    <col min="11010" max="11010" width="29.5546875" style="5" bestFit="1" customWidth="1"/>
    <col min="11011" max="11011" width="64.33203125" style="5" bestFit="1" customWidth="1"/>
    <col min="11012" max="11012" width="37" style="5" bestFit="1" customWidth="1"/>
    <col min="11013" max="11013" width="26.109375" style="5" bestFit="1" customWidth="1"/>
    <col min="11014" max="11014" width="14.44140625" style="5" bestFit="1" customWidth="1"/>
    <col min="11015" max="11015" width="16.44140625" style="5" bestFit="1" customWidth="1"/>
    <col min="11016" max="11016" width="15.6640625" style="5" bestFit="1" customWidth="1"/>
    <col min="11017" max="11018" width="19" style="5" bestFit="1" customWidth="1"/>
    <col min="11019" max="11019" width="25.5546875" style="5" customWidth="1"/>
    <col min="11020" max="11020" width="25.44140625" style="5" customWidth="1"/>
    <col min="11021" max="11175" width="8.88671875" style="5"/>
    <col min="11176" max="11176" width="11.44140625" style="5" bestFit="1" customWidth="1"/>
    <col min="11177" max="11177" width="13.6640625" style="5" bestFit="1" customWidth="1"/>
    <col min="11178" max="11178" width="34.109375" style="5" bestFit="1" customWidth="1"/>
    <col min="11179" max="11179" width="13.44140625" style="5" customWidth="1"/>
    <col min="11180" max="11180" width="12.33203125" style="5" customWidth="1"/>
    <col min="11181" max="11181" width="10.88671875" style="5" customWidth="1"/>
    <col min="11182" max="11182" width="10.33203125" style="5" customWidth="1"/>
    <col min="11183" max="11183" width="12.44140625" style="5" customWidth="1"/>
    <col min="11184" max="11184" width="10" style="5" customWidth="1"/>
    <col min="11185" max="11185" width="10.88671875" style="5" customWidth="1"/>
    <col min="11186" max="11186" width="12.33203125" style="5" customWidth="1"/>
    <col min="11187" max="11187" width="66.5546875" style="5" customWidth="1"/>
    <col min="11188" max="11188" width="30.33203125" style="5" customWidth="1"/>
    <col min="11189" max="11189" width="25.5546875" style="5" customWidth="1"/>
    <col min="11190" max="11190" width="16.44140625" style="5" customWidth="1"/>
    <col min="11191" max="11191" width="16.109375" style="5" customWidth="1"/>
    <col min="11192" max="11192" width="19.33203125" style="5" customWidth="1"/>
    <col min="11193" max="11193" width="19.88671875" style="5" customWidth="1"/>
    <col min="11194" max="11194" width="20.88671875" style="5" customWidth="1"/>
    <col min="11195" max="11195" width="17.109375" style="5" customWidth="1"/>
    <col min="11196" max="11196" width="17" style="5" customWidth="1"/>
    <col min="11197" max="11197" width="17.6640625" style="5" customWidth="1"/>
    <col min="11198" max="11198" width="14.109375" style="5" customWidth="1"/>
    <col min="11199" max="11199" width="15.109375" style="5" customWidth="1"/>
    <col min="11200" max="11200" width="19.5546875" style="5" customWidth="1"/>
    <col min="11201" max="11201" width="20" style="5" customWidth="1"/>
    <col min="11202" max="11202" width="20.109375" style="5" customWidth="1"/>
    <col min="11203" max="11203" width="30.6640625" style="5" customWidth="1"/>
    <col min="11204" max="11204" width="26.44140625" style="5" customWidth="1"/>
    <col min="11205" max="11205" width="21.109375" style="5" customWidth="1"/>
    <col min="11206" max="11206" width="29.5546875" style="5" customWidth="1"/>
    <col min="11207" max="11207" width="10.88671875" style="5" customWidth="1"/>
    <col min="11208" max="11208" width="10.33203125" style="5" customWidth="1"/>
    <col min="11209" max="11209" width="16.33203125" style="5" customWidth="1"/>
    <col min="11210" max="11210" width="14.44140625" style="5" customWidth="1"/>
    <col min="11211" max="11211" width="25.6640625" style="5" customWidth="1"/>
    <col min="11212" max="11212" width="10.88671875" style="5" customWidth="1"/>
    <col min="11213" max="11213" width="19.5546875" style="5" customWidth="1"/>
    <col min="11214" max="11214" width="13.44140625" style="5" customWidth="1"/>
    <col min="11215" max="11215" width="15.109375" style="5" customWidth="1"/>
    <col min="11216" max="11216" width="24.88671875" style="5" customWidth="1"/>
    <col min="11217" max="11217" width="10.88671875" style="5" customWidth="1"/>
    <col min="11218" max="11218" width="13.5546875" style="5" customWidth="1"/>
    <col min="11219" max="11219" width="13.44140625" style="5" customWidth="1"/>
    <col min="11220" max="11220" width="15.109375" style="5" customWidth="1"/>
    <col min="11221" max="11221" width="16.44140625" style="5" customWidth="1"/>
    <col min="11222" max="11222" width="11.5546875" style="5" customWidth="1"/>
    <col min="11223" max="11223" width="13.44140625" style="5" customWidth="1"/>
    <col min="11224" max="11224" width="16.33203125" style="5" customWidth="1"/>
    <col min="11225" max="11225" width="45.6640625" style="5" bestFit="1" customWidth="1"/>
    <col min="11226" max="11226" width="31.6640625" style="5" bestFit="1" customWidth="1"/>
    <col min="11227" max="11227" width="18.88671875" style="5" bestFit="1" customWidth="1"/>
    <col min="11228" max="11228" width="115.44140625" style="5" bestFit="1" customWidth="1"/>
    <col min="11229" max="11229" width="26.5546875" style="5" bestFit="1" customWidth="1"/>
    <col min="11230" max="11230" width="118.109375" style="5" bestFit="1" customWidth="1"/>
    <col min="11231" max="11231" width="26.5546875" style="5" bestFit="1" customWidth="1"/>
    <col min="11232" max="11232" width="17.88671875" style="5" bestFit="1" customWidth="1"/>
    <col min="11233" max="11233" width="16" style="5" customWidth="1"/>
    <col min="11234" max="11234" width="18.88671875" style="5" bestFit="1" customWidth="1"/>
    <col min="11235" max="11235" width="22" style="5" customWidth="1"/>
    <col min="11236" max="11236" width="29.88671875" style="5" bestFit="1" customWidth="1"/>
    <col min="11237" max="11237" width="46.5546875" style="5" bestFit="1" customWidth="1"/>
    <col min="11238" max="11238" width="47.5546875" style="5" bestFit="1" customWidth="1"/>
    <col min="11239" max="11239" width="39.109375" style="5" bestFit="1" customWidth="1"/>
    <col min="11240" max="11240" width="20.6640625" style="5" bestFit="1" customWidth="1"/>
    <col min="11241" max="11241" width="17.33203125" style="5" bestFit="1" customWidth="1"/>
    <col min="11242" max="11242" width="33.109375" style="5" bestFit="1" customWidth="1"/>
    <col min="11243" max="11243" width="43.88671875" style="5" bestFit="1" customWidth="1"/>
    <col min="11244" max="11244" width="43.5546875" style="5" bestFit="1" customWidth="1"/>
    <col min="11245" max="11245" width="16.109375" style="5" bestFit="1" customWidth="1"/>
    <col min="11246" max="11246" width="17.33203125" style="5" bestFit="1" customWidth="1"/>
    <col min="11247" max="11247" width="28.6640625" style="5" bestFit="1" customWidth="1"/>
    <col min="11248" max="11248" width="44.33203125" style="5" bestFit="1" customWidth="1"/>
    <col min="11249" max="11249" width="38" style="5" bestFit="1" customWidth="1"/>
    <col min="11250" max="11250" width="16.109375" style="5" bestFit="1" customWidth="1"/>
    <col min="11251" max="11251" width="17.33203125" style="5" bestFit="1" customWidth="1"/>
    <col min="11252" max="11252" width="20.33203125" style="5" bestFit="1" customWidth="1"/>
    <col min="11253" max="11253" width="29.44140625" style="5" bestFit="1" customWidth="1"/>
    <col min="11254" max="11254" width="28.44140625" style="5" bestFit="1" customWidth="1"/>
    <col min="11255" max="11255" width="16.109375" style="5" bestFit="1" customWidth="1"/>
    <col min="11256" max="11256" width="17.33203125" style="5" bestFit="1" customWidth="1"/>
    <col min="11257" max="11257" width="63.109375" style="5" bestFit="1" customWidth="1"/>
    <col min="11258" max="11258" width="43.5546875" style="5" bestFit="1" customWidth="1"/>
    <col min="11259" max="11259" width="32.44140625" style="5" bestFit="1" customWidth="1"/>
    <col min="11260" max="11260" width="22.6640625" style="5" bestFit="1" customWidth="1"/>
    <col min="11261" max="11261" width="56.5546875" style="5" bestFit="1" customWidth="1"/>
    <col min="11262" max="11262" width="39.5546875" style="5" bestFit="1" customWidth="1"/>
    <col min="11263" max="11263" width="24.6640625" style="5" bestFit="1" customWidth="1"/>
    <col min="11264" max="11264" width="61.88671875" style="5" bestFit="1" customWidth="1"/>
    <col min="11265" max="11265" width="29.33203125" style="5" bestFit="1" customWidth="1"/>
    <col min="11266" max="11266" width="29.5546875" style="5" bestFit="1" customWidth="1"/>
    <col min="11267" max="11267" width="64.33203125" style="5" bestFit="1" customWidth="1"/>
    <col min="11268" max="11268" width="37" style="5" bestFit="1" customWidth="1"/>
    <col min="11269" max="11269" width="26.109375" style="5" bestFit="1" customWidth="1"/>
    <col min="11270" max="11270" width="14.44140625" style="5" bestFit="1" customWidth="1"/>
    <col min="11271" max="11271" width="16.44140625" style="5" bestFit="1" customWidth="1"/>
    <col min="11272" max="11272" width="15.6640625" style="5" bestFit="1" customWidth="1"/>
    <col min="11273" max="11274" width="19" style="5" bestFit="1" customWidth="1"/>
    <col min="11275" max="11275" width="25.5546875" style="5" customWidth="1"/>
    <col min="11276" max="11276" width="25.44140625" style="5" customWidth="1"/>
    <col min="11277" max="11431" width="8.88671875" style="5"/>
    <col min="11432" max="11432" width="11.44140625" style="5" bestFit="1" customWidth="1"/>
    <col min="11433" max="11433" width="13.6640625" style="5" bestFit="1" customWidth="1"/>
    <col min="11434" max="11434" width="34.109375" style="5" bestFit="1" customWidth="1"/>
    <col min="11435" max="11435" width="13.44140625" style="5" customWidth="1"/>
    <col min="11436" max="11436" width="12.33203125" style="5" customWidth="1"/>
    <col min="11437" max="11437" width="10.88671875" style="5" customWidth="1"/>
    <col min="11438" max="11438" width="10.33203125" style="5" customWidth="1"/>
    <col min="11439" max="11439" width="12.44140625" style="5" customWidth="1"/>
    <col min="11440" max="11440" width="10" style="5" customWidth="1"/>
    <col min="11441" max="11441" width="10.88671875" style="5" customWidth="1"/>
    <col min="11442" max="11442" width="12.33203125" style="5" customWidth="1"/>
    <col min="11443" max="11443" width="66.5546875" style="5" customWidth="1"/>
    <col min="11444" max="11444" width="30.33203125" style="5" customWidth="1"/>
    <col min="11445" max="11445" width="25.5546875" style="5" customWidth="1"/>
    <col min="11446" max="11446" width="16.44140625" style="5" customWidth="1"/>
    <col min="11447" max="11447" width="16.109375" style="5" customWidth="1"/>
    <col min="11448" max="11448" width="19.33203125" style="5" customWidth="1"/>
    <col min="11449" max="11449" width="19.88671875" style="5" customWidth="1"/>
    <col min="11450" max="11450" width="20.88671875" style="5" customWidth="1"/>
    <col min="11451" max="11451" width="17.109375" style="5" customWidth="1"/>
    <col min="11452" max="11452" width="17" style="5" customWidth="1"/>
    <col min="11453" max="11453" width="17.6640625" style="5" customWidth="1"/>
    <col min="11454" max="11454" width="14.109375" style="5" customWidth="1"/>
    <col min="11455" max="11455" width="15.109375" style="5" customWidth="1"/>
    <col min="11456" max="11456" width="19.5546875" style="5" customWidth="1"/>
    <col min="11457" max="11457" width="20" style="5" customWidth="1"/>
    <col min="11458" max="11458" width="20.109375" style="5" customWidth="1"/>
    <col min="11459" max="11459" width="30.6640625" style="5" customWidth="1"/>
    <col min="11460" max="11460" width="26.44140625" style="5" customWidth="1"/>
    <col min="11461" max="11461" width="21.109375" style="5" customWidth="1"/>
    <col min="11462" max="11462" width="29.5546875" style="5" customWidth="1"/>
    <col min="11463" max="11463" width="10.88671875" style="5" customWidth="1"/>
    <col min="11464" max="11464" width="10.33203125" style="5" customWidth="1"/>
    <col min="11465" max="11465" width="16.33203125" style="5" customWidth="1"/>
    <col min="11466" max="11466" width="14.44140625" style="5" customWidth="1"/>
    <col min="11467" max="11467" width="25.6640625" style="5" customWidth="1"/>
    <col min="11468" max="11468" width="10.88671875" style="5" customWidth="1"/>
    <col min="11469" max="11469" width="19.5546875" style="5" customWidth="1"/>
    <col min="11470" max="11470" width="13.44140625" style="5" customWidth="1"/>
    <col min="11471" max="11471" width="15.109375" style="5" customWidth="1"/>
    <col min="11472" max="11472" width="24.88671875" style="5" customWidth="1"/>
    <col min="11473" max="11473" width="10.88671875" style="5" customWidth="1"/>
    <col min="11474" max="11474" width="13.5546875" style="5" customWidth="1"/>
    <col min="11475" max="11475" width="13.44140625" style="5" customWidth="1"/>
    <col min="11476" max="11476" width="15.109375" style="5" customWidth="1"/>
    <col min="11477" max="11477" width="16.44140625" style="5" customWidth="1"/>
    <col min="11478" max="11478" width="11.5546875" style="5" customWidth="1"/>
    <col min="11479" max="11479" width="13.44140625" style="5" customWidth="1"/>
    <col min="11480" max="11480" width="16.33203125" style="5" customWidth="1"/>
    <col min="11481" max="11481" width="45.6640625" style="5" bestFit="1" customWidth="1"/>
    <col min="11482" max="11482" width="31.6640625" style="5" bestFit="1" customWidth="1"/>
    <col min="11483" max="11483" width="18.88671875" style="5" bestFit="1" customWidth="1"/>
    <col min="11484" max="11484" width="115.44140625" style="5" bestFit="1" customWidth="1"/>
    <col min="11485" max="11485" width="26.5546875" style="5" bestFit="1" customWidth="1"/>
    <col min="11486" max="11486" width="118.109375" style="5" bestFit="1" customWidth="1"/>
    <col min="11487" max="11487" width="26.5546875" style="5" bestFit="1" customWidth="1"/>
    <col min="11488" max="11488" width="17.88671875" style="5" bestFit="1" customWidth="1"/>
    <col min="11489" max="11489" width="16" style="5" customWidth="1"/>
    <col min="11490" max="11490" width="18.88671875" style="5" bestFit="1" customWidth="1"/>
    <col min="11491" max="11491" width="22" style="5" customWidth="1"/>
    <col min="11492" max="11492" width="29.88671875" style="5" bestFit="1" customWidth="1"/>
    <col min="11493" max="11493" width="46.5546875" style="5" bestFit="1" customWidth="1"/>
    <col min="11494" max="11494" width="47.5546875" style="5" bestFit="1" customWidth="1"/>
    <col min="11495" max="11495" width="39.109375" style="5" bestFit="1" customWidth="1"/>
    <col min="11496" max="11496" width="20.6640625" style="5" bestFit="1" customWidth="1"/>
    <col min="11497" max="11497" width="17.33203125" style="5" bestFit="1" customWidth="1"/>
    <col min="11498" max="11498" width="33.109375" style="5" bestFit="1" customWidth="1"/>
    <col min="11499" max="11499" width="43.88671875" style="5" bestFit="1" customWidth="1"/>
    <col min="11500" max="11500" width="43.5546875" style="5" bestFit="1" customWidth="1"/>
    <col min="11501" max="11501" width="16.109375" style="5" bestFit="1" customWidth="1"/>
    <col min="11502" max="11502" width="17.33203125" style="5" bestFit="1" customWidth="1"/>
    <col min="11503" max="11503" width="28.6640625" style="5" bestFit="1" customWidth="1"/>
    <col min="11504" max="11504" width="44.33203125" style="5" bestFit="1" customWidth="1"/>
    <col min="11505" max="11505" width="38" style="5" bestFit="1" customWidth="1"/>
    <col min="11506" max="11506" width="16.109375" style="5" bestFit="1" customWidth="1"/>
    <col min="11507" max="11507" width="17.33203125" style="5" bestFit="1" customWidth="1"/>
    <col min="11508" max="11508" width="20.33203125" style="5" bestFit="1" customWidth="1"/>
    <col min="11509" max="11509" width="29.44140625" style="5" bestFit="1" customWidth="1"/>
    <col min="11510" max="11510" width="28.44140625" style="5" bestFit="1" customWidth="1"/>
    <col min="11511" max="11511" width="16.109375" style="5" bestFit="1" customWidth="1"/>
    <col min="11512" max="11512" width="17.33203125" style="5" bestFit="1" customWidth="1"/>
    <col min="11513" max="11513" width="63.109375" style="5" bestFit="1" customWidth="1"/>
    <col min="11514" max="11514" width="43.5546875" style="5" bestFit="1" customWidth="1"/>
    <col min="11515" max="11515" width="32.44140625" style="5" bestFit="1" customWidth="1"/>
    <col min="11516" max="11516" width="22.6640625" style="5" bestFit="1" customWidth="1"/>
    <col min="11517" max="11517" width="56.5546875" style="5" bestFit="1" customWidth="1"/>
    <col min="11518" max="11518" width="39.5546875" style="5" bestFit="1" customWidth="1"/>
    <col min="11519" max="11519" width="24.6640625" style="5" bestFit="1" customWidth="1"/>
    <col min="11520" max="11520" width="61.88671875" style="5" bestFit="1" customWidth="1"/>
    <col min="11521" max="11521" width="29.33203125" style="5" bestFit="1" customWidth="1"/>
    <col min="11522" max="11522" width="29.5546875" style="5" bestFit="1" customWidth="1"/>
    <col min="11523" max="11523" width="64.33203125" style="5" bestFit="1" customWidth="1"/>
    <col min="11524" max="11524" width="37" style="5" bestFit="1" customWidth="1"/>
    <col min="11525" max="11525" width="26.109375" style="5" bestFit="1" customWidth="1"/>
    <col min="11526" max="11526" width="14.44140625" style="5" bestFit="1" customWidth="1"/>
    <col min="11527" max="11527" width="16.44140625" style="5" bestFit="1" customWidth="1"/>
    <col min="11528" max="11528" width="15.6640625" style="5" bestFit="1" customWidth="1"/>
    <col min="11529" max="11530" width="19" style="5" bestFit="1" customWidth="1"/>
    <col min="11531" max="11531" width="25.5546875" style="5" customWidth="1"/>
    <col min="11532" max="11532" width="25.44140625" style="5" customWidth="1"/>
    <col min="11533" max="11687" width="8.88671875" style="5"/>
    <col min="11688" max="11688" width="11.44140625" style="5" bestFit="1" customWidth="1"/>
    <col min="11689" max="11689" width="13.6640625" style="5" bestFit="1" customWidth="1"/>
    <col min="11690" max="11690" width="34.109375" style="5" bestFit="1" customWidth="1"/>
    <col min="11691" max="11691" width="13.44140625" style="5" customWidth="1"/>
    <col min="11692" max="11692" width="12.33203125" style="5" customWidth="1"/>
    <col min="11693" max="11693" width="10.88671875" style="5" customWidth="1"/>
    <col min="11694" max="11694" width="10.33203125" style="5" customWidth="1"/>
    <col min="11695" max="11695" width="12.44140625" style="5" customWidth="1"/>
    <col min="11696" max="11696" width="10" style="5" customWidth="1"/>
    <col min="11697" max="11697" width="10.88671875" style="5" customWidth="1"/>
    <col min="11698" max="11698" width="12.33203125" style="5" customWidth="1"/>
    <col min="11699" max="11699" width="66.5546875" style="5" customWidth="1"/>
    <col min="11700" max="11700" width="30.33203125" style="5" customWidth="1"/>
    <col min="11701" max="11701" width="25.5546875" style="5" customWidth="1"/>
    <col min="11702" max="11702" width="16.44140625" style="5" customWidth="1"/>
    <col min="11703" max="11703" width="16.109375" style="5" customWidth="1"/>
    <col min="11704" max="11704" width="19.33203125" style="5" customWidth="1"/>
    <col min="11705" max="11705" width="19.88671875" style="5" customWidth="1"/>
    <col min="11706" max="11706" width="20.88671875" style="5" customWidth="1"/>
    <col min="11707" max="11707" width="17.109375" style="5" customWidth="1"/>
    <col min="11708" max="11708" width="17" style="5" customWidth="1"/>
    <col min="11709" max="11709" width="17.6640625" style="5" customWidth="1"/>
    <col min="11710" max="11710" width="14.109375" style="5" customWidth="1"/>
    <col min="11711" max="11711" width="15.109375" style="5" customWidth="1"/>
    <col min="11712" max="11712" width="19.5546875" style="5" customWidth="1"/>
    <col min="11713" max="11713" width="20" style="5" customWidth="1"/>
    <col min="11714" max="11714" width="20.109375" style="5" customWidth="1"/>
    <col min="11715" max="11715" width="30.6640625" style="5" customWidth="1"/>
    <col min="11716" max="11716" width="26.44140625" style="5" customWidth="1"/>
    <col min="11717" max="11717" width="21.109375" style="5" customWidth="1"/>
    <col min="11718" max="11718" width="29.5546875" style="5" customWidth="1"/>
    <col min="11719" max="11719" width="10.88671875" style="5" customWidth="1"/>
    <col min="11720" max="11720" width="10.33203125" style="5" customWidth="1"/>
    <col min="11721" max="11721" width="16.33203125" style="5" customWidth="1"/>
    <col min="11722" max="11722" width="14.44140625" style="5" customWidth="1"/>
    <col min="11723" max="11723" width="25.6640625" style="5" customWidth="1"/>
    <col min="11724" max="11724" width="10.88671875" style="5" customWidth="1"/>
    <col min="11725" max="11725" width="19.5546875" style="5" customWidth="1"/>
    <col min="11726" max="11726" width="13.44140625" style="5" customWidth="1"/>
    <col min="11727" max="11727" width="15.109375" style="5" customWidth="1"/>
    <col min="11728" max="11728" width="24.88671875" style="5" customWidth="1"/>
    <col min="11729" max="11729" width="10.88671875" style="5" customWidth="1"/>
    <col min="11730" max="11730" width="13.5546875" style="5" customWidth="1"/>
    <col min="11731" max="11731" width="13.44140625" style="5" customWidth="1"/>
    <col min="11732" max="11732" width="15.109375" style="5" customWidth="1"/>
    <col min="11733" max="11733" width="16.44140625" style="5" customWidth="1"/>
    <col min="11734" max="11734" width="11.5546875" style="5" customWidth="1"/>
    <col min="11735" max="11735" width="13.44140625" style="5" customWidth="1"/>
    <col min="11736" max="11736" width="16.33203125" style="5" customWidth="1"/>
    <col min="11737" max="11737" width="45.6640625" style="5" bestFit="1" customWidth="1"/>
    <col min="11738" max="11738" width="31.6640625" style="5" bestFit="1" customWidth="1"/>
    <col min="11739" max="11739" width="18.88671875" style="5" bestFit="1" customWidth="1"/>
    <col min="11740" max="11740" width="115.44140625" style="5" bestFit="1" customWidth="1"/>
    <col min="11741" max="11741" width="26.5546875" style="5" bestFit="1" customWidth="1"/>
    <col min="11742" max="11742" width="118.109375" style="5" bestFit="1" customWidth="1"/>
    <col min="11743" max="11743" width="26.5546875" style="5" bestFit="1" customWidth="1"/>
    <col min="11744" max="11744" width="17.88671875" style="5" bestFit="1" customWidth="1"/>
    <col min="11745" max="11745" width="16" style="5" customWidth="1"/>
    <col min="11746" max="11746" width="18.88671875" style="5" bestFit="1" customWidth="1"/>
    <col min="11747" max="11747" width="22" style="5" customWidth="1"/>
    <col min="11748" max="11748" width="29.88671875" style="5" bestFit="1" customWidth="1"/>
    <col min="11749" max="11749" width="46.5546875" style="5" bestFit="1" customWidth="1"/>
    <col min="11750" max="11750" width="47.5546875" style="5" bestFit="1" customWidth="1"/>
    <col min="11751" max="11751" width="39.109375" style="5" bestFit="1" customWidth="1"/>
    <col min="11752" max="11752" width="20.6640625" style="5" bestFit="1" customWidth="1"/>
    <col min="11753" max="11753" width="17.33203125" style="5" bestFit="1" customWidth="1"/>
    <col min="11754" max="11754" width="33.109375" style="5" bestFit="1" customWidth="1"/>
    <col min="11755" max="11755" width="43.88671875" style="5" bestFit="1" customWidth="1"/>
    <col min="11756" max="11756" width="43.5546875" style="5" bestFit="1" customWidth="1"/>
    <col min="11757" max="11757" width="16.109375" style="5" bestFit="1" customWidth="1"/>
    <col min="11758" max="11758" width="17.33203125" style="5" bestFit="1" customWidth="1"/>
    <col min="11759" max="11759" width="28.6640625" style="5" bestFit="1" customWidth="1"/>
    <col min="11760" max="11760" width="44.33203125" style="5" bestFit="1" customWidth="1"/>
    <col min="11761" max="11761" width="38" style="5" bestFit="1" customWidth="1"/>
    <col min="11762" max="11762" width="16.109375" style="5" bestFit="1" customWidth="1"/>
    <col min="11763" max="11763" width="17.33203125" style="5" bestFit="1" customWidth="1"/>
    <col min="11764" max="11764" width="20.33203125" style="5" bestFit="1" customWidth="1"/>
    <col min="11765" max="11765" width="29.44140625" style="5" bestFit="1" customWidth="1"/>
    <col min="11766" max="11766" width="28.44140625" style="5" bestFit="1" customWidth="1"/>
    <col min="11767" max="11767" width="16.109375" style="5" bestFit="1" customWidth="1"/>
    <col min="11768" max="11768" width="17.33203125" style="5" bestFit="1" customWidth="1"/>
    <col min="11769" max="11769" width="63.109375" style="5" bestFit="1" customWidth="1"/>
    <col min="11770" max="11770" width="43.5546875" style="5" bestFit="1" customWidth="1"/>
    <col min="11771" max="11771" width="32.44140625" style="5" bestFit="1" customWidth="1"/>
    <col min="11772" max="11772" width="22.6640625" style="5" bestFit="1" customWidth="1"/>
    <col min="11773" max="11773" width="56.5546875" style="5" bestFit="1" customWidth="1"/>
    <col min="11774" max="11774" width="39.5546875" style="5" bestFit="1" customWidth="1"/>
    <col min="11775" max="11775" width="24.6640625" style="5" bestFit="1" customWidth="1"/>
    <col min="11776" max="11776" width="61.88671875" style="5" bestFit="1" customWidth="1"/>
    <col min="11777" max="11777" width="29.33203125" style="5" bestFit="1" customWidth="1"/>
    <col min="11778" max="11778" width="29.5546875" style="5" bestFit="1" customWidth="1"/>
    <col min="11779" max="11779" width="64.33203125" style="5" bestFit="1" customWidth="1"/>
    <col min="11780" max="11780" width="37" style="5" bestFit="1" customWidth="1"/>
    <col min="11781" max="11781" width="26.109375" style="5" bestFit="1" customWidth="1"/>
    <col min="11782" max="11782" width="14.44140625" style="5" bestFit="1" customWidth="1"/>
    <col min="11783" max="11783" width="16.44140625" style="5" bestFit="1" customWidth="1"/>
    <col min="11784" max="11784" width="15.6640625" style="5" bestFit="1" customWidth="1"/>
    <col min="11785" max="11786" width="19" style="5" bestFit="1" customWidth="1"/>
    <col min="11787" max="11787" width="25.5546875" style="5" customWidth="1"/>
    <col min="11788" max="11788" width="25.44140625" style="5" customWidth="1"/>
    <col min="11789" max="11943" width="8.88671875" style="5"/>
    <col min="11944" max="11944" width="11.44140625" style="5" bestFit="1" customWidth="1"/>
    <col min="11945" max="11945" width="13.6640625" style="5" bestFit="1" customWidth="1"/>
    <col min="11946" max="11946" width="34.109375" style="5" bestFit="1" customWidth="1"/>
    <col min="11947" max="11947" width="13.44140625" style="5" customWidth="1"/>
    <col min="11948" max="11948" width="12.33203125" style="5" customWidth="1"/>
    <col min="11949" max="11949" width="10.88671875" style="5" customWidth="1"/>
    <col min="11950" max="11950" width="10.33203125" style="5" customWidth="1"/>
    <col min="11951" max="11951" width="12.44140625" style="5" customWidth="1"/>
    <col min="11952" max="11952" width="10" style="5" customWidth="1"/>
    <col min="11953" max="11953" width="10.88671875" style="5" customWidth="1"/>
    <col min="11954" max="11954" width="12.33203125" style="5" customWidth="1"/>
    <col min="11955" max="11955" width="66.5546875" style="5" customWidth="1"/>
    <col min="11956" max="11956" width="30.33203125" style="5" customWidth="1"/>
    <col min="11957" max="11957" width="25.5546875" style="5" customWidth="1"/>
    <col min="11958" max="11958" width="16.44140625" style="5" customWidth="1"/>
    <col min="11959" max="11959" width="16.109375" style="5" customWidth="1"/>
    <col min="11960" max="11960" width="19.33203125" style="5" customWidth="1"/>
    <col min="11961" max="11961" width="19.88671875" style="5" customWidth="1"/>
    <col min="11962" max="11962" width="20.88671875" style="5" customWidth="1"/>
    <col min="11963" max="11963" width="17.109375" style="5" customWidth="1"/>
    <col min="11964" max="11964" width="17" style="5" customWidth="1"/>
    <col min="11965" max="11965" width="17.6640625" style="5" customWidth="1"/>
    <col min="11966" max="11966" width="14.109375" style="5" customWidth="1"/>
    <col min="11967" max="11967" width="15.109375" style="5" customWidth="1"/>
    <col min="11968" max="11968" width="19.5546875" style="5" customWidth="1"/>
    <col min="11969" max="11969" width="20" style="5" customWidth="1"/>
    <col min="11970" max="11970" width="20.109375" style="5" customWidth="1"/>
    <col min="11971" max="11971" width="30.6640625" style="5" customWidth="1"/>
    <col min="11972" max="11972" width="26.44140625" style="5" customWidth="1"/>
    <col min="11973" max="11973" width="21.109375" style="5" customWidth="1"/>
    <col min="11974" max="11974" width="29.5546875" style="5" customWidth="1"/>
    <col min="11975" max="11975" width="10.88671875" style="5" customWidth="1"/>
    <col min="11976" max="11976" width="10.33203125" style="5" customWidth="1"/>
    <col min="11977" max="11977" width="16.33203125" style="5" customWidth="1"/>
    <col min="11978" max="11978" width="14.44140625" style="5" customWidth="1"/>
    <col min="11979" max="11979" width="25.6640625" style="5" customWidth="1"/>
    <col min="11980" max="11980" width="10.88671875" style="5" customWidth="1"/>
    <col min="11981" max="11981" width="19.5546875" style="5" customWidth="1"/>
    <col min="11982" max="11982" width="13.44140625" style="5" customWidth="1"/>
    <col min="11983" max="11983" width="15.109375" style="5" customWidth="1"/>
    <col min="11984" max="11984" width="24.88671875" style="5" customWidth="1"/>
    <col min="11985" max="11985" width="10.88671875" style="5" customWidth="1"/>
    <col min="11986" max="11986" width="13.5546875" style="5" customWidth="1"/>
    <col min="11987" max="11987" width="13.44140625" style="5" customWidth="1"/>
    <col min="11988" max="11988" width="15.109375" style="5" customWidth="1"/>
    <col min="11989" max="11989" width="16.44140625" style="5" customWidth="1"/>
    <col min="11990" max="11990" width="11.5546875" style="5" customWidth="1"/>
    <col min="11991" max="11991" width="13.44140625" style="5" customWidth="1"/>
    <col min="11992" max="11992" width="16.33203125" style="5" customWidth="1"/>
    <col min="11993" max="11993" width="45.6640625" style="5" bestFit="1" customWidth="1"/>
    <col min="11994" max="11994" width="31.6640625" style="5" bestFit="1" customWidth="1"/>
    <col min="11995" max="11995" width="18.88671875" style="5" bestFit="1" customWidth="1"/>
    <col min="11996" max="11996" width="115.44140625" style="5" bestFit="1" customWidth="1"/>
    <col min="11997" max="11997" width="26.5546875" style="5" bestFit="1" customWidth="1"/>
    <col min="11998" max="11998" width="118.109375" style="5" bestFit="1" customWidth="1"/>
    <col min="11999" max="11999" width="26.5546875" style="5" bestFit="1" customWidth="1"/>
    <col min="12000" max="12000" width="17.88671875" style="5" bestFit="1" customWidth="1"/>
    <col min="12001" max="12001" width="16" style="5" customWidth="1"/>
    <col min="12002" max="12002" width="18.88671875" style="5" bestFit="1" customWidth="1"/>
    <col min="12003" max="12003" width="22" style="5" customWidth="1"/>
    <col min="12004" max="12004" width="29.88671875" style="5" bestFit="1" customWidth="1"/>
    <col min="12005" max="12005" width="46.5546875" style="5" bestFit="1" customWidth="1"/>
    <col min="12006" max="12006" width="47.5546875" style="5" bestFit="1" customWidth="1"/>
    <col min="12007" max="12007" width="39.109375" style="5" bestFit="1" customWidth="1"/>
    <col min="12008" max="12008" width="20.6640625" style="5" bestFit="1" customWidth="1"/>
    <col min="12009" max="12009" width="17.33203125" style="5" bestFit="1" customWidth="1"/>
    <col min="12010" max="12010" width="33.109375" style="5" bestFit="1" customWidth="1"/>
    <col min="12011" max="12011" width="43.88671875" style="5" bestFit="1" customWidth="1"/>
    <col min="12012" max="12012" width="43.5546875" style="5" bestFit="1" customWidth="1"/>
    <col min="12013" max="12013" width="16.109375" style="5" bestFit="1" customWidth="1"/>
    <col min="12014" max="12014" width="17.33203125" style="5" bestFit="1" customWidth="1"/>
    <col min="12015" max="12015" width="28.6640625" style="5" bestFit="1" customWidth="1"/>
    <col min="12016" max="12016" width="44.33203125" style="5" bestFit="1" customWidth="1"/>
    <col min="12017" max="12017" width="38" style="5" bestFit="1" customWidth="1"/>
    <col min="12018" max="12018" width="16.109375" style="5" bestFit="1" customWidth="1"/>
    <col min="12019" max="12019" width="17.33203125" style="5" bestFit="1" customWidth="1"/>
    <col min="12020" max="12020" width="20.33203125" style="5" bestFit="1" customWidth="1"/>
    <col min="12021" max="12021" width="29.44140625" style="5" bestFit="1" customWidth="1"/>
    <col min="12022" max="12022" width="28.44140625" style="5" bestFit="1" customWidth="1"/>
    <col min="12023" max="12023" width="16.109375" style="5" bestFit="1" customWidth="1"/>
    <col min="12024" max="12024" width="17.33203125" style="5" bestFit="1" customWidth="1"/>
    <col min="12025" max="12025" width="63.109375" style="5" bestFit="1" customWidth="1"/>
    <col min="12026" max="12026" width="43.5546875" style="5" bestFit="1" customWidth="1"/>
    <col min="12027" max="12027" width="32.44140625" style="5" bestFit="1" customWidth="1"/>
    <col min="12028" max="12028" width="22.6640625" style="5" bestFit="1" customWidth="1"/>
    <col min="12029" max="12029" width="56.5546875" style="5" bestFit="1" customWidth="1"/>
    <col min="12030" max="12030" width="39.5546875" style="5" bestFit="1" customWidth="1"/>
    <col min="12031" max="12031" width="24.6640625" style="5" bestFit="1" customWidth="1"/>
    <col min="12032" max="12032" width="61.88671875" style="5" bestFit="1" customWidth="1"/>
    <col min="12033" max="12033" width="29.33203125" style="5" bestFit="1" customWidth="1"/>
    <col min="12034" max="12034" width="29.5546875" style="5" bestFit="1" customWidth="1"/>
    <col min="12035" max="12035" width="64.33203125" style="5" bestFit="1" customWidth="1"/>
    <col min="12036" max="12036" width="37" style="5" bestFit="1" customWidth="1"/>
    <col min="12037" max="12037" width="26.109375" style="5" bestFit="1" customWidth="1"/>
    <col min="12038" max="12038" width="14.44140625" style="5" bestFit="1" customWidth="1"/>
    <col min="12039" max="12039" width="16.44140625" style="5" bestFit="1" customWidth="1"/>
    <col min="12040" max="12040" width="15.6640625" style="5" bestFit="1" customWidth="1"/>
    <col min="12041" max="12042" width="19" style="5" bestFit="1" customWidth="1"/>
    <col min="12043" max="12043" width="25.5546875" style="5" customWidth="1"/>
    <col min="12044" max="12044" width="25.44140625" style="5" customWidth="1"/>
    <col min="12045" max="12199" width="8.88671875" style="5"/>
    <col min="12200" max="12200" width="11.44140625" style="5" bestFit="1" customWidth="1"/>
    <col min="12201" max="12201" width="13.6640625" style="5" bestFit="1" customWidth="1"/>
    <col min="12202" max="12202" width="34.109375" style="5" bestFit="1" customWidth="1"/>
    <col min="12203" max="12203" width="13.44140625" style="5" customWidth="1"/>
    <col min="12204" max="12204" width="12.33203125" style="5" customWidth="1"/>
    <col min="12205" max="12205" width="10.88671875" style="5" customWidth="1"/>
    <col min="12206" max="12206" width="10.33203125" style="5" customWidth="1"/>
    <col min="12207" max="12207" width="12.44140625" style="5" customWidth="1"/>
    <col min="12208" max="12208" width="10" style="5" customWidth="1"/>
    <col min="12209" max="12209" width="10.88671875" style="5" customWidth="1"/>
    <col min="12210" max="12210" width="12.33203125" style="5" customWidth="1"/>
    <col min="12211" max="12211" width="66.5546875" style="5" customWidth="1"/>
    <col min="12212" max="12212" width="30.33203125" style="5" customWidth="1"/>
    <col min="12213" max="12213" width="25.5546875" style="5" customWidth="1"/>
    <col min="12214" max="12214" width="16.44140625" style="5" customWidth="1"/>
    <col min="12215" max="12215" width="16.109375" style="5" customWidth="1"/>
    <col min="12216" max="12216" width="19.33203125" style="5" customWidth="1"/>
    <col min="12217" max="12217" width="19.88671875" style="5" customWidth="1"/>
    <col min="12218" max="12218" width="20.88671875" style="5" customWidth="1"/>
    <col min="12219" max="12219" width="17.109375" style="5" customWidth="1"/>
    <col min="12220" max="12220" width="17" style="5" customWidth="1"/>
    <col min="12221" max="12221" width="17.6640625" style="5" customWidth="1"/>
    <col min="12222" max="12222" width="14.109375" style="5" customWidth="1"/>
    <col min="12223" max="12223" width="15.109375" style="5" customWidth="1"/>
    <col min="12224" max="12224" width="19.5546875" style="5" customWidth="1"/>
    <col min="12225" max="12225" width="20" style="5" customWidth="1"/>
    <col min="12226" max="12226" width="20.109375" style="5" customWidth="1"/>
    <col min="12227" max="12227" width="30.6640625" style="5" customWidth="1"/>
    <col min="12228" max="12228" width="26.44140625" style="5" customWidth="1"/>
    <col min="12229" max="12229" width="21.109375" style="5" customWidth="1"/>
    <col min="12230" max="12230" width="29.5546875" style="5" customWidth="1"/>
    <col min="12231" max="12231" width="10.88671875" style="5" customWidth="1"/>
    <col min="12232" max="12232" width="10.33203125" style="5" customWidth="1"/>
    <col min="12233" max="12233" width="16.33203125" style="5" customWidth="1"/>
    <col min="12234" max="12234" width="14.44140625" style="5" customWidth="1"/>
    <col min="12235" max="12235" width="25.6640625" style="5" customWidth="1"/>
    <col min="12236" max="12236" width="10.88671875" style="5" customWidth="1"/>
    <col min="12237" max="12237" width="19.5546875" style="5" customWidth="1"/>
    <col min="12238" max="12238" width="13.44140625" style="5" customWidth="1"/>
    <col min="12239" max="12239" width="15.109375" style="5" customWidth="1"/>
    <col min="12240" max="12240" width="24.88671875" style="5" customWidth="1"/>
    <col min="12241" max="12241" width="10.88671875" style="5" customWidth="1"/>
    <col min="12242" max="12242" width="13.5546875" style="5" customWidth="1"/>
    <col min="12243" max="12243" width="13.44140625" style="5" customWidth="1"/>
    <col min="12244" max="12244" width="15.109375" style="5" customWidth="1"/>
    <col min="12245" max="12245" width="16.44140625" style="5" customWidth="1"/>
    <col min="12246" max="12246" width="11.5546875" style="5" customWidth="1"/>
    <col min="12247" max="12247" width="13.44140625" style="5" customWidth="1"/>
    <col min="12248" max="12248" width="16.33203125" style="5" customWidth="1"/>
    <col min="12249" max="12249" width="45.6640625" style="5" bestFit="1" customWidth="1"/>
    <col min="12250" max="12250" width="31.6640625" style="5" bestFit="1" customWidth="1"/>
    <col min="12251" max="12251" width="18.88671875" style="5" bestFit="1" customWidth="1"/>
    <col min="12252" max="12252" width="115.44140625" style="5" bestFit="1" customWidth="1"/>
    <col min="12253" max="12253" width="26.5546875" style="5" bestFit="1" customWidth="1"/>
    <col min="12254" max="12254" width="118.109375" style="5" bestFit="1" customWidth="1"/>
    <col min="12255" max="12255" width="26.5546875" style="5" bestFit="1" customWidth="1"/>
    <col min="12256" max="12256" width="17.88671875" style="5" bestFit="1" customWidth="1"/>
    <col min="12257" max="12257" width="16" style="5" customWidth="1"/>
    <col min="12258" max="12258" width="18.88671875" style="5" bestFit="1" customWidth="1"/>
    <col min="12259" max="12259" width="22" style="5" customWidth="1"/>
    <col min="12260" max="12260" width="29.88671875" style="5" bestFit="1" customWidth="1"/>
    <col min="12261" max="12261" width="46.5546875" style="5" bestFit="1" customWidth="1"/>
    <col min="12262" max="12262" width="47.5546875" style="5" bestFit="1" customWidth="1"/>
    <col min="12263" max="12263" width="39.109375" style="5" bestFit="1" customWidth="1"/>
    <col min="12264" max="12264" width="20.6640625" style="5" bestFit="1" customWidth="1"/>
    <col min="12265" max="12265" width="17.33203125" style="5" bestFit="1" customWidth="1"/>
    <col min="12266" max="12266" width="33.109375" style="5" bestFit="1" customWidth="1"/>
    <col min="12267" max="12267" width="43.88671875" style="5" bestFit="1" customWidth="1"/>
    <col min="12268" max="12268" width="43.5546875" style="5" bestFit="1" customWidth="1"/>
    <col min="12269" max="12269" width="16.109375" style="5" bestFit="1" customWidth="1"/>
    <col min="12270" max="12270" width="17.33203125" style="5" bestFit="1" customWidth="1"/>
    <col min="12271" max="12271" width="28.6640625" style="5" bestFit="1" customWidth="1"/>
    <col min="12272" max="12272" width="44.33203125" style="5" bestFit="1" customWidth="1"/>
    <col min="12273" max="12273" width="38" style="5" bestFit="1" customWidth="1"/>
    <col min="12274" max="12274" width="16.109375" style="5" bestFit="1" customWidth="1"/>
    <col min="12275" max="12275" width="17.33203125" style="5" bestFit="1" customWidth="1"/>
    <col min="12276" max="12276" width="20.33203125" style="5" bestFit="1" customWidth="1"/>
    <col min="12277" max="12277" width="29.44140625" style="5" bestFit="1" customWidth="1"/>
    <col min="12278" max="12278" width="28.44140625" style="5" bestFit="1" customWidth="1"/>
    <col min="12279" max="12279" width="16.109375" style="5" bestFit="1" customWidth="1"/>
    <col min="12280" max="12280" width="17.33203125" style="5" bestFit="1" customWidth="1"/>
    <col min="12281" max="12281" width="63.109375" style="5" bestFit="1" customWidth="1"/>
    <col min="12282" max="12282" width="43.5546875" style="5" bestFit="1" customWidth="1"/>
    <col min="12283" max="12283" width="32.44140625" style="5" bestFit="1" customWidth="1"/>
    <col min="12284" max="12284" width="22.6640625" style="5" bestFit="1" customWidth="1"/>
    <col min="12285" max="12285" width="56.5546875" style="5" bestFit="1" customWidth="1"/>
    <col min="12286" max="12286" width="39.5546875" style="5" bestFit="1" customWidth="1"/>
    <col min="12287" max="12287" width="24.6640625" style="5" bestFit="1" customWidth="1"/>
    <col min="12288" max="12288" width="61.88671875" style="5" bestFit="1" customWidth="1"/>
    <col min="12289" max="12289" width="29.33203125" style="5" bestFit="1" customWidth="1"/>
    <col min="12290" max="12290" width="29.5546875" style="5" bestFit="1" customWidth="1"/>
    <col min="12291" max="12291" width="64.33203125" style="5" bestFit="1" customWidth="1"/>
    <col min="12292" max="12292" width="37" style="5" bestFit="1" customWidth="1"/>
    <col min="12293" max="12293" width="26.109375" style="5" bestFit="1" customWidth="1"/>
    <col min="12294" max="12294" width="14.44140625" style="5" bestFit="1" customWidth="1"/>
    <col min="12295" max="12295" width="16.44140625" style="5" bestFit="1" customWidth="1"/>
    <col min="12296" max="12296" width="15.6640625" style="5" bestFit="1" customWidth="1"/>
    <col min="12297" max="12298" width="19" style="5" bestFit="1" customWidth="1"/>
    <col min="12299" max="12299" width="25.5546875" style="5" customWidth="1"/>
    <col min="12300" max="12300" width="25.44140625" style="5" customWidth="1"/>
    <col min="12301" max="12455" width="8.88671875" style="5"/>
    <col min="12456" max="12456" width="11.44140625" style="5" bestFit="1" customWidth="1"/>
    <col min="12457" max="12457" width="13.6640625" style="5" bestFit="1" customWidth="1"/>
    <col min="12458" max="12458" width="34.109375" style="5" bestFit="1" customWidth="1"/>
    <col min="12459" max="12459" width="13.44140625" style="5" customWidth="1"/>
    <col min="12460" max="12460" width="12.33203125" style="5" customWidth="1"/>
    <col min="12461" max="12461" width="10.88671875" style="5" customWidth="1"/>
    <col min="12462" max="12462" width="10.33203125" style="5" customWidth="1"/>
    <col min="12463" max="12463" width="12.44140625" style="5" customWidth="1"/>
    <col min="12464" max="12464" width="10" style="5" customWidth="1"/>
    <col min="12465" max="12465" width="10.88671875" style="5" customWidth="1"/>
    <col min="12466" max="12466" width="12.33203125" style="5" customWidth="1"/>
    <col min="12467" max="12467" width="66.5546875" style="5" customWidth="1"/>
    <col min="12468" max="12468" width="30.33203125" style="5" customWidth="1"/>
    <col min="12469" max="12469" width="25.5546875" style="5" customWidth="1"/>
    <col min="12470" max="12470" width="16.44140625" style="5" customWidth="1"/>
    <col min="12471" max="12471" width="16.109375" style="5" customWidth="1"/>
    <col min="12472" max="12472" width="19.33203125" style="5" customWidth="1"/>
    <col min="12473" max="12473" width="19.88671875" style="5" customWidth="1"/>
    <col min="12474" max="12474" width="20.88671875" style="5" customWidth="1"/>
    <col min="12475" max="12475" width="17.109375" style="5" customWidth="1"/>
    <col min="12476" max="12476" width="17" style="5" customWidth="1"/>
    <col min="12477" max="12477" width="17.6640625" style="5" customWidth="1"/>
    <col min="12478" max="12478" width="14.109375" style="5" customWidth="1"/>
    <col min="12479" max="12479" width="15.109375" style="5" customWidth="1"/>
    <col min="12480" max="12480" width="19.5546875" style="5" customWidth="1"/>
    <col min="12481" max="12481" width="20" style="5" customWidth="1"/>
    <col min="12482" max="12482" width="20.109375" style="5" customWidth="1"/>
    <col min="12483" max="12483" width="30.6640625" style="5" customWidth="1"/>
    <col min="12484" max="12484" width="26.44140625" style="5" customWidth="1"/>
    <col min="12485" max="12485" width="21.109375" style="5" customWidth="1"/>
    <col min="12486" max="12486" width="29.5546875" style="5" customWidth="1"/>
    <col min="12487" max="12487" width="10.88671875" style="5" customWidth="1"/>
    <col min="12488" max="12488" width="10.33203125" style="5" customWidth="1"/>
    <col min="12489" max="12489" width="16.33203125" style="5" customWidth="1"/>
    <col min="12490" max="12490" width="14.44140625" style="5" customWidth="1"/>
    <col min="12491" max="12491" width="25.6640625" style="5" customWidth="1"/>
    <col min="12492" max="12492" width="10.88671875" style="5" customWidth="1"/>
    <col min="12493" max="12493" width="19.5546875" style="5" customWidth="1"/>
    <col min="12494" max="12494" width="13.44140625" style="5" customWidth="1"/>
    <col min="12495" max="12495" width="15.109375" style="5" customWidth="1"/>
    <col min="12496" max="12496" width="24.88671875" style="5" customWidth="1"/>
    <col min="12497" max="12497" width="10.88671875" style="5" customWidth="1"/>
    <col min="12498" max="12498" width="13.5546875" style="5" customWidth="1"/>
    <col min="12499" max="12499" width="13.44140625" style="5" customWidth="1"/>
    <col min="12500" max="12500" width="15.109375" style="5" customWidth="1"/>
    <col min="12501" max="12501" width="16.44140625" style="5" customWidth="1"/>
    <col min="12502" max="12502" width="11.5546875" style="5" customWidth="1"/>
    <col min="12503" max="12503" width="13.44140625" style="5" customWidth="1"/>
    <col min="12504" max="12504" width="16.33203125" style="5" customWidth="1"/>
    <col min="12505" max="12505" width="45.6640625" style="5" bestFit="1" customWidth="1"/>
    <col min="12506" max="12506" width="31.6640625" style="5" bestFit="1" customWidth="1"/>
    <col min="12507" max="12507" width="18.88671875" style="5" bestFit="1" customWidth="1"/>
    <col min="12508" max="12508" width="115.44140625" style="5" bestFit="1" customWidth="1"/>
    <col min="12509" max="12509" width="26.5546875" style="5" bestFit="1" customWidth="1"/>
    <col min="12510" max="12510" width="118.109375" style="5" bestFit="1" customWidth="1"/>
    <col min="12511" max="12511" width="26.5546875" style="5" bestFit="1" customWidth="1"/>
    <col min="12512" max="12512" width="17.88671875" style="5" bestFit="1" customWidth="1"/>
    <col min="12513" max="12513" width="16" style="5" customWidth="1"/>
    <col min="12514" max="12514" width="18.88671875" style="5" bestFit="1" customWidth="1"/>
    <col min="12515" max="12515" width="22" style="5" customWidth="1"/>
    <col min="12516" max="12516" width="29.88671875" style="5" bestFit="1" customWidth="1"/>
    <col min="12517" max="12517" width="46.5546875" style="5" bestFit="1" customWidth="1"/>
    <col min="12518" max="12518" width="47.5546875" style="5" bestFit="1" customWidth="1"/>
    <col min="12519" max="12519" width="39.109375" style="5" bestFit="1" customWidth="1"/>
    <col min="12520" max="12520" width="20.6640625" style="5" bestFit="1" customWidth="1"/>
    <col min="12521" max="12521" width="17.33203125" style="5" bestFit="1" customWidth="1"/>
    <col min="12522" max="12522" width="33.109375" style="5" bestFit="1" customWidth="1"/>
    <col min="12523" max="12523" width="43.88671875" style="5" bestFit="1" customWidth="1"/>
    <col min="12524" max="12524" width="43.5546875" style="5" bestFit="1" customWidth="1"/>
    <col min="12525" max="12525" width="16.109375" style="5" bestFit="1" customWidth="1"/>
    <col min="12526" max="12526" width="17.33203125" style="5" bestFit="1" customWidth="1"/>
    <col min="12527" max="12527" width="28.6640625" style="5" bestFit="1" customWidth="1"/>
    <col min="12528" max="12528" width="44.33203125" style="5" bestFit="1" customWidth="1"/>
    <col min="12529" max="12529" width="38" style="5" bestFit="1" customWidth="1"/>
    <col min="12530" max="12530" width="16.109375" style="5" bestFit="1" customWidth="1"/>
    <col min="12531" max="12531" width="17.33203125" style="5" bestFit="1" customWidth="1"/>
    <col min="12532" max="12532" width="20.33203125" style="5" bestFit="1" customWidth="1"/>
    <col min="12533" max="12533" width="29.44140625" style="5" bestFit="1" customWidth="1"/>
    <col min="12534" max="12534" width="28.44140625" style="5" bestFit="1" customWidth="1"/>
    <col min="12535" max="12535" width="16.109375" style="5" bestFit="1" customWidth="1"/>
    <col min="12536" max="12536" width="17.33203125" style="5" bestFit="1" customWidth="1"/>
    <col min="12537" max="12537" width="63.109375" style="5" bestFit="1" customWidth="1"/>
    <col min="12538" max="12538" width="43.5546875" style="5" bestFit="1" customWidth="1"/>
    <col min="12539" max="12539" width="32.44140625" style="5" bestFit="1" customWidth="1"/>
    <col min="12540" max="12540" width="22.6640625" style="5" bestFit="1" customWidth="1"/>
    <col min="12541" max="12541" width="56.5546875" style="5" bestFit="1" customWidth="1"/>
    <col min="12542" max="12542" width="39.5546875" style="5" bestFit="1" customWidth="1"/>
    <col min="12543" max="12543" width="24.6640625" style="5" bestFit="1" customWidth="1"/>
    <col min="12544" max="12544" width="61.88671875" style="5" bestFit="1" customWidth="1"/>
    <col min="12545" max="12545" width="29.33203125" style="5" bestFit="1" customWidth="1"/>
    <col min="12546" max="12546" width="29.5546875" style="5" bestFit="1" customWidth="1"/>
    <col min="12547" max="12547" width="64.33203125" style="5" bestFit="1" customWidth="1"/>
    <col min="12548" max="12548" width="37" style="5" bestFit="1" customWidth="1"/>
    <col min="12549" max="12549" width="26.109375" style="5" bestFit="1" customWidth="1"/>
    <col min="12550" max="12550" width="14.44140625" style="5" bestFit="1" customWidth="1"/>
    <col min="12551" max="12551" width="16.44140625" style="5" bestFit="1" customWidth="1"/>
    <col min="12552" max="12552" width="15.6640625" style="5" bestFit="1" customWidth="1"/>
    <col min="12553" max="12554" width="19" style="5" bestFit="1" customWidth="1"/>
    <col min="12555" max="12555" width="25.5546875" style="5" customWidth="1"/>
    <col min="12556" max="12556" width="25.44140625" style="5" customWidth="1"/>
    <col min="12557" max="12711" width="8.88671875" style="5"/>
    <col min="12712" max="12712" width="11.44140625" style="5" bestFit="1" customWidth="1"/>
    <col min="12713" max="12713" width="13.6640625" style="5" bestFit="1" customWidth="1"/>
    <col min="12714" max="12714" width="34.109375" style="5" bestFit="1" customWidth="1"/>
    <col min="12715" max="12715" width="13.44140625" style="5" customWidth="1"/>
    <col min="12716" max="12716" width="12.33203125" style="5" customWidth="1"/>
    <col min="12717" max="12717" width="10.88671875" style="5" customWidth="1"/>
    <col min="12718" max="12718" width="10.33203125" style="5" customWidth="1"/>
    <col min="12719" max="12719" width="12.44140625" style="5" customWidth="1"/>
    <col min="12720" max="12720" width="10" style="5" customWidth="1"/>
    <col min="12721" max="12721" width="10.88671875" style="5" customWidth="1"/>
    <col min="12722" max="12722" width="12.33203125" style="5" customWidth="1"/>
    <col min="12723" max="12723" width="66.5546875" style="5" customWidth="1"/>
    <col min="12724" max="12724" width="30.33203125" style="5" customWidth="1"/>
    <col min="12725" max="12725" width="25.5546875" style="5" customWidth="1"/>
    <col min="12726" max="12726" width="16.44140625" style="5" customWidth="1"/>
    <col min="12727" max="12727" width="16.109375" style="5" customWidth="1"/>
    <col min="12728" max="12728" width="19.33203125" style="5" customWidth="1"/>
    <col min="12729" max="12729" width="19.88671875" style="5" customWidth="1"/>
    <col min="12730" max="12730" width="20.88671875" style="5" customWidth="1"/>
    <col min="12731" max="12731" width="17.109375" style="5" customWidth="1"/>
    <col min="12732" max="12732" width="17" style="5" customWidth="1"/>
    <col min="12733" max="12733" width="17.6640625" style="5" customWidth="1"/>
    <col min="12734" max="12734" width="14.109375" style="5" customWidth="1"/>
    <col min="12735" max="12735" width="15.109375" style="5" customWidth="1"/>
    <col min="12736" max="12736" width="19.5546875" style="5" customWidth="1"/>
    <col min="12737" max="12737" width="20" style="5" customWidth="1"/>
    <col min="12738" max="12738" width="20.109375" style="5" customWidth="1"/>
    <col min="12739" max="12739" width="30.6640625" style="5" customWidth="1"/>
    <col min="12740" max="12740" width="26.44140625" style="5" customWidth="1"/>
    <col min="12741" max="12741" width="21.109375" style="5" customWidth="1"/>
    <col min="12742" max="12742" width="29.5546875" style="5" customWidth="1"/>
    <col min="12743" max="12743" width="10.88671875" style="5" customWidth="1"/>
    <col min="12744" max="12744" width="10.33203125" style="5" customWidth="1"/>
    <col min="12745" max="12745" width="16.33203125" style="5" customWidth="1"/>
    <col min="12746" max="12746" width="14.44140625" style="5" customWidth="1"/>
    <col min="12747" max="12747" width="25.6640625" style="5" customWidth="1"/>
    <col min="12748" max="12748" width="10.88671875" style="5" customWidth="1"/>
    <col min="12749" max="12749" width="19.5546875" style="5" customWidth="1"/>
    <col min="12750" max="12750" width="13.44140625" style="5" customWidth="1"/>
    <col min="12751" max="12751" width="15.109375" style="5" customWidth="1"/>
    <col min="12752" max="12752" width="24.88671875" style="5" customWidth="1"/>
    <col min="12753" max="12753" width="10.88671875" style="5" customWidth="1"/>
    <col min="12754" max="12754" width="13.5546875" style="5" customWidth="1"/>
    <col min="12755" max="12755" width="13.44140625" style="5" customWidth="1"/>
    <col min="12756" max="12756" width="15.109375" style="5" customWidth="1"/>
    <col min="12757" max="12757" width="16.44140625" style="5" customWidth="1"/>
    <col min="12758" max="12758" width="11.5546875" style="5" customWidth="1"/>
    <col min="12759" max="12759" width="13.44140625" style="5" customWidth="1"/>
    <col min="12760" max="12760" width="16.33203125" style="5" customWidth="1"/>
    <col min="12761" max="12761" width="45.6640625" style="5" bestFit="1" customWidth="1"/>
    <col min="12762" max="12762" width="31.6640625" style="5" bestFit="1" customWidth="1"/>
    <col min="12763" max="12763" width="18.88671875" style="5" bestFit="1" customWidth="1"/>
    <col min="12764" max="12764" width="115.44140625" style="5" bestFit="1" customWidth="1"/>
    <col min="12765" max="12765" width="26.5546875" style="5" bestFit="1" customWidth="1"/>
    <col min="12766" max="12766" width="118.109375" style="5" bestFit="1" customWidth="1"/>
    <col min="12767" max="12767" width="26.5546875" style="5" bestFit="1" customWidth="1"/>
    <col min="12768" max="12768" width="17.88671875" style="5" bestFit="1" customWidth="1"/>
    <col min="12769" max="12769" width="16" style="5" customWidth="1"/>
    <col min="12770" max="12770" width="18.88671875" style="5" bestFit="1" customWidth="1"/>
    <col min="12771" max="12771" width="22" style="5" customWidth="1"/>
    <col min="12772" max="12772" width="29.88671875" style="5" bestFit="1" customWidth="1"/>
    <col min="12773" max="12773" width="46.5546875" style="5" bestFit="1" customWidth="1"/>
    <col min="12774" max="12774" width="47.5546875" style="5" bestFit="1" customWidth="1"/>
    <col min="12775" max="12775" width="39.109375" style="5" bestFit="1" customWidth="1"/>
    <col min="12776" max="12776" width="20.6640625" style="5" bestFit="1" customWidth="1"/>
    <col min="12777" max="12777" width="17.33203125" style="5" bestFit="1" customWidth="1"/>
    <col min="12778" max="12778" width="33.109375" style="5" bestFit="1" customWidth="1"/>
    <col min="12779" max="12779" width="43.88671875" style="5" bestFit="1" customWidth="1"/>
    <col min="12780" max="12780" width="43.5546875" style="5" bestFit="1" customWidth="1"/>
    <col min="12781" max="12781" width="16.109375" style="5" bestFit="1" customWidth="1"/>
    <col min="12782" max="12782" width="17.33203125" style="5" bestFit="1" customWidth="1"/>
    <col min="12783" max="12783" width="28.6640625" style="5" bestFit="1" customWidth="1"/>
    <col min="12784" max="12784" width="44.33203125" style="5" bestFit="1" customWidth="1"/>
    <col min="12785" max="12785" width="38" style="5" bestFit="1" customWidth="1"/>
    <col min="12786" max="12786" width="16.109375" style="5" bestFit="1" customWidth="1"/>
    <col min="12787" max="12787" width="17.33203125" style="5" bestFit="1" customWidth="1"/>
    <col min="12788" max="12788" width="20.33203125" style="5" bestFit="1" customWidth="1"/>
    <col min="12789" max="12789" width="29.44140625" style="5" bestFit="1" customWidth="1"/>
    <col min="12790" max="12790" width="28.44140625" style="5" bestFit="1" customWidth="1"/>
    <col min="12791" max="12791" width="16.109375" style="5" bestFit="1" customWidth="1"/>
    <col min="12792" max="12792" width="17.33203125" style="5" bestFit="1" customWidth="1"/>
    <col min="12793" max="12793" width="63.109375" style="5" bestFit="1" customWidth="1"/>
    <col min="12794" max="12794" width="43.5546875" style="5" bestFit="1" customWidth="1"/>
    <col min="12795" max="12795" width="32.44140625" style="5" bestFit="1" customWidth="1"/>
    <col min="12796" max="12796" width="22.6640625" style="5" bestFit="1" customWidth="1"/>
    <col min="12797" max="12797" width="56.5546875" style="5" bestFit="1" customWidth="1"/>
    <col min="12798" max="12798" width="39.5546875" style="5" bestFit="1" customWidth="1"/>
    <col min="12799" max="12799" width="24.6640625" style="5" bestFit="1" customWidth="1"/>
    <col min="12800" max="12800" width="61.88671875" style="5" bestFit="1" customWidth="1"/>
    <col min="12801" max="12801" width="29.33203125" style="5" bestFit="1" customWidth="1"/>
    <col min="12802" max="12802" width="29.5546875" style="5" bestFit="1" customWidth="1"/>
    <col min="12803" max="12803" width="64.33203125" style="5" bestFit="1" customWidth="1"/>
    <col min="12804" max="12804" width="37" style="5" bestFit="1" customWidth="1"/>
    <col min="12805" max="12805" width="26.109375" style="5" bestFit="1" customWidth="1"/>
    <col min="12806" max="12806" width="14.44140625" style="5" bestFit="1" customWidth="1"/>
    <col min="12807" max="12807" width="16.44140625" style="5" bestFit="1" customWidth="1"/>
    <col min="12808" max="12808" width="15.6640625" style="5" bestFit="1" customWidth="1"/>
    <col min="12809" max="12810" width="19" style="5" bestFit="1" customWidth="1"/>
    <col min="12811" max="12811" width="25.5546875" style="5" customWidth="1"/>
    <col min="12812" max="12812" width="25.44140625" style="5" customWidth="1"/>
    <col min="12813" max="12967" width="8.88671875" style="5"/>
    <col min="12968" max="12968" width="11.44140625" style="5" bestFit="1" customWidth="1"/>
    <col min="12969" max="12969" width="13.6640625" style="5" bestFit="1" customWidth="1"/>
    <col min="12970" max="12970" width="34.109375" style="5" bestFit="1" customWidth="1"/>
    <col min="12971" max="12971" width="13.44140625" style="5" customWidth="1"/>
    <col min="12972" max="12972" width="12.33203125" style="5" customWidth="1"/>
    <col min="12973" max="12973" width="10.88671875" style="5" customWidth="1"/>
    <col min="12974" max="12974" width="10.33203125" style="5" customWidth="1"/>
    <col min="12975" max="12975" width="12.44140625" style="5" customWidth="1"/>
    <col min="12976" max="12976" width="10" style="5" customWidth="1"/>
    <col min="12977" max="12977" width="10.88671875" style="5" customWidth="1"/>
    <col min="12978" max="12978" width="12.33203125" style="5" customWidth="1"/>
    <col min="12979" max="12979" width="66.5546875" style="5" customWidth="1"/>
    <col min="12980" max="12980" width="30.33203125" style="5" customWidth="1"/>
    <col min="12981" max="12981" width="25.5546875" style="5" customWidth="1"/>
    <col min="12982" max="12982" width="16.44140625" style="5" customWidth="1"/>
    <col min="12983" max="12983" width="16.109375" style="5" customWidth="1"/>
    <col min="12984" max="12984" width="19.33203125" style="5" customWidth="1"/>
    <col min="12985" max="12985" width="19.88671875" style="5" customWidth="1"/>
    <col min="12986" max="12986" width="20.88671875" style="5" customWidth="1"/>
    <col min="12987" max="12987" width="17.109375" style="5" customWidth="1"/>
    <col min="12988" max="12988" width="17" style="5" customWidth="1"/>
    <col min="12989" max="12989" width="17.6640625" style="5" customWidth="1"/>
    <col min="12990" max="12990" width="14.109375" style="5" customWidth="1"/>
    <col min="12991" max="12991" width="15.109375" style="5" customWidth="1"/>
    <col min="12992" max="12992" width="19.5546875" style="5" customWidth="1"/>
    <col min="12993" max="12993" width="20" style="5" customWidth="1"/>
    <col min="12994" max="12994" width="20.109375" style="5" customWidth="1"/>
    <col min="12995" max="12995" width="30.6640625" style="5" customWidth="1"/>
    <col min="12996" max="12996" width="26.44140625" style="5" customWidth="1"/>
    <col min="12997" max="12997" width="21.109375" style="5" customWidth="1"/>
    <col min="12998" max="12998" width="29.5546875" style="5" customWidth="1"/>
    <col min="12999" max="12999" width="10.88671875" style="5" customWidth="1"/>
    <col min="13000" max="13000" width="10.33203125" style="5" customWidth="1"/>
    <col min="13001" max="13001" width="16.33203125" style="5" customWidth="1"/>
    <col min="13002" max="13002" width="14.44140625" style="5" customWidth="1"/>
    <col min="13003" max="13003" width="25.6640625" style="5" customWidth="1"/>
    <col min="13004" max="13004" width="10.88671875" style="5" customWidth="1"/>
    <col min="13005" max="13005" width="19.5546875" style="5" customWidth="1"/>
    <col min="13006" max="13006" width="13.44140625" style="5" customWidth="1"/>
    <col min="13007" max="13007" width="15.109375" style="5" customWidth="1"/>
    <col min="13008" max="13008" width="24.88671875" style="5" customWidth="1"/>
    <col min="13009" max="13009" width="10.88671875" style="5" customWidth="1"/>
    <col min="13010" max="13010" width="13.5546875" style="5" customWidth="1"/>
    <col min="13011" max="13011" width="13.44140625" style="5" customWidth="1"/>
    <col min="13012" max="13012" width="15.109375" style="5" customWidth="1"/>
    <col min="13013" max="13013" width="16.44140625" style="5" customWidth="1"/>
    <col min="13014" max="13014" width="11.5546875" style="5" customWidth="1"/>
    <col min="13015" max="13015" width="13.44140625" style="5" customWidth="1"/>
    <col min="13016" max="13016" width="16.33203125" style="5" customWidth="1"/>
    <col min="13017" max="13017" width="45.6640625" style="5" bestFit="1" customWidth="1"/>
    <col min="13018" max="13018" width="31.6640625" style="5" bestFit="1" customWidth="1"/>
    <col min="13019" max="13019" width="18.88671875" style="5" bestFit="1" customWidth="1"/>
    <col min="13020" max="13020" width="115.44140625" style="5" bestFit="1" customWidth="1"/>
    <col min="13021" max="13021" width="26.5546875" style="5" bestFit="1" customWidth="1"/>
    <col min="13022" max="13022" width="118.109375" style="5" bestFit="1" customWidth="1"/>
    <col min="13023" max="13023" width="26.5546875" style="5" bestFit="1" customWidth="1"/>
    <col min="13024" max="13024" width="17.88671875" style="5" bestFit="1" customWidth="1"/>
    <col min="13025" max="13025" width="16" style="5" customWidth="1"/>
    <col min="13026" max="13026" width="18.88671875" style="5" bestFit="1" customWidth="1"/>
    <col min="13027" max="13027" width="22" style="5" customWidth="1"/>
    <col min="13028" max="13028" width="29.88671875" style="5" bestFit="1" customWidth="1"/>
    <col min="13029" max="13029" width="46.5546875" style="5" bestFit="1" customWidth="1"/>
    <col min="13030" max="13030" width="47.5546875" style="5" bestFit="1" customWidth="1"/>
    <col min="13031" max="13031" width="39.109375" style="5" bestFit="1" customWidth="1"/>
    <col min="13032" max="13032" width="20.6640625" style="5" bestFit="1" customWidth="1"/>
    <col min="13033" max="13033" width="17.33203125" style="5" bestFit="1" customWidth="1"/>
    <col min="13034" max="13034" width="33.109375" style="5" bestFit="1" customWidth="1"/>
    <col min="13035" max="13035" width="43.88671875" style="5" bestFit="1" customWidth="1"/>
    <col min="13036" max="13036" width="43.5546875" style="5" bestFit="1" customWidth="1"/>
    <col min="13037" max="13037" width="16.109375" style="5" bestFit="1" customWidth="1"/>
    <col min="13038" max="13038" width="17.33203125" style="5" bestFit="1" customWidth="1"/>
    <col min="13039" max="13039" width="28.6640625" style="5" bestFit="1" customWidth="1"/>
    <col min="13040" max="13040" width="44.33203125" style="5" bestFit="1" customWidth="1"/>
    <col min="13041" max="13041" width="38" style="5" bestFit="1" customWidth="1"/>
    <col min="13042" max="13042" width="16.109375" style="5" bestFit="1" customWidth="1"/>
    <col min="13043" max="13043" width="17.33203125" style="5" bestFit="1" customWidth="1"/>
    <col min="13044" max="13044" width="20.33203125" style="5" bestFit="1" customWidth="1"/>
    <col min="13045" max="13045" width="29.44140625" style="5" bestFit="1" customWidth="1"/>
    <col min="13046" max="13046" width="28.44140625" style="5" bestFit="1" customWidth="1"/>
    <col min="13047" max="13047" width="16.109375" style="5" bestFit="1" customWidth="1"/>
    <col min="13048" max="13048" width="17.33203125" style="5" bestFit="1" customWidth="1"/>
    <col min="13049" max="13049" width="63.109375" style="5" bestFit="1" customWidth="1"/>
    <col min="13050" max="13050" width="43.5546875" style="5" bestFit="1" customWidth="1"/>
    <col min="13051" max="13051" width="32.44140625" style="5" bestFit="1" customWidth="1"/>
    <col min="13052" max="13052" width="22.6640625" style="5" bestFit="1" customWidth="1"/>
    <col min="13053" max="13053" width="56.5546875" style="5" bestFit="1" customWidth="1"/>
    <col min="13054" max="13054" width="39.5546875" style="5" bestFit="1" customWidth="1"/>
    <col min="13055" max="13055" width="24.6640625" style="5" bestFit="1" customWidth="1"/>
    <col min="13056" max="13056" width="61.88671875" style="5" bestFit="1" customWidth="1"/>
    <col min="13057" max="13057" width="29.33203125" style="5" bestFit="1" customWidth="1"/>
    <col min="13058" max="13058" width="29.5546875" style="5" bestFit="1" customWidth="1"/>
    <col min="13059" max="13059" width="64.33203125" style="5" bestFit="1" customWidth="1"/>
    <col min="13060" max="13060" width="37" style="5" bestFit="1" customWidth="1"/>
    <col min="13061" max="13061" width="26.109375" style="5" bestFit="1" customWidth="1"/>
    <col min="13062" max="13062" width="14.44140625" style="5" bestFit="1" customWidth="1"/>
    <col min="13063" max="13063" width="16.44140625" style="5" bestFit="1" customWidth="1"/>
    <col min="13064" max="13064" width="15.6640625" style="5" bestFit="1" customWidth="1"/>
    <col min="13065" max="13066" width="19" style="5" bestFit="1" customWidth="1"/>
    <col min="13067" max="13067" width="25.5546875" style="5" customWidth="1"/>
    <col min="13068" max="13068" width="25.44140625" style="5" customWidth="1"/>
    <col min="13069" max="13223" width="8.88671875" style="5"/>
    <col min="13224" max="13224" width="11.44140625" style="5" bestFit="1" customWidth="1"/>
    <col min="13225" max="13225" width="13.6640625" style="5" bestFit="1" customWidth="1"/>
    <col min="13226" max="13226" width="34.109375" style="5" bestFit="1" customWidth="1"/>
    <col min="13227" max="13227" width="13.44140625" style="5" customWidth="1"/>
    <col min="13228" max="13228" width="12.33203125" style="5" customWidth="1"/>
    <col min="13229" max="13229" width="10.88671875" style="5" customWidth="1"/>
    <col min="13230" max="13230" width="10.33203125" style="5" customWidth="1"/>
    <col min="13231" max="13231" width="12.44140625" style="5" customWidth="1"/>
    <col min="13232" max="13232" width="10" style="5" customWidth="1"/>
    <col min="13233" max="13233" width="10.88671875" style="5" customWidth="1"/>
    <col min="13234" max="13234" width="12.33203125" style="5" customWidth="1"/>
    <col min="13235" max="13235" width="66.5546875" style="5" customWidth="1"/>
    <col min="13236" max="13236" width="30.33203125" style="5" customWidth="1"/>
    <col min="13237" max="13237" width="25.5546875" style="5" customWidth="1"/>
    <col min="13238" max="13238" width="16.44140625" style="5" customWidth="1"/>
    <col min="13239" max="13239" width="16.109375" style="5" customWidth="1"/>
    <col min="13240" max="13240" width="19.33203125" style="5" customWidth="1"/>
    <col min="13241" max="13241" width="19.88671875" style="5" customWidth="1"/>
    <col min="13242" max="13242" width="20.88671875" style="5" customWidth="1"/>
    <col min="13243" max="13243" width="17.109375" style="5" customWidth="1"/>
    <col min="13244" max="13244" width="17" style="5" customWidth="1"/>
    <col min="13245" max="13245" width="17.6640625" style="5" customWidth="1"/>
    <col min="13246" max="13246" width="14.109375" style="5" customWidth="1"/>
    <col min="13247" max="13247" width="15.109375" style="5" customWidth="1"/>
    <col min="13248" max="13248" width="19.5546875" style="5" customWidth="1"/>
    <col min="13249" max="13249" width="20" style="5" customWidth="1"/>
    <col min="13250" max="13250" width="20.109375" style="5" customWidth="1"/>
    <col min="13251" max="13251" width="30.6640625" style="5" customWidth="1"/>
    <col min="13252" max="13252" width="26.44140625" style="5" customWidth="1"/>
    <col min="13253" max="13253" width="21.109375" style="5" customWidth="1"/>
    <col min="13254" max="13254" width="29.5546875" style="5" customWidth="1"/>
    <col min="13255" max="13255" width="10.88671875" style="5" customWidth="1"/>
    <col min="13256" max="13256" width="10.33203125" style="5" customWidth="1"/>
    <col min="13257" max="13257" width="16.33203125" style="5" customWidth="1"/>
    <col min="13258" max="13258" width="14.44140625" style="5" customWidth="1"/>
    <col min="13259" max="13259" width="25.6640625" style="5" customWidth="1"/>
    <col min="13260" max="13260" width="10.88671875" style="5" customWidth="1"/>
    <col min="13261" max="13261" width="19.5546875" style="5" customWidth="1"/>
    <col min="13262" max="13262" width="13.44140625" style="5" customWidth="1"/>
    <col min="13263" max="13263" width="15.109375" style="5" customWidth="1"/>
    <col min="13264" max="13264" width="24.88671875" style="5" customWidth="1"/>
    <col min="13265" max="13265" width="10.88671875" style="5" customWidth="1"/>
    <col min="13266" max="13266" width="13.5546875" style="5" customWidth="1"/>
    <col min="13267" max="13267" width="13.44140625" style="5" customWidth="1"/>
    <col min="13268" max="13268" width="15.109375" style="5" customWidth="1"/>
    <col min="13269" max="13269" width="16.44140625" style="5" customWidth="1"/>
    <col min="13270" max="13270" width="11.5546875" style="5" customWidth="1"/>
    <col min="13271" max="13271" width="13.44140625" style="5" customWidth="1"/>
    <col min="13272" max="13272" width="16.33203125" style="5" customWidth="1"/>
    <col min="13273" max="13273" width="45.6640625" style="5" bestFit="1" customWidth="1"/>
    <col min="13274" max="13274" width="31.6640625" style="5" bestFit="1" customWidth="1"/>
    <col min="13275" max="13275" width="18.88671875" style="5" bestFit="1" customWidth="1"/>
    <col min="13276" max="13276" width="115.44140625" style="5" bestFit="1" customWidth="1"/>
    <col min="13277" max="13277" width="26.5546875" style="5" bestFit="1" customWidth="1"/>
    <col min="13278" max="13278" width="118.109375" style="5" bestFit="1" customWidth="1"/>
    <col min="13279" max="13279" width="26.5546875" style="5" bestFit="1" customWidth="1"/>
    <col min="13280" max="13280" width="17.88671875" style="5" bestFit="1" customWidth="1"/>
    <col min="13281" max="13281" width="16" style="5" customWidth="1"/>
    <col min="13282" max="13282" width="18.88671875" style="5" bestFit="1" customWidth="1"/>
    <col min="13283" max="13283" width="22" style="5" customWidth="1"/>
    <col min="13284" max="13284" width="29.88671875" style="5" bestFit="1" customWidth="1"/>
    <col min="13285" max="13285" width="46.5546875" style="5" bestFit="1" customWidth="1"/>
    <col min="13286" max="13286" width="47.5546875" style="5" bestFit="1" customWidth="1"/>
    <col min="13287" max="13287" width="39.109375" style="5" bestFit="1" customWidth="1"/>
    <col min="13288" max="13288" width="20.6640625" style="5" bestFit="1" customWidth="1"/>
    <col min="13289" max="13289" width="17.33203125" style="5" bestFit="1" customWidth="1"/>
    <col min="13290" max="13290" width="33.109375" style="5" bestFit="1" customWidth="1"/>
    <col min="13291" max="13291" width="43.88671875" style="5" bestFit="1" customWidth="1"/>
    <col min="13292" max="13292" width="43.5546875" style="5" bestFit="1" customWidth="1"/>
    <col min="13293" max="13293" width="16.109375" style="5" bestFit="1" customWidth="1"/>
    <col min="13294" max="13294" width="17.33203125" style="5" bestFit="1" customWidth="1"/>
    <col min="13295" max="13295" width="28.6640625" style="5" bestFit="1" customWidth="1"/>
    <col min="13296" max="13296" width="44.33203125" style="5" bestFit="1" customWidth="1"/>
    <col min="13297" max="13297" width="38" style="5" bestFit="1" customWidth="1"/>
    <col min="13298" max="13298" width="16.109375" style="5" bestFit="1" customWidth="1"/>
    <col min="13299" max="13299" width="17.33203125" style="5" bestFit="1" customWidth="1"/>
    <col min="13300" max="13300" width="20.33203125" style="5" bestFit="1" customWidth="1"/>
    <col min="13301" max="13301" width="29.44140625" style="5" bestFit="1" customWidth="1"/>
    <col min="13302" max="13302" width="28.44140625" style="5" bestFit="1" customWidth="1"/>
    <col min="13303" max="13303" width="16.109375" style="5" bestFit="1" customWidth="1"/>
    <col min="13304" max="13304" width="17.33203125" style="5" bestFit="1" customWidth="1"/>
    <col min="13305" max="13305" width="63.109375" style="5" bestFit="1" customWidth="1"/>
    <col min="13306" max="13306" width="43.5546875" style="5" bestFit="1" customWidth="1"/>
    <col min="13307" max="13307" width="32.44140625" style="5" bestFit="1" customWidth="1"/>
    <col min="13308" max="13308" width="22.6640625" style="5" bestFit="1" customWidth="1"/>
    <col min="13309" max="13309" width="56.5546875" style="5" bestFit="1" customWidth="1"/>
    <col min="13310" max="13310" width="39.5546875" style="5" bestFit="1" customWidth="1"/>
    <col min="13311" max="13311" width="24.6640625" style="5" bestFit="1" customWidth="1"/>
    <col min="13312" max="13312" width="61.88671875" style="5" bestFit="1" customWidth="1"/>
    <col min="13313" max="13313" width="29.33203125" style="5" bestFit="1" customWidth="1"/>
    <col min="13314" max="13314" width="29.5546875" style="5" bestFit="1" customWidth="1"/>
    <col min="13315" max="13315" width="64.33203125" style="5" bestFit="1" customWidth="1"/>
    <col min="13316" max="13316" width="37" style="5" bestFit="1" customWidth="1"/>
    <col min="13317" max="13317" width="26.109375" style="5" bestFit="1" customWidth="1"/>
    <col min="13318" max="13318" width="14.44140625" style="5" bestFit="1" customWidth="1"/>
    <col min="13319" max="13319" width="16.44140625" style="5" bestFit="1" customWidth="1"/>
    <col min="13320" max="13320" width="15.6640625" style="5" bestFit="1" customWidth="1"/>
    <col min="13321" max="13322" width="19" style="5" bestFit="1" customWidth="1"/>
    <col min="13323" max="13323" width="25.5546875" style="5" customWidth="1"/>
    <col min="13324" max="13324" width="25.44140625" style="5" customWidth="1"/>
    <col min="13325" max="13479" width="8.88671875" style="5"/>
    <col min="13480" max="13480" width="11.44140625" style="5" bestFit="1" customWidth="1"/>
    <col min="13481" max="13481" width="13.6640625" style="5" bestFit="1" customWidth="1"/>
    <col min="13482" max="13482" width="34.109375" style="5" bestFit="1" customWidth="1"/>
    <col min="13483" max="13483" width="13.44140625" style="5" customWidth="1"/>
    <col min="13484" max="13484" width="12.33203125" style="5" customWidth="1"/>
    <col min="13485" max="13485" width="10.88671875" style="5" customWidth="1"/>
    <col min="13486" max="13486" width="10.33203125" style="5" customWidth="1"/>
    <col min="13487" max="13487" width="12.44140625" style="5" customWidth="1"/>
    <col min="13488" max="13488" width="10" style="5" customWidth="1"/>
    <col min="13489" max="13489" width="10.88671875" style="5" customWidth="1"/>
    <col min="13490" max="13490" width="12.33203125" style="5" customWidth="1"/>
    <col min="13491" max="13491" width="66.5546875" style="5" customWidth="1"/>
    <col min="13492" max="13492" width="30.33203125" style="5" customWidth="1"/>
    <col min="13493" max="13493" width="25.5546875" style="5" customWidth="1"/>
    <col min="13494" max="13494" width="16.44140625" style="5" customWidth="1"/>
    <col min="13495" max="13495" width="16.109375" style="5" customWidth="1"/>
    <col min="13496" max="13496" width="19.33203125" style="5" customWidth="1"/>
    <col min="13497" max="13497" width="19.88671875" style="5" customWidth="1"/>
    <col min="13498" max="13498" width="20.88671875" style="5" customWidth="1"/>
    <col min="13499" max="13499" width="17.109375" style="5" customWidth="1"/>
    <col min="13500" max="13500" width="17" style="5" customWidth="1"/>
    <col min="13501" max="13501" width="17.6640625" style="5" customWidth="1"/>
    <col min="13502" max="13502" width="14.109375" style="5" customWidth="1"/>
    <col min="13503" max="13503" width="15.109375" style="5" customWidth="1"/>
    <col min="13504" max="13504" width="19.5546875" style="5" customWidth="1"/>
    <col min="13505" max="13505" width="20" style="5" customWidth="1"/>
    <col min="13506" max="13506" width="20.109375" style="5" customWidth="1"/>
    <col min="13507" max="13507" width="30.6640625" style="5" customWidth="1"/>
    <col min="13508" max="13508" width="26.44140625" style="5" customWidth="1"/>
    <col min="13509" max="13509" width="21.109375" style="5" customWidth="1"/>
    <col min="13510" max="13510" width="29.5546875" style="5" customWidth="1"/>
    <col min="13511" max="13511" width="10.88671875" style="5" customWidth="1"/>
    <col min="13512" max="13512" width="10.33203125" style="5" customWidth="1"/>
    <col min="13513" max="13513" width="16.33203125" style="5" customWidth="1"/>
    <col min="13514" max="13514" width="14.44140625" style="5" customWidth="1"/>
    <col min="13515" max="13515" width="25.6640625" style="5" customWidth="1"/>
    <col min="13516" max="13516" width="10.88671875" style="5" customWidth="1"/>
    <col min="13517" max="13517" width="19.5546875" style="5" customWidth="1"/>
    <col min="13518" max="13518" width="13.44140625" style="5" customWidth="1"/>
    <col min="13519" max="13519" width="15.109375" style="5" customWidth="1"/>
    <col min="13520" max="13520" width="24.88671875" style="5" customWidth="1"/>
    <col min="13521" max="13521" width="10.88671875" style="5" customWidth="1"/>
    <col min="13522" max="13522" width="13.5546875" style="5" customWidth="1"/>
    <col min="13523" max="13523" width="13.44140625" style="5" customWidth="1"/>
    <col min="13524" max="13524" width="15.109375" style="5" customWidth="1"/>
    <col min="13525" max="13525" width="16.44140625" style="5" customWidth="1"/>
    <col min="13526" max="13526" width="11.5546875" style="5" customWidth="1"/>
    <col min="13527" max="13527" width="13.44140625" style="5" customWidth="1"/>
    <col min="13528" max="13528" width="16.33203125" style="5" customWidth="1"/>
    <col min="13529" max="13529" width="45.6640625" style="5" bestFit="1" customWidth="1"/>
    <col min="13530" max="13530" width="31.6640625" style="5" bestFit="1" customWidth="1"/>
    <col min="13531" max="13531" width="18.88671875" style="5" bestFit="1" customWidth="1"/>
    <col min="13532" max="13532" width="115.44140625" style="5" bestFit="1" customWidth="1"/>
    <col min="13533" max="13533" width="26.5546875" style="5" bestFit="1" customWidth="1"/>
    <col min="13534" max="13534" width="118.109375" style="5" bestFit="1" customWidth="1"/>
    <col min="13535" max="13535" width="26.5546875" style="5" bestFit="1" customWidth="1"/>
    <col min="13536" max="13536" width="17.88671875" style="5" bestFit="1" customWidth="1"/>
    <col min="13537" max="13537" width="16" style="5" customWidth="1"/>
    <col min="13538" max="13538" width="18.88671875" style="5" bestFit="1" customWidth="1"/>
    <col min="13539" max="13539" width="22" style="5" customWidth="1"/>
    <col min="13540" max="13540" width="29.88671875" style="5" bestFit="1" customWidth="1"/>
    <col min="13541" max="13541" width="46.5546875" style="5" bestFit="1" customWidth="1"/>
    <col min="13542" max="13542" width="47.5546875" style="5" bestFit="1" customWidth="1"/>
    <col min="13543" max="13543" width="39.109375" style="5" bestFit="1" customWidth="1"/>
    <col min="13544" max="13544" width="20.6640625" style="5" bestFit="1" customWidth="1"/>
    <col min="13545" max="13545" width="17.33203125" style="5" bestFit="1" customWidth="1"/>
    <col min="13546" max="13546" width="33.109375" style="5" bestFit="1" customWidth="1"/>
    <col min="13547" max="13547" width="43.88671875" style="5" bestFit="1" customWidth="1"/>
    <col min="13548" max="13548" width="43.5546875" style="5" bestFit="1" customWidth="1"/>
    <col min="13549" max="13549" width="16.109375" style="5" bestFit="1" customWidth="1"/>
    <col min="13550" max="13550" width="17.33203125" style="5" bestFit="1" customWidth="1"/>
    <col min="13551" max="13551" width="28.6640625" style="5" bestFit="1" customWidth="1"/>
    <col min="13552" max="13552" width="44.33203125" style="5" bestFit="1" customWidth="1"/>
    <col min="13553" max="13553" width="38" style="5" bestFit="1" customWidth="1"/>
    <col min="13554" max="13554" width="16.109375" style="5" bestFit="1" customWidth="1"/>
    <col min="13555" max="13555" width="17.33203125" style="5" bestFit="1" customWidth="1"/>
    <col min="13556" max="13556" width="20.33203125" style="5" bestFit="1" customWidth="1"/>
    <col min="13557" max="13557" width="29.44140625" style="5" bestFit="1" customWidth="1"/>
    <col min="13558" max="13558" width="28.44140625" style="5" bestFit="1" customWidth="1"/>
    <col min="13559" max="13559" width="16.109375" style="5" bestFit="1" customWidth="1"/>
    <col min="13560" max="13560" width="17.33203125" style="5" bestFit="1" customWidth="1"/>
    <col min="13561" max="13561" width="63.109375" style="5" bestFit="1" customWidth="1"/>
    <col min="13562" max="13562" width="43.5546875" style="5" bestFit="1" customWidth="1"/>
    <col min="13563" max="13563" width="32.44140625" style="5" bestFit="1" customWidth="1"/>
    <col min="13564" max="13564" width="22.6640625" style="5" bestFit="1" customWidth="1"/>
    <col min="13565" max="13565" width="56.5546875" style="5" bestFit="1" customWidth="1"/>
    <col min="13566" max="13566" width="39.5546875" style="5" bestFit="1" customWidth="1"/>
    <col min="13567" max="13567" width="24.6640625" style="5" bestFit="1" customWidth="1"/>
    <col min="13568" max="13568" width="61.88671875" style="5" bestFit="1" customWidth="1"/>
    <col min="13569" max="13569" width="29.33203125" style="5" bestFit="1" customWidth="1"/>
    <col min="13570" max="13570" width="29.5546875" style="5" bestFit="1" customWidth="1"/>
    <col min="13571" max="13571" width="64.33203125" style="5" bestFit="1" customWidth="1"/>
    <col min="13572" max="13572" width="37" style="5" bestFit="1" customWidth="1"/>
    <col min="13573" max="13573" width="26.109375" style="5" bestFit="1" customWidth="1"/>
    <col min="13574" max="13574" width="14.44140625" style="5" bestFit="1" customWidth="1"/>
    <col min="13575" max="13575" width="16.44140625" style="5" bestFit="1" customWidth="1"/>
    <col min="13576" max="13576" width="15.6640625" style="5" bestFit="1" customWidth="1"/>
    <col min="13577" max="13578" width="19" style="5" bestFit="1" customWidth="1"/>
    <col min="13579" max="13579" width="25.5546875" style="5" customWidth="1"/>
    <col min="13580" max="13580" width="25.44140625" style="5" customWidth="1"/>
    <col min="13581" max="13735" width="8.88671875" style="5"/>
    <col min="13736" max="13736" width="11.44140625" style="5" bestFit="1" customWidth="1"/>
    <col min="13737" max="13737" width="13.6640625" style="5" bestFit="1" customWidth="1"/>
    <col min="13738" max="13738" width="34.109375" style="5" bestFit="1" customWidth="1"/>
    <col min="13739" max="13739" width="13.44140625" style="5" customWidth="1"/>
    <col min="13740" max="13740" width="12.33203125" style="5" customWidth="1"/>
    <col min="13741" max="13741" width="10.88671875" style="5" customWidth="1"/>
    <col min="13742" max="13742" width="10.33203125" style="5" customWidth="1"/>
    <col min="13743" max="13743" width="12.44140625" style="5" customWidth="1"/>
    <col min="13744" max="13744" width="10" style="5" customWidth="1"/>
    <col min="13745" max="13745" width="10.88671875" style="5" customWidth="1"/>
    <col min="13746" max="13746" width="12.33203125" style="5" customWidth="1"/>
    <col min="13747" max="13747" width="66.5546875" style="5" customWidth="1"/>
    <col min="13748" max="13748" width="30.33203125" style="5" customWidth="1"/>
    <col min="13749" max="13749" width="25.5546875" style="5" customWidth="1"/>
    <col min="13750" max="13750" width="16.44140625" style="5" customWidth="1"/>
    <col min="13751" max="13751" width="16.109375" style="5" customWidth="1"/>
    <col min="13752" max="13752" width="19.33203125" style="5" customWidth="1"/>
    <col min="13753" max="13753" width="19.88671875" style="5" customWidth="1"/>
    <col min="13754" max="13754" width="20.88671875" style="5" customWidth="1"/>
    <col min="13755" max="13755" width="17.109375" style="5" customWidth="1"/>
    <col min="13756" max="13756" width="17" style="5" customWidth="1"/>
    <col min="13757" max="13757" width="17.6640625" style="5" customWidth="1"/>
    <col min="13758" max="13758" width="14.109375" style="5" customWidth="1"/>
    <col min="13759" max="13759" width="15.109375" style="5" customWidth="1"/>
    <col min="13760" max="13760" width="19.5546875" style="5" customWidth="1"/>
    <col min="13761" max="13761" width="20" style="5" customWidth="1"/>
    <col min="13762" max="13762" width="20.109375" style="5" customWidth="1"/>
    <col min="13763" max="13763" width="30.6640625" style="5" customWidth="1"/>
    <col min="13764" max="13764" width="26.44140625" style="5" customWidth="1"/>
    <col min="13765" max="13765" width="21.109375" style="5" customWidth="1"/>
    <col min="13766" max="13766" width="29.5546875" style="5" customWidth="1"/>
    <col min="13767" max="13767" width="10.88671875" style="5" customWidth="1"/>
    <col min="13768" max="13768" width="10.33203125" style="5" customWidth="1"/>
    <col min="13769" max="13769" width="16.33203125" style="5" customWidth="1"/>
    <col min="13770" max="13770" width="14.44140625" style="5" customWidth="1"/>
    <col min="13771" max="13771" width="25.6640625" style="5" customWidth="1"/>
    <col min="13772" max="13772" width="10.88671875" style="5" customWidth="1"/>
    <col min="13773" max="13773" width="19.5546875" style="5" customWidth="1"/>
    <col min="13774" max="13774" width="13.44140625" style="5" customWidth="1"/>
    <col min="13775" max="13775" width="15.109375" style="5" customWidth="1"/>
    <col min="13776" max="13776" width="24.88671875" style="5" customWidth="1"/>
    <col min="13777" max="13777" width="10.88671875" style="5" customWidth="1"/>
    <col min="13778" max="13778" width="13.5546875" style="5" customWidth="1"/>
    <col min="13779" max="13779" width="13.44140625" style="5" customWidth="1"/>
    <col min="13780" max="13780" width="15.109375" style="5" customWidth="1"/>
    <col min="13781" max="13781" width="16.44140625" style="5" customWidth="1"/>
    <col min="13782" max="13782" width="11.5546875" style="5" customWidth="1"/>
    <col min="13783" max="13783" width="13.44140625" style="5" customWidth="1"/>
    <col min="13784" max="13784" width="16.33203125" style="5" customWidth="1"/>
    <col min="13785" max="13785" width="45.6640625" style="5" bestFit="1" customWidth="1"/>
    <col min="13786" max="13786" width="31.6640625" style="5" bestFit="1" customWidth="1"/>
    <col min="13787" max="13787" width="18.88671875" style="5" bestFit="1" customWidth="1"/>
    <col min="13788" max="13788" width="115.44140625" style="5" bestFit="1" customWidth="1"/>
    <col min="13789" max="13789" width="26.5546875" style="5" bestFit="1" customWidth="1"/>
    <col min="13790" max="13790" width="118.109375" style="5" bestFit="1" customWidth="1"/>
    <col min="13791" max="13791" width="26.5546875" style="5" bestFit="1" customWidth="1"/>
    <col min="13792" max="13792" width="17.88671875" style="5" bestFit="1" customWidth="1"/>
    <col min="13793" max="13793" width="16" style="5" customWidth="1"/>
    <col min="13794" max="13794" width="18.88671875" style="5" bestFit="1" customWidth="1"/>
    <col min="13795" max="13795" width="22" style="5" customWidth="1"/>
    <col min="13796" max="13796" width="29.88671875" style="5" bestFit="1" customWidth="1"/>
    <col min="13797" max="13797" width="46.5546875" style="5" bestFit="1" customWidth="1"/>
    <col min="13798" max="13798" width="47.5546875" style="5" bestFit="1" customWidth="1"/>
    <col min="13799" max="13799" width="39.109375" style="5" bestFit="1" customWidth="1"/>
    <col min="13800" max="13800" width="20.6640625" style="5" bestFit="1" customWidth="1"/>
    <col min="13801" max="13801" width="17.33203125" style="5" bestFit="1" customWidth="1"/>
    <col min="13802" max="13802" width="33.109375" style="5" bestFit="1" customWidth="1"/>
    <col min="13803" max="13803" width="43.88671875" style="5" bestFit="1" customWidth="1"/>
    <col min="13804" max="13804" width="43.5546875" style="5" bestFit="1" customWidth="1"/>
    <col min="13805" max="13805" width="16.109375" style="5" bestFit="1" customWidth="1"/>
    <col min="13806" max="13806" width="17.33203125" style="5" bestFit="1" customWidth="1"/>
    <col min="13807" max="13807" width="28.6640625" style="5" bestFit="1" customWidth="1"/>
    <col min="13808" max="13808" width="44.33203125" style="5" bestFit="1" customWidth="1"/>
    <col min="13809" max="13809" width="38" style="5" bestFit="1" customWidth="1"/>
    <col min="13810" max="13810" width="16.109375" style="5" bestFit="1" customWidth="1"/>
    <col min="13811" max="13811" width="17.33203125" style="5" bestFit="1" customWidth="1"/>
    <col min="13812" max="13812" width="20.33203125" style="5" bestFit="1" customWidth="1"/>
    <col min="13813" max="13813" width="29.44140625" style="5" bestFit="1" customWidth="1"/>
    <col min="13814" max="13814" width="28.44140625" style="5" bestFit="1" customWidth="1"/>
    <col min="13815" max="13815" width="16.109375" style="5" bestFit="1" customWidth="1"/>
    <col min="13816" max="13816" width="17.33203125" style="5" bestFit="1" customWidth="1"/>
    <col min="13817" max="13817" width="63.109375" style="5" bestFit="1" customWidth="1"/>
    <col min="13818" max="13818" width="43.5546875" style="5" bestFit="1" customWidth="1"/>
    <col min="13819" max="13819" width="32.44140625" style="5" bestFit="1" customWidth="1"/>
    <col min="13820" max="13820" width="22.6640625" style="5" bestFit="1" customWidth="1"/>
    <col min="13821" max="13821" width="56.5546875" style="5" bestFit="1" customWidth="1"/>
    <col min="13822" max="13822" width="39.5546875" style="5" bestFit="1" customWidth="1"/>
    <col min="13823" max="13823" width="24.6640625" style="5" bestFit="1" customWidth="1"/>
    <col min="13824" max="13824" width="61.88671875" style="5" bestFit="1" customWidth="1"/>
    <col min="13825" max="13825" width="29.33203125" style="5" bestFit="1" customWidth="1"/>
    <col min="13826" max="13826" width="29.5546875" style="5" bestFit="1" customWidth="1"/>
    <col min="13827" max="13827" width="64.33203125" style="5" bestFit="1" customWidth="1"/>
    <col min="13828" max="13828" width="37" style="5" bestFit="1" customWidth="1"/>
    <col min="13829" max="13829" width="26.109375" style="5" bestFit="1" customWidth="1"/>
    <col min="13830" max="13830" width="14.44140625" style="5" bestFit="1" customWidth="1"/>
    <col min="13831" max="13831" width="16.44140625" style="5" bestFit="1" customWidth="1"/>
    <col min="13832" max="13832" width="15.6640625" style="5" bestFit="1" customWidth="1"/>
    <col min="13833" max="13834" width="19" style="5" bestFit="1" customWidth="1"/>
    <col min="13835" max="13835" width="25.5546875" style="5" customWidth="1"/>
    <col min="13836" max="13836" width="25.44140625" style="5" customWidth="1"/>
    <col min="13837" max="13991" width="8.88671875" style="5"/>
    <col min="13992" max="13992" width="11.44140625" style="5" bestFit="1" customWidth="1"/>
    <col min="13993" max="13993" width="13.6640625" style="5" bestFit="1" customWidth="1"/>
    <col min="13994" max="13994" width="34.109375" style="5" bestFit="1" customWidth="1"/>
    <col min="13995" max="13995" width="13.44140625" style="5" customWidth="1"/>
    <col min="13996" max="13996" width="12.33203125" style="5" customWidth="1"/>
    <col min="13997" max="13997" width="10.88671875" style="5" customWidth="1"/>
    <col min="13998" max="13998" width="10.33203125" style="5" customWidth="1"/>
    <col min="13999" max="13999" width="12.44140625" style="5" customWidth="1"/>
    <col min="14000" max="14000" width="10" style="5" customWidth="1"/>
    <col min="14001" max="14001" width="10.88671875" style="5" customWidth="1"/>
    <col min="14002" max="14002" width="12.33203125" style="5" customWidth="1"/>
    <col min="14003" max="14003" width="66.5546875" style="5" customWidth="1"/>
    <col min="14004" max="14004" width="30.33203125" style="5" customWidth="1"/>
    <col min="14005" max="14005" width="25.5546875" style="5" customWidth="1"/>
    <col min="14006" max="14006" width="16.44140625" style="5" customWidth="1"/>
    <col min="14007" max="14007" width="16.109375" style="5" customWidth="1"/>
    <col min="14008" max="14008" width="19.33203125" style="5" customWidth="1"/>
    <col min="14009" max="14009" width="19.88671875" style="5" customWidth="1"/>
    <col min="14010" max="14010" width="20.88671875" style="5" customWidth="1"/>
    <col min="14011" max="14011" width="17.109375" style="5" customWidth="1"/>
    <col min="14012" max="14012" width="17" style="5" customWidth="1"/>
    <col min="14013" max="14013" width="17.6640625" style="5" customWidth="1"/>
    <col min="14014" max="14014" width="14.109375" style="5" customWidth="1"/>
    <col min="14015" max="14015" width="15.109375" style="5" customWidth="1"/>
    <col min="14016" max="14016" width="19.5546875" style="5" customWidth="1"/>
    <col min="14017" max="14017" width="20" style="5" customWidth="1"/>
    <col min="14018" max="14018" width="20.109375" style="5" customWidth="1"/>
    <col min="14019" max="14019" width="30.6640625" style="5" customWidth="1"/>
    <col min="14020" max="14020" width="26.44140625" style="5" customWidth="1"/>
    <col min="14021" max="14021" width="21.109375" style="5" customWidth="1"/>
    <col min="14022" max="14022" width="29.5546875" style="5" customWidth="1"/>
    <col min="14023" max="14023" width="10.88671875" style="5" customWidth="1"/>
    <col min="14024" max="14024" width="10.33203125" style="5" customWidth="1"/>
    <col min="14025" max="14025" width="16.33203125" style="5" customWidth="1"/>
    <col min="14026" max="14026" width="14.44140625" style="5" customWidth="1"/>
    <col min="14027" max="14027" width="25.6640625" style="5" customWidth="1"/>
    <col min="14028" max="14028" width="10.88671875" style="5" customWidth="1"/>
    <col min="14029" max="14029" width="19.5546875" style="5" customWidth="1"/>
    <col min="14030" max="14030" width="13.44140625" style="5" customWidth="1"/>
    <col min="14031" max="14031" width="15.109375" style="5" customWidth="1"/>
    <col min="14032" max="14032" width="24.88671875" style="5" customWidth="1"/>
    <col min="14033" max="14033" width="10.88671875" style="5" customWidth="1"/>
    <col min="14034" max="14034" width="13.5546875" style="5" customWidth="1"/>
    <col min="14035" max="14035" width="13.44140625" style="5" customWidth="1"/>
    <col min="14036" max="14036" width="15.109375" style="5" customWidth="1"/>
    <col min="14037" max="14037" width="16.44140625" style="5" customWidth="1"/>
    <col min="14038" max="14038" width="11.5546875" style="5" customWidth="1"/>
    <col min="14039" max="14039" width="13.44140625" style="5" customWidth="1"/>
    <col min="14040" max="14040" width="16.33203125" style="5" customWidth="1"/>
    <col min="14041" max="14041" width="45.6640625" style="5" bestFit="1" customWidth="1"/>
    <col min="14042" max="14042" width="31.6640625" style="5" bestFit="1" customWidth="1"/>
    <col min="14043" max="14043" width="18.88671875" style="5" bestFit="1" customWidth="1"/>
    <col min="14044" max="14044" width="115.44140625" style="5" bestFit="1" customWidth="1"/>
    <col min="14045" max="14045" width="26.5546875" style="5" bestFit="1" customWidth="1"/>
    <col min="14046" max="14046" width="118.109375" style="5" bestFit="1" customWidth="1"/>
    <col min="14047" max="14047" width="26.5546875" style="5" bestFit="1" customWidth="1"/>
    <col min="14048" max="14048" width="17.88671875" style="5" bestFit="1" customWidth="1"/>
    <col min="14049" max="14049" width="16" style="5" customWidth="1"/>
    <col min="14050" max="14050" width="18.88671875" style="5" bestFit="1" customWidth="1"/>
    <col min="14051" max="14051" width="22" style="5" customWidth="1"/>
    <col min="14052" max="14052" width="29.88671875" style="5" bestFit="1" customWidth="1"/>
    <col min="14053" max="14053" width="46.5546875" style="5" bestFit="1" customWidth="1"/>
    <col min="14054" max="14054" width="47.5546875" style="5" bestFit="1" customWidth="1"/>
    <col min="14055" max="14055" width="39.109375" style="5" bestFit="1" customWidth="1"/>
    <col min="14056" max="14056" width="20.6640625" style="5" bestFit="1" customWidth="1"/>
    <col min="14057" max="14057" width="17.33203125" style="5" bestFit="1" customWidth="1"/>
    <col min="14058" max="14058" width="33.109375" style="5" bestFit="1" customWidth="1"/>
    <col min="14059" max="14059" width="43.88671875" style="5" bestFit="1" customWidth="1"/>
    <col min="14060" max="14060" width="43.5546875" style="5" bestFit="1" customWidth="1"/>
    <col min="14061" max="14061" width="16.109375" style="5" bestFit="1" customWidth="1"/>
    <col min="14062" max="14062" width="17.33203125" style="5" bestFit="1" customWidth="1"/>
    <col min="14063" max="14063" width="28.6640625" style="5" bestFit="1" customWidth="1"/>
    <col min="14064" max="14064" width="44.33203125" style="5" bestFit="1" customWidth="1"/>
    <col min="14065" max="14065" width="38" style="5" bestFit="1" customWidth="1"/>
    <col min="14066" max="14066" width="16.109375" style="5" bestFit="1" customWidth="1"/>
    <col min="14067" max="14067" width="17.33203125" style="5" bestFit="1" customWidth="1"/>
    <col min="14068" max="14068" width="20.33203125" style="5" bestFit="1" customWidth="1"/>
    <col min="14069" max="14069" width="29.44140625" style="5" bestFit="1" customWidth="1"/>
    <col min="14070" max="14070" width="28.44140625" style="5" bestFit="1" customWidth="1"/>
    <col min="14071" max="14071" width="16.109375" style="5" bestFit="1" customWidth="1"/>
    <col min="14072" max="14072" width="17.33203125" style="5" bestFit="1" customWidth="1"/>
    <col min="14073" max="14073" width="63.109375" style="5" bestFit="1" customWidth="1"/>
    <col min="14074" max="14074" width="43.5546875" style="5" bestFit="1" customWidth="1"/>
    <col min="14075" max="14075" width="32.44140625" style="5" bestFit="1" customWidth="1"/>
    <col min="14076" max="14076" width="22.6640625" style="5" bestFit="1" customWidth="1"/>
    <col min="14077" max="14077" width="56.5546875" style="5" bestFit="1" customWidth="1"/>
    <col min="14078" max="14078" width="39.5546875" style="5" bestFit="1" customWidth="1"/>
    <col min="14079" max="14079" width="24.6640625" style="5" bestFit="1" customWidth="1"/>
    <col min="14080" max="14080" width="61.88671875" style="5" bestFit="1" customWidth="1"/>
    <col min="14081" max="14081" width="29.33203125" style="5" bestFit="1" customWidth="1"/>
    <col min="14082" max="14082" width="29.5546875" style="5" bestFit="1" customWidth="1"/>
    <col min="14083" max="14083" width="64.33203125" style="5" bestFit="1" customWidth="1"/>
    <col min="14084" max="14084" width="37" style="5" bestFit="1" customWidth="1"/>
    <col min="14085" max="14085" width="26.109375" style="5" bestFit="1" customWidth="1"/>
    <col min="14086" max="14086" width="14.44140625" style="5" bestFit="1" customWidth="1"/>
    <col min="14087" max="14087" width="16.44140625" style="5" bestFit="1" customWidth="1"/>
    <col min="14088" max="14088" width="15.6640625" style="5" bestFit="1" customWidth="1"/>
    <col min="14089" max="14090" width="19" style="5" bestFit="1" customWidth="1"/>
    <col min="14091" max="14091" width="25.5546875" style="5" customWidth="1"/>
    <col min="14092" max="14092" width="25.44140625" style="5" customWidth="1"/>
    <col min="14093" max="14247" width="8.88671875" style="5"/>
    <col min="14248" max="14248" width="11.44140625" style="5" bestFit="1" customWidth="1"/>
    <col min="14249" max="14249" width="13.6640625" style="5" bestFit="1" customWidth="1"/>
    <col min="14250" max="14250" width="34.109375" style="5" bestFit="1" customWidth="1"/>
    <col min="14251" max="14251" width="13.44140625" style="5" customWidth="1"/>
    <col min="14252" max="14252" width="12.33203125" style="5" customWidth="1"/>
    <col min="14253" max="14253" width="10.88671875" style="5" customWidth="1"/>
    <col min="14254" max="14254" width="10.33203125" style="5" customWidth="1"/>
    <col min="14255" max="14255" width="12.44140625" style="5" customWidth="1"/>
    <col min="14256" max="14256" width="10" style="5" customWidth="1"/>
    <col min="14257" max="14257" width="10.88671875" style="5" customWidth="1"/>
    <col min="14258" max="14258" width="12.33203125" style="5" customWidth="1"/>
    <col min="14259" max="14259" width="66.5546875" style="5" customWidth="1"/>
    <col min="14260" max="14260" width="30.33203125" style="5" customWidth="1"/>
    <col min="14261" max="14261" width="25.5546875" style="5" customWidth="1"/>
    <col min="14262" max="14262" width="16.44140625" style="5" customWidth="1"/>
    <col min="14263" max="14263" width="16.109375" style="5" customWidth="1"/>
    <col min="14264" max="14264" width="19.33203125" style="5" customWidth="1"/>
    <col min="14265" max="14265" width="19.88671875" style="5" customWidth="1"/>
    <col min="14266" max="14266" width="20.88671875" style="5" customWidth="1"/>
    <col min="14267" max="14267" width="17.109375" style="5" customWidth="1"/>
    <col min="14268" max="14268" width="17" style="5" customWidth="1"/>
    <col min="14269" max="14269" width="17.6640625" style="5" customWidth="1"/>
    <col min="14270" max="14270" width="14.109375" style="5" customWidth="1"/>
    <col min="14271" max="14271" width="15.109375" style="5" customWidth="1"/>
    <col min="14272" max="14272" width="19.5546875" style="5" customWidth="1"/>
    <col min="14273" max="14273" width="20" style="5" customWidth="1"/>
    <col min="14274" max="14274" width="20.109375" style="5" customWidth="1"/>
    <col min="14275" max="14275" width="30.6640625" style="5" customWidth="1"/>
    <col min="14276" max="14276" width="26.44140625" style="5" customWidth="1"/>
    <col min="14277" max="14277" width="21.109375" style="5" customWidth="1"/>
    <col min="14278" max="14278" width="29.5546875" style="5" customWidth="1"/>
    <col min="14279" max="14279" width="10.88671875" style="5" customWidth="1"/>
    <col min="14280" max="14280" width="10.33203125" style="5" customWidth="1"/>
    <col min="14281" max="14281" width="16.33203125" style="5" customWidth="1"/>
    <col min="14282" max="14282" width="14.44140625" style="5" customWidth="1"/>
    <col min="14283" max="14283" width="25.6640625" style="5" customWidth="1"/>
    <col min="14284" max="14284" width="10.88671875" style="5" customWidth="1"/>
    <col min="14285" max="14285" width="19.5546875" style="5" customWidth="1"/>
    <col min="14286" max="14286" width="13.44140625" style="5" customWidth="1"/>
    <col min="14287" max="14287" width="15.109375" style="5" customWidth="1"/>
    <col min="14288" max="14288" width="24.88671875" style="5" customWidth="1"/>
    <col min="14289" max="14289" width="10.88671875" style="5" customWidth="1"/>
    <col min="14290" max="14290" width="13.5546875" style="5" customWidth="1"/>
    <col min="14291" max="14291" width="13.44140625" style="5" customWidth="1"/>
    <col min="14292" max="14292" width="15.109375" style="5" customWidth="1"/>
    <col min="14293" max="14293" width="16.44140625" style="5" customWidth="1"/>
    <col min="14294" max="14294" width="11.5546875" style="5" customWidth="1"/>
    <col min="14295" max="14295" width="13.44140625" style="5" customWidth="1"/>
    <col min="14296" max="14296" width="16.33203125" style="5" customWidth="1"/>
    <col min="14297" max="14297" width="45.6640625" style="5" bestFit="1" customWidth="1"/>
    <col min="14298" max="14298" width="31.6640625" style="5" bestFit="1" customWidth="1"/>
    <col min="14299" max="14299" width="18.88671875" style="5" bestFit="1" customWidth="1"/>
    <col min="14300" max="14300" width="115.44140625" style="5" bestFit="1" customWidth="1"/>
    <col min="14301" max="14301" width="26.5546875" style="5" bestFit="1" customWidth="1"/>
    <col min="14302" max="14302" width="118.109375" style="5" bestFit="1" customWidth="1"/>
    <col min="14303" max="14303" width="26.5546875" style="5" bestFit="1" customWidth="1"/>
    <col min="14304" max="14304" width="17.88671875" style="5" bestFit="1" customWidth="1"/>
    <col min="14305" max="14305" width="16" style="5" customWidth="1"/>
    <col min="14306" max="14306" width="18.88671875" style="5" bestFit="1" customWidth="1"/>
    <col min="14307" max="14307" width="22" style="5" customWidth="1"/>
    <col min="14308" max="14308" width="29.88671875" style="5" bestFit="1" customWidth="1"/>
    <col min="14309" max="14309" width="46.5546875" style="5" bestFit="1" customWidth="1"/>
    <col min="14310" max="14310" width="47.5546875" style="5" bestFit="1" customWidth="1"/>
    <col min="14311" max="14311" width="39.109375" style="5" bestFit="1" customWidth="1"/>
    <col min="14312" max="14312" width="20.6640625" style="5" bestFit="1" customWidth="1"/>
    <col min="14313" max="14313" width="17.33203125" style="5" bestFit="1" customWidth="1"/>
    <col min="14314" max="14314" width="33.109375" style="5" bestFit="1" customWidth="1"/>
    <col min="14315" max="14315" width="43.88671875" style="5" bestFit="1" customWidth="1"/>
    <col min="14316" max="14316" width="43.5546875" style="5" bestFit="1" customWidth="1"/>
    <col min="14317" max="14317" width="16.109375" style="5" bestFit="1" customWidth="1"/>
    <col min="14318" max="14318" width="17.33203125" style="5" bestFit="1" customWidth="1"/>
    <col min="14319" max="14319" width="28.6640625" style="5" bestFit="1" customWidth="1"/>
    <col min="14320" max="14320" width="44.33203125" style="5" bestFit="1" customWidth="1"/>
    <col min="14321" max="14321" width="38" style="5" bestFit="1" customWidth="1"/>
    <col min="14322" max="14322" width="16.109375" style="5" bestFit="1" customWidth="1"/>
    <col min="14323" max="14323" width="17.33203125" style="5" bestFit="1" customWidth="1"/>
    <col min="14324" max="14324" width="20.33203125" style="5" bestFit="1" customWidth="1"/>
    <col min="14325" max="14325" width="29.44140625" style="5" bestFit="1" customWidth="1"/>
    <col min="14326" max="14326" width="28.44140625" style="5" bestFit="1" customWidth="1"/>
    <col min="14327" max="14327" width="16.109375" style="5" bestFit="1" customWidth="1"/>
    <col min="14328" max="14328" width="17.33203125" style="5" bestFit="1" customWidth="1"/>
    <col min="14329" max="14329" width="63.109375" style="5" bestFit="1" customWidth="1"/>
    <col min="14330" max="14330" width="43.5546875" style="5" bestFit="1" customWidth="1"/>
    <col min="14331" max="14331" width="32.44140625" style="5" bestFit="1" customWidth="1"/>
    <col min="14332" max="14332" width="22.6640625" style="5" bestFit="1" customWidth="1"/>
    <col min="14333" max="14333" width="56.5546875" style="5" bestFit="1" customWidth="1"/>
    <col min="14334" max="14334" width="39.5546875" style="5" bestFit="1" customWidth="1"/>
    <col min="14335" max="14335" width="24.6640625" style="5" bestFit="1" customWidth="1"/>
    <col min="14336" max="14336" width="61.88671875" style="5" bestFit="1" customWidth="1"/>
    <col min="14337" max="14337" width="29.33203125" style="5" bestFit="1" customWidth="1"/>
    <col min="14338" max="14338" width="29.5546875" style="5" bestFit="1" customWidth="1"/>
    <col min="14339" max="14339" width="64.33203125" style="5" bestFit="1" customWidth="1"/>
    <col min="14340" max="14340" width="37" style="5" bestFit="1" customWidth="1"/>
    <col min="14341" max="14341" width="26.109375" style="5" bestFit="1" customWidth="1"/>
    <col min="14342" max="14342" width="14.44140625" style="5" bestFit="1" customWidth="1"/>
    <col min="14343" max="14343" width="16.44140625" style="5" bestFit="1" customWidth="1"/>
    <col min="14344" max="14344" width="15.6640625" style="5" bestFit="1" customWidth="1"/>
    <col min="14345" max="14346" width="19" style="5" bestFit="1" customWidth="1"/>
    <col min="14347" max="14347" width="25.5546875" style="5" customWidth="1"/>
    <col min="14348" max="14348" width="25.44140625" style="5" customWidth="1"/>
    <col min="14349" max="14503" width="8.88671875" style="5"/>
    <col min="14504" max="14504" width="11.44140625" style="5" bestFit="1" customWidth="1"/>
    <col min="14505" max="14505" width="13.6640625" style="5" bestFit="1" customWidth="1"/>
    <col min="14506" max="14506" width="34.109375" style="5" bestFit="1" customWidth="1"/>
    <col min="14507" max="14507" width="13.44140625" style="5" customWidth="1"/>
    <col min="14508" max="14508" width="12.33203125" style="5" customWidth="1"/>
    <col min="14509" max="14509" width="10.88671875" style="5" customWidth="1"/>
    <col min="14510" max="14510" width="10.33203125" style="5" customWidth="1"/>
    <col min="14511" max="14511" width="12.44140625" style="5" customWidth="1"/>
    <col min="14512" max="14512" width="10" style="5" customWidth="1"/>
    <col min="14513" max="14513" width="10.88671875" style="5" customWidth="1"/>
    <col min="14514" max="14514" width="12.33203125" style="5" customWidth="1"/>
    <col min="14515" max="14515" width="66.5546875" style="5" customWidth="1"/>
    <col min="14516" max="14516" width="30.33203125" style="5" customWidth="1"/>
    <col min="14517" max="14517" width="25.5546875" style="5" customWidth="1"/>
    <col min="14518" max="14518" width="16.44140625" style="5" customWidth="1"/>
    <col min="14519" max="14519" width="16.109375" style="5" customWidth="1"/>
    <col min="14520" max="14520" width="19.33203125" style="5" customWidth="1"/>
    <col min="14521" max="14521" width="19.88671875" style="5" customWidth="1"/>
    <col min="14522" max="14522" width="20.88671875" style="5" customWidth="1"/>
    <col min="14523" max="14523" width="17.109375" style="5" customWidth="1"/>
    <col min="14524" max="14524" width="17" style="5" customWidth="1"/>
    <col min="14525" max="14525" width="17.6640625" style="5" customWidth="1"/>
    <col min="14526" max="14526" width="14.109375" style="5" customWidth="1"/>
    <col min="14527" max="14527" width="15.109375" style="5" customWidth="1"/>
    <col min="14528" max="14528" width="19.5546875" style="5" customWidth="1"/>
    <col min="14529" max="14529" width="20" style="5" customWidth="1"/>
    <col min="14530" max="14530" width="20.109375" style="5" customWidth="1"/>
    <col min="14531" max="14531" width="30.6640625" style="5" customWidth="1"/>
    <col min="14532" max="14532" width="26.44140625" style="5" customWidth="1"/>
    <col min="14533" max="14533" width="21.109375" style="5" customWidth="1"/>
    <col min="14534" max="14534" width="29.5546875" style="5" customWidth="1"/>
    <col min="14535" max="14535" width="10.88671875" style="5" customWidth="1"/>
    <col min="14536" max="14536" width="10.33203125" style="5" customWidth="1"/>
    <col min="14537" max="14537" width="16.33203125" style="5" customWidth="1"/>
    <col min="14538" max="14538" width="14.44140625" style="5" customWidth="1"/>
    <col min="14539" max="14539" width="25.6640625" style="5" customWidth="1"/>
    <col min="14540" max="14540" width="10.88671875" style="5" customWidth="1"/>
    <col min="14541" max="14541" width="19.5546875" style="5" customWidth="1"/>
    <col min="14542" max="14542" width="13.44140625" style="5" customWidth="1"/>
    <col min="14543" max="14543" width="15.109375" style="5" customWidth="1"/>
    <col min="14544" max="14544" width="24.88671875" style="5" customWidth="1"/>
    <col min="14545" max="14545" width="10.88671875" style="5" customWidth="1"/>
    <col min="14546" max="14546" width="13.5546875" style="5" customWidth="1"/>
    <col min="14547" max="14547" width="13.44140625" style="5" customWidth="1"/>
    <col min="14548" max="14548" width="15.109375" style="5" customWidth="1"/>
    <col min="14549" max="14549" width="16.44140625" style="5" customWidth="1"/>
    <col min="14550" max="14550" width="11.5546875" style="5" customWidth="1"/>
    <col min="14551" max="14551" width="13.44140625" style="5" customWidth="1"/>
    <col min="14552" max="14552" width="16.33203125" style="5" customWidth="1"/>
    <col min="14553" max="14553" width="45.6640625" style="5" bestFit="1" customWidth="1"/>
    <col min="14554" max="14554" width="31.6640625" style="5" bestFit="1" customWidth="1"/>
    <col min="14555" max="14555" width="18.88671875" style="5" bestFit="1" customWidth="1"/>
    <col min="14556" max="14556" width="115.44140625" style="5" bestFit="1" customWidth="1"/>
    <col min="14557" max="14557" width="26.5546875" style="5" bestFit="1" customWidth="1"/>
    <col min="14558" max="14558" width="118.109375" style="5" bestFit="1" customWidth="1"/>
    <col min="14559" max="14559" width="26.5546875" style="5" bestFit="1" customWidth="1"/>
    <col min="14560" max="14560" width="17.88671875" style="5" bestFit="1" customWidth="1"/>
    <col min="14561" max="14561" width="16" style="5" customWidth="1"/>
    <col min="14562" max="14562" width="18.88671875" style="5" bestFit="1" customWidth="1"/>
    <col min="14563" max="14563" width="22" style="5" customWidth="1"/>
    <col min="14564" max="14564" width="29.88671875" style="5" bestFit="1" customWidth="1"/>
    <col min="14565" max="14565" width="46.5546875" style="5" bestFit="1" customWidth="1"/>
    <col min="14566" max="14566" width="47.5546875" style="5" bestFit="1" customWidth="1"/>
    <col min="14567" max="14567" width="39.109375" style="5" bestFit="1" customWidth="1"/>
    <col min="14568" max="14568" width="20.6640625" style="5" bestFit="1" customWidth="1"/>
    <col min="14569" max="14569" width="17.33203125" style="5" bestFit="1" customWidth="1"/>
    <col min="14570" max="14570" width="33.109375" style="5" bestFit="1" customWidth="1"/>
    <col min="14571" max="14571" width="43.88671875" style="5" bestFit="1" customWidth="1"/>
    <col min="14572" max="14572" width="43.5546875" style="5" bestFit="1" customWidth="1"/>
    <col min="14573" max="14573" width="16.109375" style="5" bestFit="1" customWidth="1"/>
    <col min="14574" max="14574" width="17.33203125" style="5" bestFit="1" customWidth="1"/>
    <col min="14575" max="14575" width="28.6640625" style="5" bestFit="1" customWidth="1"/>
    <col min="14576" max="14576" width="44.33203125" style="5" bestFit="1" customWidth="1"/>
    <col min="14577" max="14577" width="38" style="5" bestFit="1" customWidth="1"/>
    <col min="14578" max="14578" width="16.109375" style="5" bestFit="1" customWidth="1"/>
    <col min="14579" max="14579" width="17.33203125" style="5" bestFit="1" customWidth="1"/>
    <col min="14580" max="14580" width="20.33203125" style="5" bestFit="1" customWidth="1"/>
    <col min="14581" max="14581" width="29.44140625" style="5" bestFit="1" customWidth="1"/>
    <col min="14582" max="14582" width="28.44140625" style="5" bestFit="1" customWidth="1"/>
    <col min="14583" max="14583" width="16.109375" style="5" bestFit="1" customWidth="1"/>
    <col min="14584" max="14584" width="17.33203125" style="5" bestFit="1" customWidth="1"/>
    <col min="14585" max="14585" width="63.109375" style="5" bestFit="1" customWidth="1"/>
    <col min="14586" max="14586" width="43.5546875" style="5" bestFit="1" customWidth="1"/>
    <col min="14587" max="14587" width="32.44140625" style="5" bestFit="1" customWidth="1"/>
    <col min="14588" max="14588" width="22.6640625" style="5" bestFit="1" customWidth="1"/>
    <col min="14589" max="14589" width="56.5546875" style="5" bestFit="1" customWidth="1"/>
    <col min="14590" max="14590" width="39.5546875" style="5" bestFit="1" customWidth="1"/>
    <col min="14591" max="14591" width="24.6640625" style="5" bestFit="1" customWidth="1"/>
    <col min="14592" max="14592" width="61.88671875" style="5" bestFit="1" customWidth="1"/>
    <col min="14593" max="14593" width="29.33203125" style="5" bestFit="1" customWidth="1"/>
    <col min="14594" max="14594" width="29.5546875" style="5" bestFit="1" customWidth="1"/>
    <col min="14595" max="14595" width="64.33203125" style="5" bestFit="1" customWidth="1"/>
    <col min="14596" max="14596" width="37" style="5" bestFit="1" customWidth="1"/>
    <col min="14597" max="14597" width="26.109375" style="5" bestFit="1" customWidth="1"/>
    <col min="14598" max="14598" width="14.44140625" style="5" bestFit="1" customWidth="1"/>
    <col min="14599" max="14599" width="16.44140625" style="5" bestFit="1" customWidth="1"/>
    <col min="14600" max="14600" width="15.6640625" style="5" bestFit="1" customWidth="1"/>
    <col min="14601" max="14602" width="19" style="5" bestFit="1" customWidth="1"/>
    <col min="14603" max="14603" width="25.5546875" style="5" customWidth="1"/>
    <col min="14604" max="14604" width="25.44140625" style="5" customWidth="1"/>
    <col min="14605" max="14759" width="8.88671875" style="5"/>
    <col min="14760" max="14760" width="11.44140625" style="5" bestFit="1" customWidth="1"/>
    <col min="14761" max="14761" width="13.6640625" style="5" bestFit="1" customWidth="1"/>
    <col min="14762" max="14762" width="34.109375" style="5" bestFit="1" customWidth="1"/>
    <col min="14763" max="14763" width="13.44140625" style="5" customWidth="1"/>
    <col min="14764" max="14764" width="12.33203125" style="5" customWidth="1"/>
    <col min="14765" max="14765" width="10.88671875" style="5" customWidth="1"/>
    <col min="14766" max="14766" width="10.33203125" style="5" customWidth="1"/>
    <col min="14767" max="14767" width="12.44140625" style="5" customWidth="1"/>
    <col min="14768" max="14768" width="10" style="5" customWidth="1"/>
    <col min="14769" max="14769" width="10.88671875" style="5" customWidth="1"/>
    <col min="14770" max="14770" width="12.33203125" style="5" customWidth="1"/>
    <col min="14771" max="14771" width="66.5546875" style="5" customWidth="1"/>
    <col min="14772" max="14772" width="30.33203125" style="5" customWidth="1"/>
    <col min="14773" max="14773" width="25.5546875" style="5" customWidth="1"/>
    <col min="14774" max="14774" width="16.44140625" style="5" customWidth="1"/>
    <col min="14775" max="14775" width="16.109375" style="5" customWidth="1"/>
    <col min="14776" max="14776" width="19.33203125" style="5" customWidth="1"/>
    <col min="14777" max="14777" width="19.88671875" style="5" customWidth="1"/>
    <col min="14778" max="14778" width="20.88671875" style="5" customWidth="1"/>
    <col min="14779" max="14779" width="17.109375" style="5" customWidth="1"/>
    <col min="14780" max="14780" width="17" style="5" customWidth="1"/>
    <col min="14781" max="14781" width="17.6640625" style="5" customWidth="1"/>
    <col min="14782" max="14782" width="14.109375" style="5" customWidth="1"/>
    <col min="14783" max="14783" width="15.109375" style="5" customWidth="1"/>
    <col min="14784" max="14784" width="19.5546875" style="5" customWidth="1"/>
    <col min="14785" max="14785" width="20" style="5" customWidth="1"/>
    <col min="14786" max="14786" width="20.109375" style="5" customWidth="1"/>
    <col min="14787" max="14787" width="30.6640625" style="5" customWidth="1"/>
    <col min="14788" max="14788" width="26.44140625" style="5" customWidth="1"/>
    <col min="14789" max="14789" width="21.109375" style="5" customWidth="1"/>
    <col min="14790" max="14790" width="29.5546875" style="5" customWidth="1"/>
    <col min="14791" max="14791" width="10.88671875" style="5" customWidth="1"/>
    <col min="14792" max="14792" width="10.33203125" style="5" customWidth="1"/>
    <col min="14793" max="14793" width="16.33203125" style="5" customWidth="1"/>
    <col min="14794" max="14794" width="14.44140625" style="5" customWidth="1"/>
    <col min="14795" max="14795" width="25.6640625" style="5" customWidth="1"/>
    <col min="14796" max="14796" width="10.88671875" style="5" customWidth="1"/>
    <col min="14797" max="14797" width="19.5546875" style="5" customWidth="1"/>
    <col min="14798" max="14798" width="13.44140625" style="5" customWidth="1"/>
    <col min="14799" max="14799" width="15.109375" style="5" customWidth="1"/>
    <col min="14800" max="14800" width="24.88671875" style="5" customWidth="1"/>
    <col min="14801" max="14801" width="10.88671875" style="5" customWidth="1"/>
    <col min="14802" max="14802" width="13.5546875" style="5" customWidth="1"/>
    <col min="14803" max="14803" width="13.44140625" style="5" customWidth="1"/>
    <col min="14804" max="14804" width="15.109375" style="5" customWidth="1"/>
    <col min="14805" max="14805" width="16.44140625" style="5" customWidth="1"/>
    <col min="14806" max="14806" width="11.5546875" style="5" customWidth="1"/>
    <col min="14807" max="14807" width="13.44140625" style="5" customWidth="1"/>
    <col min="14808" max="14808" width="16.33203125" style="5" customWidth="1"/>
    <col min="14809" max="14809" width="45.6640625" style="5" bestFit="1" customWidth="1"/>
    <col min="14810" max="14810" width="31.6640625" style="5" bestFit="1" customWidth="1"/>
    <col min="14811" max="14811" width="18.88671875" style="5" bestFit="1" customWidth="1"/>
    <col min="14812" max="14812" width="115.44140625" style="5" bestFit="1" customWidth="1"/>
    <col min="14813" max="14813" width="26.5546875" style="5" bestFit="1" customWidth="1"/>
    <col min="14814" max="14814" width="118.109375" style="5" bestFit="1" customWidth="1"/>
    <col min="14815" max="14815" width="26.5546875" style="5" bestFit="1" customWidth="1"/>
    <col min="14816" max="14816" width="17.88671875" style="5" bestFit="1" customWidth="1"/>
    <col min="14817" max="14817" width="16" style="5" customWidth="1"/>
    <col min="14818" max="14818" width="18.88671875" style="5" bestFit="1" customWidth="1"/>
    <col min="14819" max="14819" width="22" style="5" customWidth="1"/>
    <col min="14820" max="14820" width="29.88671875" style="5" bestFit="1" customWidth="1"/>
    <col min="14821" max="14821" width="46.5546875" style="5" bestFit="1" customWidth="1"/>
    <col min="14822" max="14822" width="47.5546875" style="5" bestFit="1" customWidth="1"/>
    <col min="14823" max="14823" width="39.109375" style="5" bestFit="1" customWidth="1"/>
    <col min="14824" max="14824" width="20.6640625" style="5" bestFit="1" customWidth="1"/>
    <col min="14825" max="14825" width="17.33203125" style="5" bestFit="1" customWidth="1"/>
    <col min="14826" max="14826" width="33.109375" style="5" bestFit="1" customWidth="1"/>
    <col min="14827" max="14827" width="43.88671875" style="5" bestFit="1" customWidth="1"/>
    <col min="14828" max="14828" width="43.5546875" style="5" bestFit="1" customWidth="1"/>
    <col min="14829" max="14829" width="16.109375" style="5" bestFit="1" customWidth="1"/>
    <col min="14830" max="14830" width="17.33203125" style="5" bestFit="1" customWidth="1"/>
    <col min="14831" max="14831" width="28.6640625" style="5" bestFit="1" customWidth="1"/>
    <col min="14832" max="14832" width="44.33203125" style="5" bestFit="1" customWidth="1"/>
    <col min="14833" max="14833" width="38" style="5" bestFit="1" customWidth="1"/>
    <col min="14834" max="14834" width="16.109375" style="5" bestFit="1" customWidth="1"/>
    <col min="14835" max="14835" width="17.33203125" style="5" bestFit="1" customWidth="1"/>
    <col min="14836" max="14836" width="20.33203125" style="5" bestFit="1" customWidth="1"/>
    <col min="14837" max="14837" width="29.44140625" style="5" bestFit="1" customWidth="1"/>
    <col min="14838" max="14838" width="28.44140625" style="5" bestFit="1" customWidth="1"/>
    <col min="14839" max="14839" width="16.109375" style="5" bestFit="1" customWidth="1"/>
    <col min="14840" max="14840" width="17.33203125" style="5" bestFit="1" customWidth="1"/>
    <col min="14841" max="14841" width="63.109375" style="5" bestFit="1" customWidth="1"/>
    <col min="14842" max="14842" width="43.5546875" style="5" bestFit="1" customWidth="1"/>
    <col min="14843" max="14843" width="32.44140625" style="5" bestFit="1" customWidth="1"/>
    <col min="14844" max="14844" width="22.6640625" style="5" bestFit="1" customWidth="1"/>
    <col min="14845" max="14845" width="56.5546875" style="5" bestFit="1" customWidth="1"/>
    <col min="14846" max="14846" width="39.5546875" style="5" bestFit="1" customWidth="1"/>
    <col min="14847" max="14847" width="24.6640625" style="5" bestFit="1" customWidth="1"/>
    <col min="14848" max="14848" width="61.88671875" style="5" bestFit="1" customWidth="1"/>
    <col min="14849" max="14849" width="29.33203125" style="5" bestFit="1" customWidth="1"/>
    <col min="14850" max="14850" width="29.5546875" style="5" bestFit="1" customWidth="1"/>
    <col min="14851" max="14851" width="64.33203125" style="5" bestFit="1" customWidth="1"/>
    <col min="14852" max="14852" width="37" style="5" bestFit="1" customWidth="1"/>
    <col min="14853" max="14853" width="26.109375" style="5" bestFit="1" customWidth="1"/>
    <col min="14854" max="14854" width="14.44140625" style="5" bestFit="1" customWidth="1"/>
    <col min="14855" max="14855" width="16.44140625" style="5" bestFit="1" customWidth="1"/>
    <col min="14856" max="14856" width="15.6640625" style="5" bestFit="1" customWidth="1"/>
    <col min="14857" max="14858" width="19" style="5" bestFit="1" customWidth="1"/>
    <col min="14859" max="14859" width="25.5546875" style="5" customWidth="1"/>
    <col min="14860" max="14860" width="25.44140625" style="5" customWidth="1"/>
    <col min="14861" max="15015" width="8.88671875" style="5"/>
    <col min="15016" max="15016" width="11.44140625" style="5" bestFit="1" customWidth="1"/>
    <col min="15017" max="15017" width="13.6640625" style="5" bestFit="1" customWidth="1"/>
    <col min="15018" max="15018" width="34.109375" style="5" bestFit="1" customWidth="1"/>
    <col min="15019" max="15019" width="13.44140625" style="5" customWidth="1"/>
    <col min="15020" max="15020" width="12.33203125" style="5" customWidth="1"/>
    <col min="15021" max="15021" width="10.88671875" style="5" customWidth="1"/>
    <col min="15022" max="15022" width="10.33203125" style="5" customWidth="1"/>
    <col min="15023" max="15023" width="12.44140625" style="5" customWidth="1"/>
    <col min="15024" max="15024" width="10" style="5" customWidth="1"/>
    <col min="15025" max="15025" width="10.88671875" style="5" customWidth="1"/>
    <col min="15026" max="15026" width="12.33203125" style="5" customWidth="1"/>
    <col min="15027" max="15027" width="66.5546875" style="5" customWidth="1"/>
    <col min="15028" max="15028" width="30.33203125" style="5" customWidth="1"/>
    <col min="15029" max="15029" width="25.5546875" style="5" customWidth="1"/>
    <col min="15030" max="15030" width="16.44140625" style="5" customWidth="1"/>
    <col min="15031" max="15031" width="16.109375" style="5" customWidth="1"/>
    <col min="15032" max="15032" width="19.33203125" style="5" customWidth="1"/>
    <col min="15033" max="15033" width="19.88671875" style="5" customWidth="1"/>
    <col min="15034" max="15034" width="20.88671875" style="5" customWidth="1"/>
    <col min="15035" max="15035" width="17.109375" style="5" customWidth="1"/>
    <col min="15036" max="15036" width="17" style="5" customWidth="1"/>
    <col min="15037" max="15037" width="17.6640625" style="5" customWidth="1"/>
    <col min="15038" max="15038" width="14.109375" style="5" customWidth="1"/>
    <col min="15039" max="15039" width="15.109375" style="5" customWidth="1"/>
    <col min="15040" max="15040" width="19.5546875" style="5" customWidth="1"/>
    <col min="15041" max="15041" width="20" style="5" customWidth="1"/>
    <col min="15042" max="15042" width="20.109375" style="5" customWidth="1"/>
    <col min="15043" max="15043" width="30.6640625" style="5" customWidth="1"/>
    <col min="15044" max="15044" width="26.44140625" style="5" customWidth="1"/>
    <col min="15045" max="15045" width="21.109375" style="5" customWidth="1"/>
    <col min="15046" max="15046" width="29.5546875" style="5" customWidth="1"/>
    <col min="15047" max="15047" width="10.88671875" style="5" customWidth="1"/>
    <col min="15048" max="15048" width="10.33203125" style="5" customWidth="1"/>
    <col min="15049" max="15049" width="16.33203125" style="5" customWidth="1"/>
    <col min="15050" max="15050" width="14.44140625" style="5" customWidth="1"/>
    <col min="15051" max="15051" width="25.6640625" style="5" customWidth="1"/>
    <col min="15052" max="15052" width="10.88671875" style="5" customWidth="1"/>
    <col min="15053" max="15053" width="19.5546875" style="5" customWidth="1"/>
    <col min="15054" max="15054" width="13.44140625" style="5" customWidth="1"/>
    <col min="15055" max="15055" width="15.109375" style="5" customWidth="1"/>
    <col min="15056" max="15056" width="24.88671875" style="5" customWidth="1"/>
    <col min="15057" max="15057" width="10.88671875" style="5" customWidth="1"/>
    <col min="15058" max="15058" width="13.5546875" style="5" customWidth="1"/>
    <col min="15059" max="15059" width="13.44140625" style="5" customWidth="1"/>
    <col min="15060" max="15060" width="15.109375" style="5" customWidth="1"/>
    <col min="15061" max="15061" width="16.44140625" style="5" customWidth="1"/>
    <col min="15062" max="15062" width="11.5546875" style="5" customWidth="1"/>
    <col min="15063" max="15063" width="13.44140625" style="5" customWidth="1"/>
    <col min="15064" max="15064" width="16.33203125" style="5" customWidth="1"/>
    <col min="15065" max="15065" width="45.6640625" style="5" bestFit="1" customWidth="1"/>
    <col min="15066" max="15066" width="31.6640625" style="5" bestFit="1" customWidth="1"/>
    <col min="15067" max="15067" width="18.88671875" style="5" bestFit="1" customWidth="1"/>
    <col min="15068" max="15068" width="115.44140625" style="5" bestFit="1" customWidth="1"/>
    <col min="15069" max="15069" width="26.5546875" style="5" bestFit="1" customWidth="1"/>
    <col min="15070" max="15070" width="118.109375" style="5" bestFit="1" customWidth="1"/>
    <col min="15071" max="15071" width="26.5546875" style="5" bestFit="1" customWidth="1"/>
    <col min="15072" max="15072" width="17.88671875" style="5" bestFit="1" customWidth="1"/>
    <col min="15073" max="15073" width="16" style="5" customWidth="1"/>
    <col min="15074" max="15074" width="18.88671875" style="5" bestFit="1" customWidth="1"/>
    <col min="15075" max="15075" width="22" style="5" customWidth="1"/>
    <col min="15076" max="15076" width="29.88671875" style="5" bestFit="1" customWidth="1"/>
    <col min="15077" max="15077" width="46.5546875" style="5" bestFit="1" customWidth="1"/>
    <col min="15078" max="15078" width="47.5546875" style="5" bestFit="1" customWidth="1"/>
    <col min="15079" max="15079" width="39.109375" style="5" bestFit="1" customWidth="1"/>
    <col min="15080" max="15080" width="20.6640625" style="5" bestFit="1" customWidth="1"/>
    <col min="15081" max="15081" width="17.33203125" style="5" bestFit="1" customWidth="1"/>
    <col min="15082" max="15082" width="33.109375" style="5" bestFit="1" customWidth="1"/>
    <col min="15083" max="15083" width="43.88671875" style="5" bestFit="1" customWidth="1"/>
    <col min="15084" max="15084" width="43.5546875" style="5" bestFit="1" customWidth="1"/>
    <col min="15085" max="15085" width="16.109375" style="5" bestFit="1" customWidth="1"/>
    <col min="15086" max="15086" width="17.33203125" style="5" bestFit="1" customWidth="1"/>
    <col min="15087" max="15087" width="28.6640625" style="5" bestFit="1" customWidth="1"/>
    <col min="15088" max="15088" width="44.33203125" style="5" bestFit="1" customWidth="1"/>
    <col min="15089" max="15089" width="38" style="5" bestFit="1" customWidth="1"/>
    <col min="15090" max="15090" width="16.109375" style="5" bestFit="1" customWidth="1"/>
    <col min="15091" max="15091" width="17.33203125" style="5" bestFit="1" customWidth="1"/>
    <col min="15092" max="15092" width="20.33203125" style="5" bestFit="1" customWidth="1"/>
    <col min="15093" max="15093" width="29.44140625" style="5" bestFit="1" customWidth="1"/>
    <col min="15094" max="15094" width="28.44140625" style="5" bestFit="1" customWidth="1"/>
    <col min="15095" max="15095" width="16.109375" style="5" bestFit="1" customWidth="1"/>
    <col min="15096" max="15096" width="17.33203125" style="5" bestFit="1" customWidth="1"/>
    <col min="15097" max="15097" width="63.109375" style="5" bestFit="1" customWidth="1"/>
    <col min="15098" max="15098" width="43.5546875" style="5" bestFit="1" customWidth="1"/>
    <col min="15099" max="15099" width="32.44140625" style="5" bestFit="1" customWidth="1"/>
    <col min="15100" max="15100" width="22.6640625" style="5" bestFit="1" customWidth="1"/>
    <col min="15101" max="15101" width="56.5546875" style="5" bestFit="1" customWidth="1"/>
    <col min="15102" max="15102" width="39.5546875" style="5" bestFit="1" customWidth="1"/>
    <col min="15103" max="15103" width="24.6640625" style="5" bestFit="1" customWidth="1"/>
    <col min="15104" max="15104" width="61.88671875" style="5" bestFit="1" customWidth="1"/>
    <col min="15105" max="15105" width="29.33203125" style="5" bestFit="1" customWidth="1"/>
    <col min="15106" max="15106" width="29.5546875" style="5" bestFit="1" customWidth="1"/>
    <col min="15107" max="15107" width="64.33203125" style="5" bestFit="1" customWidth="1"/>
    <col min="15108" max="15108" width="37" style="5" bestFit="1" customWidth="1"/>
    <col min="15109" max="15109" width="26.109375" style="5" bestFit="1" customWidth="1"/>
    <col min="15110" max="15110" width="14.44140625" style="5" bestFit="1" customWidth="1"/>
    <col min="15111" max="15111" width="16.44140625" style="5" bestFit="1" customWidth="1"/>
    <col min="15112" max="15112" width="15.6640625" style="5" bestFit="1" customWidth="1"/>
    <col min="15113" max="15114" width="19" style="5" bestFit="1" customWidth="1"/>
    <col min="15115" max="15115" width="25.5546875" style="5" customWidth="1"/>
    <col min="15116" max="15116" width="25.44140625" style="5" customWidth="1"/>
    <col min="15117" max="15271" width="8.88671875" style="5"/>
    <col min="15272" max="15272" width="11.44140625" style="5" bestFit="1" customWidth="1"/>
    <col min="15273" max="15273" width="13.6640625" style="5" bestFit="1" customWidth="1"/>
    <col min="15274" max="15274" width="34.109375" style="5" bestFit="1" customWidth="1"/>
    <col min="15275" max="15275" width="13.44140625" style="5" customWidth="1"/>
    <col min="15276" max="15276" width="12.33203125" style="5" customWidth="1"/>
    <col min="15277" max="15277" width="10.88671875" style="5" customWidth="1"/>
    <col min="15278" max="15278" width="10.33203125" style="5" customWidth="1"/>
    <col min="15279" max="15279" width="12.44140625" style="5" customWidth="1"/>
    <col min="15280" max="15280" width="10" style="5" customWidth="1"/>
    <col min="15281" max="15281" width="10.88671875" style="5" customWidth="1"/>
    <col min="15282" max="15282" width="12.33203125" style="5" customWidth="1"/>
    <col min="15283" max="15283" width="66.5546875" style="5" customWidth="1"/>
    <col min="15284" max="15284" width="30.33203125" style="5" customWidth="1"/>
    <col min="15285" max="15285" width="25.5546875" style="5" customWidth="1"/>
    <col min="15286" max="15286" width="16.44140625" style="5" customWidth="1"/>
    <col min="15287" max="15287" width="16.109375" style="5" customWidth="1"/>
    <col min="15288" max="15288" width="19.33203125" style="5" customWidth="1"/>
    <col min="15289" max="15289" width="19.88671875" style="5" customWidth="1"/>
    <col min="15290" max="15290" width="20.88671875" style="5" customWidth="1"/>
    <col min="15291" max="15291" width="17.109375" style="5" customWidth="1"/>
    <col min="15292" max="15292" width="17" style="5" customWidth="1"/>
    <col min="15293" max="15293" width="17.6640625" style="5" customWidth="1"/>
    <col min="15294" max="15294" width="14.109375" style="5" customWidth="1"/>
    <col min="15295" max="15295" width="15.109375" style="5" customWidth="1"/>
    <col min="15296" max="15296" width="19.5546875" style="5" customWidth="1"/>
    <col min="15297" max="15297" width="20" style="5" customWidth="1"/>
    <col min="15298" max="15298" width="20.109375" style="5" customWidth="1"/>
    <col min="15299" max="15299" width="30.6640625" style="5" customWidth="1"/>
    <col min="15300" max="15300" width="26.44140625" style="5" customWidth="1"/>
    <col min="15301" max="15301" width="21.109375" style="5" customWidth="1"/>
    <col min="15302" max="15302" width="29.5546875" style="5" customWidth="1"/>
    <col min="15303" max="15303" width="10.88671875" style="5" customWidth="1"/>
    <col min="15304" max="15304" width="10.33203125" style="5" customWidth="1"/>
    <col min="15305" max="15305" width="16.33203125" style="5" customWidth="1"/>
    <col min="15306" max="15306" width="14.44140625" style="5" customWidth="1"/>
    <col min="15307" max="15307" width="25.6640625" style="5" customWidth="1"/>
    <col min="15308" max="15308" width="10.88671875" style="5" customWidth="1"/>
    <col min="15309" max="15309" width="19.5546875" style="5" customWidth="1"/>
    <col min="15310" max="15310" width="13.44140625" style="5" customWidth="1"/>
    <col min="15311" max="15311" width="15.109375" style="5" customWidth="1"/>
    <col min="15312" max="15312" width="24.88671875" style="5" customWidth="1"/>
    <col min="15313" max="15313" width="10.88671875" style="5" customWidth="1"/>
    <col min="15314" max="15314" width="13.5546875" style="5" customWidth="1"/>
    <col min="15315" max="15315" width="13.44140625" style="5" customWidth="1"/>
    <col min="15316" max="15316" width="15.109375" style="5" customWidth="1"/>
    <col min="15317" max="15317" width="16.44140625" style="5" customWidth="1"/>
    <col min="15318" max="15318" width="11.5546875" style="5" customWidth="1"/>
    <col min="15319" max="15319" width="13.44140625" style="5" customWidth="1"/>
    <col min="15320" max="15320" width="16.33203125" style="5" customWidth="1"/>
    <col min="15321" max="15321" width="45.6640625" style="5" bestFit="1" customWidth="1"/>
    <col min="15322" max="15322" width="31.6640625" style="5" bestFit="1" customWidth="1"/>
    <col min="15323" max="15323" width="18.88671875" style="5" bestFit="1" customWidth="1"/>
    <col min="15324" max="15324" width="115.44140625" style="5" bestFit="1" customWidth="1"/>
    <col min="15325" max="15325" width="26.5546875" style="5" bestFit="1" customWidth="1"/>
    <col min="15326" max="15326" width="118.109375" style="5" bestFit="1" customWidth="1"/>
    <col min="15327" max="15327" width="26.5546875" style="5" bestFit="1" customWidth="1"/>
    <col min="15328" max="15328" width="17.88671875" style="5" bestFit="1" customWidth="1"/>
    <col min="15329" max="15329" width="16" style="5" customWidth="1"/>
    <col min="15330" max="15330" width="18.88671875" style="5" bestFit="1" customWidth="1"/>
    <col min="15331" max="15331" width="22" style="5" customWidth="1"/>
    <col min="15332" max="15332" width="29.88671875" style="5" bestFit="1" customWidth="1"/>
    <col min="15333" max="15333" width="46.5546875" style="5" bestFit="1" customWidth="1"/>
    <col min="15334" max="15334" width="47.5546875" style="5" bestFit="1" customWidth="1"/>
    <col min="15335" max="15335" width="39.109375" style="5" bestFit="1" customWidth="1"/>
    <col min="15336" max="15336" width="20.6640625" style="5" bestFit="1" customWidth="1"/>
    <col min="15337" max="15337" width="17.33203125" style="5" bestFit="1" customWidth="1"/>
    <col min="15338" max="15338" width="33.109375" style="5" bestFit="1" customWidth="1"/>
    <col min="15339" max="15339" width="43.88671875" style="5" bestFit="1" customWidth="1"/>
    <col min="15340" max="15340" width="43.5546875" style="5" bestFit="1" customWidth="1"/>
    <col min="15341" max="15341" width="16.109375" style="5" bestFit="1" customWidth="1"/>
    <col min="15342" max="15342" width="17.33203125" style="5" bestFit="1" customWidth="1"/>
    <col min="15343" max="15343" width="28.6640625" style="5" bestFit="1" customWidth="1"/>
    <col min="15344" max="15344" width="44.33203125" style="5" bestFit="1" customWidth="1"/>
    <col min="15345" max="15345" width="38" style="5" bestFit="1" customWidth="1"/>
    <col min="15346" max="15346" width="16.109375" style="5" bestFit="1" customWidth="1"/>
    <col min="15347" max="15347" width="17.33203125" style="5" bestFit="1" customWidth="1"/>
    <col min="15348" max="15348" width="20.33203125" style="5" bestFit="1" customWidth="1"/>
    <col min="15349" max="15349" width="29.44140625" style="5" bestFit="1" customWidth="1"/>
    <col min="15350" max="15350" width="28.44140625" style="5" bestFit="1" customWidth="1"/>
    <col min="15351" max="15351" width="16.109375" style="5" bestFit="1" customWidth="1"/>
    <col min="15352" max="15352" width="17.33203125" style="5" bestFit="1" customWidth="1"/>
    <col min="15353" max="15353" width="63.109375" style="5" bestFit="1" customWidth="1"/>
    <col min="15354" max="15354" width="43.5546875" style="5" bestFit="1" customWidth="1"/>
    <col min="15355" max="15355" width="32.44140625" style="5" bestFit="1" customWidth="1"/>
    <col min="15356" max="15356" width="22.6640625" style="5" bestFit="1" customWidth="1"/>
    <col min="15357" max="15357" width="56.5546875" style="5" bestFit="1" customWidth="1"/>
    <col min="15358" max="15358" width="39.5546875" style="5" bestFit="1" customWidth="1"/>
    <col min="15359" max="15359" width="24.6640625" style="5" bestFit="1" customWidth="1"/>
    <col min="15360" max="15360" width="61.88671875" style="5" bestFit="1" customWidth="1"/>
    <col min="15361" max="15361" width="29.33203125" style="5" bestFit="1" customWidth="1"/>
    <col min="15362" max="15362" width="29.5546875" style="5" bestFit="1" customWidth="1"/>
    <col min="15363" max="15363" width="64.33203125" style="5" bestFit="1" customWidth="1"/>
    <col min="15364" max="15364" width="37" style="5" bestFit="1" customWidth="1"/>
    <col min="15365" max="15365" width="26.109375" style="5" bestFit="1" customWidth="1"/>
    <col min="15366" max="15366" width="14.44140625" style="5" bestFit="1" customWidth="1"/>
    <col min="15367" max="15367" width="16.44140625" style="5" bestFit="1" customWidth="1"/>
    <col min="15368" max="15368" width="15.6640625" style="5" bestFit="1" customWidth="1"/>
    <col min="15369" max="15370" width="19" style="5" bestFit="1" customWidth="1"/>
    <col min="15371" max="15371" width="25.5546875" style="5" customWidth="1"/>
    <col min="15372" max="15372" width="25.44140625" style="5" customWidth="1"/>
    <col min="15373" max="15527" width="8.88671875" style="5"/>
    <col min="15528" max="15528" width="11.44140625" style="5" bestFit="1" customWidth="1"/>
    <col min="15529" max="15529" width="13.6640625" style="5" bestFit="1" customWidth="1"/>
    <col min="15530" max="15530" width="34.109375" style="5" bestFit="1" customWidth="1"/>
    <col min="15531" max="15531" width="13.44140625" style="5" customWidth="1"/>
    <col min="15532" max="15532" width="12.33203125" style="5" customWidth="1"/>
    <col min="15533" max="15533" width="10.88671875" style="5" customWidth="1"/>
    <col min="15534" max="15534" width="10.33203125" style="5" customWidth="1"/>
    <col min="15535" max="15535" width="12.44140625" style="5" customWidth="1"/>
    <col min="15536" max="15536" width="10" style="5" customWidth="1"/>
    <col min="15537" max="15537" width="10.88671875" style="5" customWidth="1"/>
    <col min="15538" max="15538" width="12.33203125" style="5" customWidth="1"/>
    <col min="15539" max="15539" width="66.5546875" style="5" customWidth="1"/>
    <col min="15540" max="15540" width="30.33203125" style="5" customWidth="1"/>
    <col min="15541" max="15541" width="25.5546875" style="5" customWidth="1"/>
    <col min="15542" max="15542" width="16.44140625" style="5" customWidth="1"/>
    <col min="15543" max="15543" width="16.109375" style="5" customWidth="1"/>
    <col min="15544" max="15544" width="19.33203125" style="5" customWidth="1"/>
    <col min="15545" max="15545" width="19.88671875" style="5" customWidth="1"/>
    <col min="15546" max="15546" width="20.88671875" style="5" customWidth="1"/>
    <col min="15547" max="15547" width="17.109375" style="5" customWidth="1"/>
    <col min="15548" max="15548" width="17" style="5" customWidth="1"/>
    <col min="15549" max="15549" width="17.6640625" style="5" customWidth="1"/>
    <col min="15550" max="15550" width="14.109375" style="5" customWidth="1"/>
    <col min="15551" max="15551" width="15.109375" style="5" customWidth="1"/>
    <col min="15552" max="15552" width="19.5546875" style="5" customWidth="1"/>
    <col min="15553" max="15553" width="20" style="5" customWidth="1"/>
    <col min="15554" max="15554" width="20.109375" style="5" customWidth="1"/>
    <col min="15555" max="15555" width="30.6640625" style="5" customWidth="1"/>
    <col min="15556" max="15556" width="26.44140625" style="5" customWidth="1"/>
    <col min="15557" max="15557" width="21.109375" style="5" customWidth="1"/>
    <col min="15558" max="15558" width="29.5546875" style="5" customWidth="1"/>
    <col min="15559" max="15559" width="10.88671875" style="5" customWidth="1"/>
    <col min="15560" max="15560" width="10.33203125" style="5" customWidth="1"/>
    <col min="15561" max="15561" width="16.33203125" style="5" customWidth="1"/>
    <col min="15562" max="15562" width="14.44140625" style="5" customWidth="1"/>
    <col min="15563" max="15563" width="25.6640625" style="5" customWidth="1"/>
    <col min="15564" max="15564" width="10.88671875" style="5" customWidth="1"/>
    <col min="15565" max="15565" width="19.5546875" style="5" customWidth="1"/>
    <col min="15566" max="15566" width="13.44140625" style="5" customWidth="1"/>
    <col min="15567" max="15567" width="15.109375" style="5" customWidth="1"/>
    <col min="15568" max="15568" width="24.88671875" style="5" customWidth="1"/>
    <col min="15569" max="15569" width="10.88671875" style="5" customWidth="1"/>
    <col min="15570" max="15570" width="13.5546875" style="5" customWidth="1"/>
    <col min="15571" max="15571" width="13.44140625" style="5" customWidth="1"/>
    <col min="15572" max="15572" width="15.109375" style="5" customWidth="1"/>
    <col min="15573" max="15573" width="16.44140625" style="5" customWidth="1"/>
    <col min="15574" max="15574" width="11.5546875" style="5" customWidth="1"/>
    <col min="15575" max="15575" width="13.44140625" style="5" customWidth="1"/>
    <col min="15576" max="15576" width="16.33203125" style="5" customWidth="1"/>
    <col min="15577" max="15577" width="45.6640625" style="5" bestFit="1" customWidth="1"/>
    <col min="15578" max="15578" width="31.6640625" style="5" bestFit="1" customWidth="1"/>
    <col min="15579" max="15579" width="18.88671875" style="5" bestFit="1" customWidth="1"/>
    <col min="15580" max="15580" width="115.44140625" style="5" bestFit="1" customWidth="1"/>
    <col min="15581" max="15581" width="26.5546875" style="5" bestFit="1" customWidth="1"/>
    <col min="15582" max="15582" width="118.109375" style="5" bestFit="1" customWidth="1"/>
    <col min="15583" max="15583" width="26.5546875" style="5" bestFit="1" customWidth="1"/>
    <col min="15584" max="15584" width="17.88671875" style="5" bestFit="1" customWidth="1"/>
    <col min="15585" max="15585" width="16" style="5" customWidth="1"/>
    <col min="15586" max="15586" width="18.88671875" style="5" bestFit="1" customWidth="1"/>
    <col min="15587" max="15587" width="22" style="5" customWidth="1"/>
    <col min="15588" max="15588" width="29.88671875" style="5" bestFit="1" customWidth="1"/>
    <col min="15589" max="15589" width="46.5546875" style="5" bestFit="1" customWidth="1"/>
    <col min="15590" max="15590" width="47.5546875" style="5" bestFit="1" customWidth="1"/>
    <col min="15591" max="15591" width="39.109375" style="5" bestFit="1" customWidth="1"/>
    <col min="15592" max="15592" width="20.6640625" style="5" bestFit="1" customWidth="1"/>
    <col min="15593" max="15593" width="17.33203125" style="5" bestFit="1" customWidth="1"/>
    <col min="15594" max="15594" width="33.109375" style="5" bestFit="1" customWidth="1"/>
    <col min="15595" max="15595" width="43.88671875" style="5" bestFit="1" customWidth="1"/>
    <col min="15596" max="15596" width="43.5546875" style="5" bestFit="1" customWidth="1"/>
    <col min="15597" max="15597" width="16.109375" style="5" bestFit="1" customWidth="1"/>
    <col min="15598" max="15598" width="17.33203125" style="5" bestFit="1" customWidth="1"/>
    <col min="15599" max="15599" width="28.6640625" style="5" bestFit="1" customWidth="1"/>
    <col min="15600" max="15600" width="44.33203125" style="5" bestFit="1" customWidth="1"/>
    <col min="15601" max="15601" width="38" style="5" bestFit="1" customWidth="1"/>
    <col min="15602" max="15602" width="16.109375" style="5" bestFit="1" customWidth="1"/>
    <col min="15603" max="15603" width="17.33203125" style="5" bestFit="1" customWidth="1"/>
    <col min="15604" max="15604" width="20.33203125" style="5" bestFit="1" customWidth="1"/>
    <col min="15605" max="15605" width="29.44140625" style="5" bestFit="1" customWidth="1"/>
    <col min="15606" max="15606" width="28.44140625" style="5" bestFit="1" customWidth="1"/>
    <col min="15607" max="15607" width="16.109375" style="5" bestFit="1" customWidth="1"/>
    <col min="15608" max="15608" width="17.33203125" style="5" bestFit="1" customWidth="1"/>
    <col min="15609" max="15609" width="63.109375" style="5" bestFit="1" customWidth="1"/>
    <col min="15610" max="15610" width="43.5546875" style="5" bestFit="1" customWidth="1"/>
    <col min="15611" max="15611" width="32.44140625" style="5" bestFit="1" customWidth="1"/>
    <col min="15612" max="15612" width="22.6640625" style="5" bestFit="1" customWidth="1"/>
    <col min="15613" max="15613" width="56.5546875" style="5" bestFit="1" customWidth="1"/>
    <col min="15614" max="15614" width="39.5546875" style="5" bestFit="1" customWidth="1"/>
    <col min="15615" max="15615" width="24.6640625" style="5" bestFit="1" customWidth="1"/>
    <col min="15616" max="15616" width="61.88671875" style="5" bestFit="1" customWidth="1"/>
    <col min="15617" max="15617" width="29.33203125" style="5" bestFit="1" customWidth="1"/>
    <col min="15618" max="15618" width="29.5546875" style="5" bestFit="1" customWidth="1"/>
    <col min="15619" max="15619" width="64.33203125" style="5" bestFit="1" customWidth="1"/>
    <col min="15620" max="15620" width="37" style="5" bestFit="1" customWidth="1"/>
    <col min="15621" max="15621" width="26.109375" style="5" bestFit="1" customWidth="1"/>
    <col min="15622" max="15622" width="14.44140625" style="5" bestFit="1" customWidth="1"/>
    <col min="15623" max="15623" width="16.44140625" style="5" bestFit="1" customWidth="1"/>
    <col min="15624" max="15624" width="15.6640625" style="5" bestFit="1" customWidth="1"/>
    <col min="15625" max="15626" width="19" style="5" bestFit="1" customWidth="1"/>
    <col min="15627" max="15627" width="25.5546875" style="5" customWidth="1"/>
    <col min="15628" max="15628" width="25.44140625" style="5" customWidth="1"/>
    <col min="15629" max="15783" width="8.88671875" style="5"/>
    <col min="15784" max="15784" width="11.44140625" style="5" bestFit="1" customWidth="1"/>
    <col min="15785" max="15785" width="13.6640625" style="5" bestFit="1" customWidth="1"/>
    <col min="15786" max="15786" width="34.109375" style="5" bestFit="1" customWidth="1"/>
    <col min="15787" max="15787" width="13.44140625" style="5" customWidth="1"/>
    <col min="15788" max="15788" width="12.33203125" style="5" customWidth="1"/>
    <col min="15789" max="15789" width="10.88671875" style="5" customWidth="1"/>
    <col min="15790" max="15790" width="10.33203125" style="5" customWidth="1"/>
    <col min="15791" max="15791" width="12.44140625" style="5" customWidth="1"/>
    <col min="15792" max="15792" width="10" style="5" customWidth="1"/>
    <col min="15793" max="15793" width="10.88671875" style="5" customWidth="1"/>
    <col min="15794" max="15794" width="12.33203125" style="5" customWidth="1"/>
    <col min="15795" max="15795" width="66.5546875" style="5" customWidth="1"/>
    <col min="15796" max="15796" width="30.33203125" style="5" customWidth="1"/>
    <col min="15797" max="15797" width="25.5546875" style="5" customWidth="1"/>
    <col min="15798" max="15798" width="16.44140625" style="5" customWidth="1"/>
    <col min="15799" max="15799" width="16.109375" style="5" customWidth="1"/>
    <col min="15800" max="15800" width="19.33203125" style="5" customWidth="1"/>
    <col min="15801" max="15801" width="19.88671875" style="5" customWidth="1"/>
    <col min="15802" max="15802" width="20.88671875" style="5" customWidth="1"/>
    <col min="15803" max="15803" width="17.109375" style="5" customWidth="1"/>
    <col min="15804" max="15804" width="17" style="5" customWidth="1"/>
    <col min="15805" max="15805" width="17.6640625" style="5" customWidth="1"/>
    <col min="15806" max="15806" width="14.109375" style="5" customWidth="1"/>
    <col min="15807" max="15807" width="15.109375" style="5" customWidth="1"/>
    <col min="15808" max="15808" width="19.5546875" style="5" customWidth="1"/>
    <col min="15809" max="15809" width="20" style="5" customWidth="1"/>
    <col min="15810" max="15810" width="20.109375" style="5" customWidth="1"/>
    <col min="15811" max="15811" width="30.6640625" style="5" customWidth="1"/>
    <col min="15812" max="15812" width="26.44140625" style="5" customWidth="1"/>
    <col min="15813" max="15813" width="21.109375" style="5" customWidth="1"/>
    <col min="15814" max="15814" width="29.5546875" style="5" customWidth="1"/>
    <col min="15815" max="15815" width="10.88671875" style="5" customWidth="1"/>
    <col min="15816" max="15816" width="10.33203125" style="5" customWidth="1"/>
    <col min="15817" max="15817" width="16.33203125" style="5" customWidth="1"/>
    <col min="15818" max="15818" width="14.44140625" style="5" customWidth="1"/>
    <col min="15819" max="15819" width="25.6640625" style="5" customWidth="1"/>
    <col min="15820" max="15820" width="10.88671875" style="5" customWidth="1"/>
    <col min="15821" max="15821" width="19.5546875" style="5" customWidth="1"/>
    <col min="15822" max="15822" width="13.44140625" style="5" customWidth="1"/>
    <col min="15823" max="15823" width="15.109375" style="5" customWidth="1"/>
    <col min="15824" max="15824" width="24.88671875" style="5" customWidth="1"/>
    <col min="15825" max="15825" width="10.88671875" style="5" customWidth="1"/>
    <col min="15826" max="15826" width="13.5546875" style="5" customWidth="1"/>
    <col min="15827" max="15827" width="13.44140625" style="5" customWidth="1"/>
    <col min="15828" max="15828" width="15.109375" style="5" customWidth="1"/>
    <col min="15829" max="15829" width="16.44140625" style="5" customWidth="1"/>
    <col min="15830" max="15830" width="11.5546875" style="5" customWidth="1"/>
    <col min="15831" max="15831" width="13.44140625" style="5" customWidth="1"/>
    <col min="15832" max="15832" width="16.33203125" style="5" customWidth="1"/>
    <col min="15833" max="15833" width="45.6640625" style="5" bestFit="1" customWidth="1"/>
    <col min="15834" max="15834" width="31.6640625" style="5" bestFit="1" customWidth="1"/>
    <col min="15835" max="15835" width="18.88671875" style="5" bestFit="1" customWidth="1"/>
    <col min="15836" max="15836" width="115.44140625" style="5" bestFit="1" customWidth="1"/>
    <col min="15837" max="15837" width="26.5546875" style="5" bestFit="1" customWidth="1"/>
    <col min="15838" max="15838" width="118.109375" style="5" bestFit="1" customWidth="1"/>
    <col min="15839" max="15839" width="26.5546875" style="5" bestFit="1" customWidth="1"/>
    <col min="15840" max="15840" width="17.88671875" style="5" bestFit="1" customWidth="1"/>
    <col min="15841" max="15841" width="16" style="5" customWidth="1"/>
    <col min="15842" max="15842" width="18.88671875" style="5" bestFit="1" customWidth="1"/>
    <col min="15843" max="15843" width="22" style="5" customWidth="1"/>
    <col min="15844" max="15844" width="29.88671875" style="5" bestFit="1" customWidth="1"/>
    <col min="15845" max="15845" width="46.5546875" style="5" bestFit="1" customWidth="1"/>
    <col min="15846" max="15846" width="47.5546875" style="5" bestFit="1" customWidth="1"/>
    <col min="15847" max="15847" width="39.109375" style="5" bestFit="1" customWidth="1"/>
    <col min="15848" max="15848" width="20.6640625" style="5" bestFit="1" customWidth="1"/>
    <col min="15849" max="15849" width="17.33203125" style="5" bestFit="1" customWidth="1"/>
    <col min="15850" max="15850" width="33.109375" style="5" bestFit="1" customWidth="1"/>
    <col min="15851" max="15851" width="43.88671875" style="5" bestFit="1" customWidth="1"/>
    <col min="15852" max="15852" width="43.5546875" style="5" bestFit="1" customWidth="1"/>
    <col min="15853" max="15853" width="16.109375" style="5" bestFit="1" customWidth="1"/>
    <col min="15854" max="15854" width="17.33203125" style="5" bestFit="1" customWidth="1"/>
    <col min="15855" max="15855" width="28.6640625" style="5" bestFit="1" customWidth="1"/>
    <col min="15856" max="15856" width="44.33203125" style="5" bestFit="1" customWidth="1"/>
    <col min="15857" max="15857" width="38" style="5" bestFit="1" customWidth="1"/>
    <col min="15858" max="15858" width="16.109375" style="5" bestFit="1" customWidth="1"/>
    <col min="15859" max="15859" width="17.33203125" style="5" bestFit="1" customWidth="1"/>
    <col min="15860" max="15860" width="20.33203125" style="5" bestFit="1" customWidth="1"/>
    <col min="15861" max="15861" width="29.44140625" style="5" bestFit="1" customWidth="1"/>
    <col min="15862" max="15862" width="28.44140625" style="5" bestFit="1" customWidth="1"/>
    <col min="15863" max="15863" width="16.109375" style="5" bestFit="1" customWidth="1"/>
    <col min="15864" max="15864" width="17.33203125" style="5" bestFit="1" customWidth="1"/>
    <col min="15865" max="15865" width="63.109375" style="5" bestFit="1" customWidth="1"/>
    <col min="15866" max="15866" width="43.5546875" style="5" bestFit="1" customWidth="1"/>
    <col min="15867" max="15867" width="32.44140625" style="5" bestFit="1" customWidth="1"/>
    <col min="15868" max="15868" width="22.6640625" style="5" bestFit="1" customWidth="1"/>
    <col min="15869" max="15869" width="56.5546875" style="5" bestFit="1" customWidth="1"/>
    <col min="15870" max="15870" width="39.5546875" style="5" bestFit="1" customWidth="1"/>
    <col min="15871" max="15871" width="24.6640625" style="5" bestFit="1" customWidth="1"/>
    <col min="15872" max="15872" width="61.88671875" style="5" bestFit="1" customWidth="1"/>
    <col min="15873" max="15873" width="29.33203125" style="5" bestFit="1" customWidth="1"/>
    <col min="15874" max="15874" width="29.5546875" style="5" bestFit="1" customWidth="1"/>
    <col min="15875" max="15875" width="64.33203125" style="5" bestFit="1" customWidth="1"/>
    <col min="15876" max="15876" width="37" style="5" bestFit="1" customWidth="1"/>
    <col min="15877" max="15877" width="26.109375" style="5" bestFit="1" customWidth="1"/>
    <col min="15878" max="15878" width="14.44140625" style="5" bestFit="1" customWidth="1"/>
    <col min="15879" max="15879" width="16.44140625" style="5" bestFit="1" customWidth="1"/>
    <col min="15880" max="15880" width="15.6640625" style="5" bestFit="1" customWidth="1"/>
    <col min="15881" max="15882" width="19" style="5" bestFit="1" customWidth="1"/>
    <col min="15883" max="15883" width="25.5546875" style="5" customWidth="1"/>
    <col min="15884" max="15884" width="25.44140625" style="5" customWidth="1"/>
    <col min="15885" max="16039" width="8.88671875" style="5"/>
    <col min="16040" max="16040" width="11.44140625" style="5" bestFit="1" customWidth="1"/>
    <col min="16041" max="16041" width="13.6640625" style="5" bestFit="1" customWidth="1"/>
    <col min="16042" max="16042" width="34.109375" style="5" bestFit="1" customWidth="1"/>
    <col min="16043" max="16043" width="13.44140625" style="5" customWidth="1"/>
    <col min="16044" max="16044" width="12.33203125" style="5" customWidth="1"/>
    <col min="16045" max="16045" width="10.88671875" style="5" customWidth="1"/>
    <col min="16046" max="16046" width="10.33203125" style="5" customWidth="1"/>
    <col min="16047" max="16047" width="12.44140625" style="5" customWidth="1"/>
    <col min="16048" max="16048" width="10" style="5" customWidth="1"/>
    <col min="16049" max="16049" width="10.88671875" style="5" customWidth="1"/>
    <col min="16050" max="16050" width="12.33203125" style="5" customWidth="1"/>
    <col min="16051" max="16051" width="66.5546875" style="5" customWidth="1"/>
    <col min="16052" max="16052" width="30.33203125" style="5" customWidth="1"/>
    <col min="16053" max="16053" width="25.5546875" style="5" customWidth="1"/>
    <col min="16054" max="16054" width="16.44140625" style="5" customWidth="1"/>
    <col min="16055" max="16055" width="16.109375" style="5" customWidth="1"/>
    <col min="16056" max="16056" width="19.33203125" style="5" customWidth="1"/>
    <col min="16057" max="16057" width="19.88671875" style="5" customWidth="1"/>
    <col min="16058" max="16058" width="20.88671875" style="5" customWidth="1"/>
    <col min="16059" max="16059" width="17.109375" style="5" customWidth="1"/>
    <col min="16060" max="16060" width="17" style="5" customWidth="1"/>
    <col min="16061" max="16061" width="17.6640625" style="5" customWidth="1"/>
    <col min="16062" max="16062" width="14.109375" style="5" customWidth="1"/>
    <col min="16063" max="16063" width="15.109375" style="5" customWidth="1"/>
    <col min="16064" max="16064" width="19.5546875" style="5" customWidth="1"/>
    <col min="16065" max="16065" width="20" style="5" customWidth="1"/>
    <col min="16066" max="16066" width="20.109375" style="5" customWidth="1"/>
    <col min="16067" max="16067" width="30.6640625" style="5" customWidth="1"/>
    <col min="16068" max="16068" width="26.44140625" style="5" customWidth="1"/>
    <col min="16069" max="16069" width="21.109375" style="5" customWidth="1"/>
    <col min="16070" max="16070" width="29.5546875" style="5" customWidth="1"/>
    <col min="16071" max="16071" width="10.88671875" style="5" customWidth="1"/>
    <col min="16072" max="16072" width="10.33203125" style="5" customWidth="1"/>
    <col min="16073" max="16073" width="16.33203125" style="5" customWidth="1"/>
    <col min="16074" max="16074" width="14.44140625" style="5" customWidth="1"/>
    <col min="16075" max="16075" width="25.6640625" style="5" customWidth="1"/>
    <col min="16076" max="16076" width="10.88671875" style="5" customWidth="1"/>
    <col min="16077" max="16077" width="19.5546875" style="5" customWidth="1"/>
    <col min="16078" max="16078" width="13.44140625" style="5" customWidth="1"/>
    <col min="16079" max="16079" width="15.109375" style="5" customWidth="1"/>
    <col min="16080" max="16080" width="24.88671875" style="5" customWidth="1"/>
    <col min="16081" max="16081" width="10.88671875" style="5" customWidth="1"/>
    <col min="16082" max="16082" width="13.5546875" style="5" customWidth="1"/>
    <col min="16083" max="16083" width="13.44140625" style="5" customWidth="1"/>
    <col min="16084" max="16084" width="15.109375" style="5" customWidth="1"/>
    <col min="16085" max="16085" width="16.44140625" style="5" customWidth="1"/>
    <col min="16086" max="16086" width="11.5546875" style="5" customWidth="1"/>
    <col min="16087" max="16087" width="13.44140625" style="5" customWidth="1"/>
    <col min="16088" max="16088" width="16.33203125" style="5" customWidth="1"/>
    <col min="16089" max="16089" width="45.6640625" style="5" bestFit="1" customWidth="1"/>
    <col min="16090" max="16090" width="31.6640625" style="5" bestFit="1" customWidth="1"/>
    <col min="16091" max="16091" width="18.88671875" style="5" bestFit="1" customWidth="1"/>
    <col min="16092" max="16092" width="115.44140625" style="5" bestFit="1" customWidth="1"/>
    <col min="16093" max="16093" width="26.5546875" style="5" bestFit="1" customWidth="1"/>
    <col min="16094" max="16094" width="118.109375" style="5" bestFit="1" customWidth="1"/>
    <col min="16095" max="16095" width="26.5546875" style="5" bestFit="1" customWidth="1"/>
    <col min="16096" max="16096" width="17.88671875" style="5" bestFit="1" customWidth="1"/>
    <col min="16097" max="16097" width="16" style="5" customWidth="1"/>
    <col min="16098" max="16098" width="18.88671875" style="5" bestFit="1" customWidth="1"/>
    <col min="16099" max="16099" width="22" style="5" customWidth="1"/>
    <col min="16100" max="16100" width="29.88671875" style="5" bestFit="1" customWidth="1"/>
    <col min="16101" max="16101" width="46.5546875" style="5" bestFit="1" customWidth="1"/>
    <col min="16102" max="16102" width="47.5546875" style="5" bestFit="1" customWidth="1"/>
    <col min="16103" max="16103" width="39.109375" style="5" bestFit="1" customWidth="1"/>
    <col min="16104" max="16104" width="20.6640625" style="5" bestFit="1" customWidth="1"/>
    <col min="16105" max="16105" width="17.33203125" style="5" bestFit="1" customWidth="1"/>
    <col min="16106" max="16106" width="33.109375" style="5" bestFit="1" customWidth="1"/>
    <col min="16107" max="16107" width="43.88671875" style="5" bestFit="1" customWidth="1"/>
    <col min="16108" max="16108" width="43.5546875" style="5" bestFit="1" customWidth="1"/>
    <col min="16109" max="16109" width="16.109375" style="5" bestFit="1" customWidth="1"/>
    <col min="16110" max="16110" width="17.33203125" style="5" bestFit="1" customWidth="1"/>
    <col min="16111" max="16111" width="28.6640625" style="5" bestFit="1" customWidth="1"/>
    <col min="16112" max="16112" width="44.33203125" style="5" bestFit="1" customWidth="1"/>
    <col min="16113" max="16113" width="38" style="5" bestFit="1" customWidth="1"/>
    <col min="16114" max="16114" width="16.109375" style="5" bestFit="1" customWidth="1"/>
    <col min="16115" max="16115" width="17.33203125" style="5" bestFit="1" customWidth="1"/>
    <col min="16116" max="16116" width="20.33203125" style="5" bestFit="1" customWidth="1"/>
    <col min="16117" max="16117" width="29.44140625" style="5" bestFit="1" customWidth="1"/>
    <col min="16118" max="16118" width="28.44140625" style="5" bestFit="1" customWidth="1"/>
    <col min="16119" max="16119" width="16.109375" style="5" bestFit="1" customWidth="1"/>
    <col min="16120" max="16120" width="17.33203125" style="5" bestFit="1" customWidth="1"/>
    <col min="16121" max="16121" width="63.109375" style="5" bestFit="1" customWidth="1"/>
    <col min="16122" max="16122" width="43.5546875" style="5" bestFit="1" customWidth="1"/>
    <col min="16123" max="16123" width="32.44140625" style="5" bestFit="1" customWidth="1"/>
    <col min="16124" max="16124" width="22.6640625" style="5" bestFit="1" customWidth="1"/>
    <col min="16125" max="16125" width="56.5546875" style="5" bestFit="1" customWidth="1"/>
    <col min="16126" max="16126" width="39.5546875" style="5" bestFit="1" customWidth="1"/>
    <col min="16127" max="16127" width="24.6640625" style="5" bestFit="1" customWidth="1"/>
    <col min="16128" max="16128" width="61.88671875" style="5" bestFit="1" customWidth="1"/>
    <col min="16129" max="16129" width="29.33203125" style="5" bestFit="1" customWidth="1"/>
    <col min="16130" max="16130" width="29.5546875" style="5" bestFit="1" customWidth="1"/>
    <col min="16131" max="16131" width="64.33203125" style="5" bestFit="1" customWidth="1"/>
    <col min="16132" max="16132" width="37" style="5" bestFit="1" customWidth="1"/>
    <col min="16133" max="16133" width="26.109375" style="5" bestFit="1" customWidth="1"/>
    <col min="16134" max="16134" width="14.44140625" style="5" bestFit="1" customWidth="1"/>
    <col min="16135" max="16135" width="16.44140625" style="5" bestFit="1" customWidth="1"/>
    <col min="16136" max="16136" width="15.6640625" style="5" bestFit="1" customWidth="1"/>
    <col min="16137" max="16138" width="19" style="5" bestFit="1" customWidth="1"/>
    <col min="16139" max="16139" width="25.5546875" style="5" customWidth="1"/>
    <col min="16140" max="16140" width="25.44140625" style="5" customWidth="1"/>
    <col min="16141" max="16384" width="8.88671875" style="5"/>
  </cols>
  <sheetData>
    <row r="1" spans="1:20" ht="5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3333</v>
      </c>
      <c r="P1" s="4" t="s">
        <v>14</v>
      </c>
      <c r="Q1" s="4" t="s">
        <v>15</v>
      </c>
      <c r="R1" s="1" t="s">
        <v>16</v>
      </c>
      <c r="S1" s="1" t="s">
        <v>17</v>
      </c>
      <c r="T1" s="1" t="s">
        <v>18</v>
      </c>
    </row>
    <row r="2" spans="1:20" ht="36" customHeight="1">
      <c r="A2" s="6">
        <v>1</v>
      </c>
      <c r="B2" s="7" t="s">
        <v>19</v>
      </c>
      <c r="C2" s="8" t="s">
        <v>20</v>
      </c>
      <c r="D2" s="9" t="s">
        <v>21</v>
      </c>
      <c r="E2" s="10">
        <v>25731</v>
      </c>
      <c r="F2" s="11">
        <f t="shared" ref="F2:F65" ca="1" si="0">(TODAY()-E2)/365</f>
        <v>53.534246575342465</v>
      </c>
      <c r="G2" s="11">
        <f t="shared" ref="G2:G65" si="1">MONTH(E2)</f>
        <v>6</v>
      </c>
      <c r="H2" s="11">
        <f t="shared" ref="H2:H65" si="2">DAY(E2)</f>
        <v>12</v>
      </c>
      <c r="I2" s="10">
        <v>34890</v>
      </c>
      <c r="J2" s="9" t="s">
        <v>22</v>
      </c>
      <c r="K2" s="9" t="s">
        <v>23</v>
      </c>
      <c r="L2" s="9" t="s">
        <v>24</v>
      </c>
      <c r="M2" s="9" t="s">
        <v>25</v>
      </c>
      <c r="N2" s="11">
        <v>1</v>
      </c>
      <c r="O2" s="12">
        <f t="shared" ref="O2:O65" ca="1" si="3">(TODAY()-I2)/365</f>
        <v>28.44109589041096</v>
      </c>
      <c r="P2" s="12">
        <f t="shared" ref="P2:P65" ca="1" si="4">SUM(N2+O2)</f>
        <v>29.44109589041096</v>
      </c>
      <c r="Q2" s="12" t="s">
        <v>26</v>
      </c>
      <c r="R2" s="9" t="s">
        <v>27</v>
      </c>
      <c r="S2" s="9" t="s">
        <v>28</v>
      </c>
      <c r="T2" s="9" t="s">
        <v>29</v>
      </c>
    </row>
    <row r="3" spans="1:20" ht="36" customHeight="1">
      <c r="A3" s="6">
        <f>+A2+1</f>
        <v>2</v>
      </c>
      <c r="B3" s="7" t="s">
        <v>30</v>
      </c>
      <c r="C3" s="8" t="s">
        <v>31</v>
      </c>
      <c r="D3" s="9" t="s">
        <v>26</v>
      </c>
      <c r="E3" s="10">
        <v>26466</v>
      </c>
      <c r="F3" s="11">
        <f t="shared" ca="1" si="0"/>
        <v>51.520547945205479</v>
      </c>
      <c r="G3" s="11">
        <f t="shared" si="1"/>
        <v>6</v>
      </c>
      <c r="H3" s="11">
        <f t="shared" si="2"/>
        <v>16</v>
      </c>
      <c r="I3" s="10">
        <v>36281</v>
      </c>
      <c r="J3" s="9" t="s">
        <v>32</v>
      </c>
      <c r="K3" s="9" t="s">
        <v>33</v>
      </c>
      <c r="L3" s="9" t="s">
        <v>34</v>
      </c>
      <c r="M3" s="9" t="s">
        <v>35</v>
      </c>
      <c r="N3" s="11">
        <v>1</v>
      </c>
      <c r="O3" s="12">
        <f t="shared" ca="1" si="3"/>
        <v>24.63013698630137</v>
      </c>
      <c r="P3" s="12">
        <f t="shared" ca="1" si="4"/>
        <v>25.63013698630137</v>
      </c>
      <c r="Q3" s="12" t="s">
        <v>26</v>
      </c>
      <c r="R3" s="9" t="s">
        <v>27</v>
      </c>
      <c r="S3" s="9" t="s">
        <v>36</v>
      </c>
      <c r="T3" s="9" t="s">
        <v>37</v>
      </c>
    </row>
    <row r="4" spans="1:20" ht="36" customHeight="1">
      <c r="A4" s="6">
        <f t="shared" ref="A4:A67" si="5">+A3+1</f>
        <v>3</v>
      </c>
      <c r="B4" s="7" t="s">
        <v>39</v>
      </c>
      <c r="C4" s="8" t="s">
        <v>40</v>
      </c>
      <c r="D4" s="9" t="s">
        <v>26</v>
      </c>
      <c r="E4" s="10">
        <v>28594</v>
      </c>
      <c r="F4" s="11">
        <f t="shared" ca="1" si="0"/>
        <v>45.69041095890411</v>
      </c>
      <c r="G4" s="11">
        <f t="shared" si="1"/>
        <v>4</v>
      </c>
      <c r="H4" s="11">
        <f t="shared" si="2"/>
        <v>14</v>
      </c>
      <c r="I4" s="10">
        <v>37606</v>
      </c>
      <c r="J4" s="9" t="s">
        <v>41</v>
      </c>
      <c r="K4" s="9" t="s">
        <v>42</v>
      </c>
      <c r="L4" s="9" t="s">
        <v>34</v>
      </c>
      <c r="M4" s="9" t="s">
        <v>35</v>
      </c>
      <c r="N4" s="11">
        <v>1</v>
      </c>
      <c r="O4" s="12">
        <f t="shared" ca="1" si="3"/>
        <v>21</v>
      </c>
      <c r="P4" s="12">
        <f t="shared" ca="1" si="4"/>
        <v>22</v>
      </c>
      <c r="Q4" s="12" t="s">
        <v>26</v>
      </c>
      <c r="R4" s="9" t="s">
        <v>27</v>
      </c>
      <c r="S4" s="9" t="s">
        <v>36</v>
      </c>
      <c r="T4" s="9" t="s">
        <v>37</v>
      </c>
    </row>
    <row r="5" spans="1:20" ht="36" customHeight="1">
      <c r="A5" s="6">
        <f t="shared" si="5"/>
        <v>4</v>
      </c>
      <c r="B5" s="7" t="s">
        <v>43</v>
      </c>
      <c r="C5" s="8" t="s">
        <v>44</v>
      </c>
      <c r="D5" s="9" t="s">
        <v>26</v>
      </c>
      <c r="E5" s="10">
        <v>29366</v>
      </c>
      <c r="F5" s="11">
        <f t="shared" ca="1" si="0"/>
        <v>43.575342465753423</v>
      </c>
      <c r="G5" s="11">
        <f t="shared" si="1"/>
        <v>5</v>
      </c>
      <c r="H5" s="11">
        <f t="shared" si="2"/>
        <v>25</v>
      </c>
      <c r="I5" s="10">
        <v>37594</v>
      </c>
      <c r="J5" s="9" t="s">
        <v>45</v>
      </c>
      <c r="K5" s="9" t="s">
        <v>46</v>
      </c>
      <c r="L5" s="9" t="s">
        <v>34</v>
      </c>
      <c r="M5" s="9" t="s">
        <v>35</v>
      </c>
      <c r="N5" s="11">
        <v>0</v>
      </c>
      <c r="O5" s="12">
        <f t="shared" ca="1" si="3"/>
        <v>21.032876712328768</v>
      </c>
      <c r="P5" s="12">
        <f t="shared" ca="1" si="4"/>
        <v>21.032876712328768</v>
      </c>
      <c r="Q5" s="12" t="s">
        <v>26</v>
      </c>
      <c r="R5" s="9" t="s">
        <v>27</v>
      </c>
      <c r="S5" s="9" t="s">
        <v>36</v>
      </c>
      <c r="T5" s="9" t="s">
        <v>37</v>
      </c>
    </row>
    <row r="6" spans="1:20" ht="36" customHeight="1">
      <c r="A6" s="6">
        <f t="shared" si="5"/>
        <v>5</v>
      </c>
      <c r="B6" s="7" t="s">
        <v>48</v>
      </c>
      <c r="C6" s="8" t="s">
        <v>49</v>
      </c>
      <c r="D6" s="9" t="s">
        <v>21</v>
      </c>
      <c r="E6" s="10">
        <v>26560</v>
      </c>
      <c r="F6" s="11">
        <f t="shared" ca="1" si="0"/>
        <v>51.263013698630139</v>
      </c>
      <c r="G6" s="11">
        <f t="shared" si="1"/>
        <v>9</v>
      </c>
      <c r="H6" s="11">
        <f t="shared" si="2"/>
        <v>18</v>
      </c>
      <c r="I6" s="10">
        <v>37623</v>
      </c>
      <c r="J6" s="9" t="s">
        <v>50</v>
      </c>
      <c r="K6" s="9" t="s">
        <v>51</v>
      </c>
      <c r="L6" s="9" t="s">
        <v>52</v>
      </c>
      <c r="M6" s="9" t="s">
        <v>25</v>
      </c>
      <c r="N6" s="11">
        <v>9</v>
      </c>
      <c r="O6" s="12">
        <f t="shared" ca="1" si="3"/>
        <v>20.953424657534246</v>
      </c>
      <c r="P6" s="12">
        <f t="shared" ca="1" si="4"/>
        <v>29.953424657534246</v>
      </c>
      <c r="Q6" s="12" t="s">
        <v>26</v>
      </c>
      <c r="R6" s="9" t="s">
        <v>27</v>
      </c>
      <c r="S6" s="9" t="s">
        <v>28</v>
      </c>
      <c r="T6" s="9" t="s">
        <v>29</v>
      </c>
    </row>
    <row r="7" spans="1:20" ht="36" customHeight="1">
      <c r="A7" s="6">
        <f t="shared" si="5"/>
        <v>6</v>
      </c>
      <c r="B7" s="7" t="s">
        <v>53</v>
      </c>
      <c r="C7" s="8" t="s">
        <v>54</v>
      </c>
      <c r="D7" s="9" t="s">
        <v>26</v>
      </c>
      <c r="E7" s="10">
        <v>26215</v>
      </c>
      <c r="F7" s="11">
        <f t="shared" ca="1" si="0"/>
        <v>52.208219178082189</v>
      </c>
      <c r="G7" s="11">
        <f t="shared" si="1"/>
        <v>10</v>
      </c>
      <c r="H7" s="11">
        <f t="shared" si="2"/>
        <v>9</v>
      </c>
      <c r="I7" s="10">
        <v>37669</v>
      </c>
      <c r="J7" s="9" t="s">
        <v>41</v>
      </c>
      <c r="K7" s="9" t="s">
        <v>47</v>
      </c>
      <c r="L7" s="9" t="s">
        <v>55</v>
      </c>
      <c r="M7" s="9" t="s">
        <v>35</v>
      </c>
      <c r="N7" s="11">
        <v>15</v>
      </c>
      <c r="O7" s="12">
        <f t="shared" ca="1" si="3"/>
        <v>20.827397260273973</v>
      </c>
      <c r="P7" s="12">
        <f t="shared" ca="1" si="4"/>
        <v>35.827397260273969</v>
      </c>
      <c r="Q7" s="12" t="s">
        <v>26</v>
      </c>
      <c r="R7" s="9" t="s">
        <v>27</v>
      </c>
      <c r="S7" s="9" t="s">
        <v>36</v>
      </c>
      <c r="T7" s="9" t="s">
        <v>37</v>
      </c>
    </row>
    <row r="8" spans="1:20" ht="36" customHeight="1">
      <c r="A8" s="6">
        <f t="shared" si="5"/>
        <v>7</v>
      </c>
      <c r="B8" s="7" t="s">
        <v>56</v>
      </c>
      <c r="C8" s="8" t="s">
        <v>57</v>
      </c>
      <c r="D8" s="9" t="s">
        <v>26</v>
      </c>
      <c r="E8" s="10">
        <v>22532</v>
      </c>
      <c r="F8" s="11">
        <f t="shared" ca="1" si="0"/>
        <v>62.298630136986304</v>
      </c>
      <c r="G8" s="11">
        <f t="shared" si="1"/>
        <v>9</v>
      </c>
      <c r="H8" s="11">
        <f t="shared" si="2"/>
        <v>8</v>
      </c>
      <c r="I8" s="10">
        <v>37881</v>
      </c>
      <c r="J8" s="9" t="s">
        <v>58</v>
      </c>
      <c r="K8" s="9" t="s">
        <v>59</v>
      </c>
      <c r="L8" s="9" t="s">
        <v>60</v>
      </c>
      <c r="M8" s="9" t="s">
        <v>61</v>
      </c>
      <c r="N8" s="11">
        <v>22</v>
      </c>
      <c r="O8" s="12">
        <f t="shared" ca="1" si="3"/>
        <v>20.246575342465754</v>
      </c>
      <c r="P8" s="12">
        <f t="shared" ca="1" si="4"/>
        <v>42.246575342465754</v>
      </c>
      <c r="Q8" s="12" t="s">
        <v>26</v>
      </c>
      <c r="R8" s="9" t="s">
        <v>27</v>
      </c>
      <c r="S8" s="9" t="s">
        <v>28</v>
      </c>
      <c r="T8" s="9" t="s">
        <v>29</v>
      </c>
    </row>
    <row r="9" spans="1:20" s="13" customFormat="1" ht="36" customHeight="1">
      <c r="A9" s="6">
        <f t="shared" si="5"/>
        <v>8</v>
      </c>
      <c r="B9" s="7" t="s">
        <v>64</v>
      </c>
      <c r="C9" s="8" t="s">
        <v>65</v>
      </c>
      <c r="D9" s="9" t="s">
        <v>26</v>
      </c>
      <c r="E9" s="10">
        <v>26687</v>
      </c>
      <c r="F9" s="11">
        <f t="shared" ca="1" si="0"/>
        <v>50.915068493150685</v>
      </c>
      <c r="G9" s="11">
        <f t="shared" si="1"/>
        <v>1</v>
      </c>
      <c r="H9" s="11">
        <f t="shared" si="2"/>
        <v>23</v>
      </c>
      <c r="I9" s="10">
        <v>37935</v>
      </c>
      <c r="J9" s="9" t="s">
        <v>66</v>
      </c>
      <c r="K9" s="9" t="s">
        <v>67</v>
      </c>
      <c r="L9" s="9" t="s">
        <v>34</v>
      </c>
      <c r="M9" s="9" t="s">
        <v>35</v>
      </c>
      <c r="N9" s="11">
        <v>5</v>
      </c>
      <c r="O9" s="12">
        <f t="shared" ca="1" si="3"/>
        <v>20.098630136986301</v>
      </c>
      <c r="P9" s="12">
        <f t="shared" ca="1" si="4"/>
        <v>25.098630136986301</v>
      </c>
      <c r="Q9" s="12" t="s">
        <v>68</v>
      </c>
      <c r="R9" s="9" t="s">
        <v>27</v>
      </c>
      <c r="S9" s="9" t="s">
        <v>28</v>
      </c>
      <c r="T9" s="9" t="s">
        <v>29</v>
      </c>
    </row>
    <row r="10" spans="1:20" ht="36" customHeight="1">
      <c r="A10" s="6">
        <f t="shared" si="5"/>
        <v>9</v>
      </c>
      <c r="B10" s="7" t="s">
        <v>69</v>
      </c>
      <c r="C10" s="8" t="s">
        <v>70</v>
      </c>
      <c r="D10" s="9" t="s">
        <v>26</v>
      </c>
      <c r="E10" s="10">
        <v>21553</v>
      </c>
      <c r="F10" s="11">
        <f t="shared" ca="1" si="0"/>
        <v>64.980821917808214</v>
      </c>
      <c r="G10" s="11">
        <f t="shared" si="1"/>
        <v>1</v>
      </c>
      <c r="H10" s="11">
        <f t="shared" si="2"/>
        <v>3</v>
      </c>
      <c r="I10" s="10">
        <v>38089</v>
      </c>
      <c r="J10" s="9" t="s">
        <v>41</v>
      </c>
      <c r="K10" s="9" t="s">
        <v>71</v>
      </c>
      <c r="L10" s="9" t="s">
        <v>55</v>
      </c>
      <c r="M10" s="9" t="s">
        <v>35</v>
      </c>
      <c r="N10" s="11">
        <v>19</v>
      </c>
      <c r="O10" s="12">
        <f t="shared" ca="1" si="3"/>
        <v>19.676712328767124</v>
      </c>
      <c r="P10" s="12">
        <f t="shared" ca="1" si="4"/>
        <v>38.676712328767124</v>
      </c>
      <c r="Q10" s="12" t="s">
        <v>26</v>
      </c>
      <c r="R10" s="9" t="s">
        <v>27</v>
      </c>
      <c r="S10" s="9" t="s">
        <v>36</v>
      </c>
      <c r="T10" s="9" t="s">
        <v>72</v>
      </c>
    </row>
    <row r="11" spans="1:20" ht="36" customHeight="1">
      <c r="A11" s="6">
        <f t="shared" si="5"/>
        <v>10</v>
      </c>
      <c r="B11" s="7" t="s">
        <v>73</v>
      </c>
      <c r="C11" s="8" t="s">
        <v>74</v>
      </c>
      <c r="D11" s="9" t="s">
        <v>26</v>
      </c>
      <c r="E11" s="10">
        <v>27942</v>
      </c>
      <c r="F11" s="11">
        <f t="shared" ca="1" si="0"/>
        <v>47.476712328767121</v>
      </c>
      <c r="G11" s="11">
        <f t="shared" si="1"/>
        <v>7</v>
      </c>
      <c r="H11" s="11">
        <f t="shared" si="2"/>
        <v>1</v>
      </c>
      <c r="I11" s="10">
        <v>38089</v>
      </c>
      <c r="J11" s="9" t="s">
        <v>22</v>
      </c>
      <c r="K11" s="9" t="s">
        <v>75</v>
      </c>
      <c r="L11" s="9" t="s">
        <v>76</v>
      </c>
      <c r="M11" s="9" t="s">
        <v>25</v>
      </c>
      <c r="N11" s="11">
        <v>6</v>
      </c>
      <c r="O11" s="12">
        <f t="shared" ca="1" si="3"/>
        <v>19.676712328767124</v>
      </c>
      <c r="P11" s="12">
        <f t="shared" ca="1" si="4"/>
        <v>25.676712328767124</v>
      </c>
      <c r="Q11" s="12" t="s">
        <v>26</v>
      </c>
      <c r="R11" s="9" t="s">
        <v>27</v>
      </c>
      <c r="S11" s="9" t="s">
        <v>28</v>
      </c>
      <c r="T11" s="9" t="s">
        <v>29</v>
      </c>
    </row>
    <row r="12" spans="1:20" ht="36" customHeight="1">
      <c r="A12" s="6">
        <f t="shared" si="5"/>
        <v>11</v>
      </c>
      <c r="B12" s="7" t="s">
        <v>77</v>
      </c>
      <c r="C12" s="8" t="s">
        <v>78</v>
      </c>
      <c r="D12" s="9" t="s">
        <v>26</v>
      </c>
      <c r="E12" s="10">
        <v>28950</v>
      </c>
      <c r="F12" s="11">
        <f t="shared" ca="1" si="0"/>
        <v>44.715068493150682</v>
      </c>
      <c r="G12" s="11">
        <f t="shared" si="1"/>
        <v>4</v>
      </c>
      <c r="H12" s="11">
        <f t="shared" si="2"/>
        <v>5</v>
      </c>
      <c r="I12" s="10">
        <v>38278</v>
      </c>
      <c r="J12" s="9" t="s">
        <v>58</v>
      </c>
      <c r="K12" s="9" t="s">
        <v>79</v>
      </c>
      <c r="L12" s="9" t="s">
        <v>80</v>
      </c>
      <c r="M12" s="9" t="s">
        <v>25</v>
      </c>
      <c r="N12" s="11">
        <v>6</v>
      </c>
      <c r="O12" s="12">
        <f t="shared" ca="1" si="3"/>
        <v>19.158904109589042</v>
      </c>
      <c r="P12" s="12">
        <f t="shared" ca="1" si="4"/>
        <v>25.158904109589042</v>
      </c>
      <c r="Q12" s="12" t="s">
        <v>26</v>
      </c>
      <c r="R12" s="9" t="s">
        <v>27</v>
      </c>
      <c r="S12" s="9" t="s">
        <v>28</v>
      </c>
      <c r="T12" s="9" t="s">
        <v>29</v>
      </c>
    </row>
    <row r="13" spans="1:20" ht="36" customHeight="1">
      <c r="A13" s="6">
        <f t="shared" si="5"/>
        <v>12</v>
      </c>
      <c r="B13" s="7" t="s">
        <v>81</v>
      </c>
      <c r="C13" s="8" t="s">
        <v>82</v>
      </c>
      <c r="D13" s="9" t="s">
        <v>26</v>
      </c>
      <c r="E13" s="10">
        <v>24159</v>
      </c>
      <c r="F13" s="11">
        <f t="shared" ca="1" si="0"/>
        <v>57.841095890410962</v>
      </c>
      <c r="G13" s="11">
        <f t="shared" si="1"/>
        <v>2</v>
      </c>
      <c r="H13" s="11">
        <f t="shared" si="2"/>
        <v>21</v>
      </c>
      <c r="I13" s="10">
        <v>38303</v>
      </c>
      <c r="J13" s="9" t="s">
        <v>41</v>
      </c>
      <c r="K13" s="9" t="s">
        <v>83</v>
      </c>
      <c r="L13" s="9" t="s">
        <v>24</v>
      </c>
      <c r="M13" s="9" t="s">
        <v>25</v>
      </c>
      <c r="N13" s="11">
        <v>2</v>
      </c>
      <c r="O13" s="12">
        <f t="shared" ca="1" si="3"/>
        <v>19.090410958904108</v>
      </c>
      <c r="P13" s="12">
        <f t="shared" ca="1" si="4"/>
        <v>21.090410958904108</v>
      </c>
      <c r="Q13" s="12" t="s">
        <v>26</v>
      </c>
      <c r="R13" s="9" t="s">
        <v>27</v>
      </c>
      <c r="S13" s="9" t="s">
        <v>28</v>
      </c>
      <c r="T13" s="9" t="s">
        <v>84</v>
      </c>
    </row>
    <row r="14" spans="1:20" ht="36" customHeight="1">
      <c r="A14" s="6">
        <f t="shared" si="5"/>
        <v>13</v>
      </c>
      <c r="B14" s="7" t="s">
        <v>85</v>
      </c>
      <c r="C14" s="8" t="s">
        <v>86</v>
      </c>
      <c r="D14" s="9" t="s">
        <v>26</v>
      </c>
      <c r="E14" s="10">
        <v>19013</v>
      </c>
      <c r="F14" s="11">
        <f t="shared" ca="1" si="0"/>
        <v>71.939726027397256</v>
      </c>
      <c r="G14" s="11">
        <f t="shared" si="1"/>
        <v>1</v>
      </c>
      <c r="H14" s="11">
        <f t="shared" si="2"/>
        <v>20</v>
      </c>
      <c r="I14" s="10">
        <v>38384</v>
      </c>
      <c r="J14" s="9" t="s">
        <v>87</v>
      </c>
      <c r="K14" s="9" t="s">
        <v>88</v>
      </c>
      <c r="L14" s="9" t="s">
        <v>89</v>
      </c>
      <c r="M14" s="9" t="s">
        <v>35</v>
      </c>
      <c r="N14" s="11">
        <v>30</v>
      </c>
      <c r="O14" s="12">
        <f t="shared" ca="1" si="3"/>
        <v>18.86849315068493</v>
      </c>
      <c r="P14" s="12">
        <f t="shared" ca="1" si="4"/>
        <v>48.868493150684927</v>
      </c>
      <c r="Q14" s="12" t="s">
        <v>26</v>
      </c>
      <c r="R14" s="9" t="s">
        <v>27</v>
      </c>
      <c r="S14" s="9" t="s">
        <v>36</v>
      </c>
      <c r="T14" s="9" t="s">
        <v>90</v>
      </c>
    </row>
    <row r="15" spans="1:20" ht="36" customHeight="1">
      <c r="A15" s="6">
        <f t="shared" si="5"/>
        <v>14</v>
      </c>
      <c r="B15" s="7" t="s">
        <v>91</v>
      </c>
      <c r="C15" s="8" t="s">
        <v>92</v>
      </c>
      <c r="D15" s="9" t="s">
        <v>26</v>
      </c>
      <c r="E15" s="10">
        <v>22138</v>
      </c>
      <c r="F15" s="11">
        <f t="shared" ca="1" si="0"/>
        <v>63.37808219178082</v>
      </c>
      <c r="G15" s="11">
        <f t="shared" si="1"/>
        <v>8</v>
      </c>
      <c r="H15" s="11">
        <f t="shared" si="2"/>
        <v>10</v>
      </c>
      <c r="I15" s="10">
        <v>38393</v>
      </c>
      <c r="J15" s="9" t="s">
        <v>93</v>
      </c>
      <c r="K15" s="9" t="s">
        <v>94</v>
      </c>
      <c r="L15" s="9" t="s">
        <v>34</v>
      </c>
      <c r="M15" s="9" t="s">
        <v>25</v>
      </c>
      <c r="N15" s="11">
        <v>23</v>
      </c>
      <c r="O15" s="12">
        <f t="shared" ca="1" si="3"/>
        <v>18.843835616438355</v>
      </c>
      <c r="P15" s="12">
        <f t="shared" ca="1" si="4"/>
        <v>41.843835616438355</v>
      </c>
      <c r="Q15" s="12" t="s">
        <v>26</v>
      </c>
      <c r="R15" s="9" t="s">
        <v>27</v>
      </c>
      <c r="S15" s="9" t="s">
        <v>28</v>
      </c>
      <c r="T15" s="9" t="s">
        <v>29</v>
      </c>
    </row>
    <row r="16" spans="1:20" ht="36" customHeight="1">
      <c r="A16" s="6">
        <f t="shared" si="5"/>
        <v>15</v>
      </c>
      <c r="B16" s="7" t="s">
        <v>97</v>
      </c>
      <c r="C16" s="8" t="s">
        <v>98</v>
      </c>
      <c r="D16" s="9" t="s">
        <v>26</v>
      </c>
      <c r="E16" s="10">
        <v>22533</v>
      </c>
      <c r="F16" s="11">
        <f t="shared" ca="1" si="0"/>
        <v>62.295890410958904</v>
      </c>
      <c r="G16" s="11">
        <f t="shared" si="1"/>
        <v>9</v>
      </c>
      <c r="H16" s="11">
        <f t="shared" si="2"/>
        <v>9</v>
      </c>
      <c r="I16" s="10">
        <v>38421</v>
      </c>
      <c r="J16" s="9" t="s">
        <v>32</v>
      </c>
      <c r="K16" s="9" t="s">
        <v>99</v>
      </c>
      <c r="L16" s="9" t="s">
        <v>100</v>
      </c>
      <c r="M16" s="9" t="s">
        <v>25</v>
      </c>
      <c r="N16" s="11">
        <v>23</v>
      </c>
      <c r="O16" s="12">
        <f t="shared" ca="1" si="3"/>
        <v>18.767123287671232</v>
      </c>
      <c r="P16" s="12">
        <f t="shared" ca="1" si="4"/>
        <v>41.767123287671232</v>
      </c>
      <c r="Q16" s="12" t="s">
        <v>26</v>
      </c>
      <c r="R16" s="9" t="s">
        <v>27</v>
      </c>
      <c r="S16" s="9" t="s">
        <v>28</v>
      </c>
      <c r="T16" s="9" t="s">
        <v>29</v>
      </c>
    </row>
    <row r="17" spans="1:20" ht="36" customHeight="1">
      <c r="A17" s="6">
        <f t="shared" si="5"/>
        <v>16</v>
      </c>
      <c r="B17" s="7" t="s">
        <v>104</v>
      </c>
      <c r="C17" s="8" t="s">
        <v>105</v>
      </c>
      <c r="D17" s="9" t="s">
        <v>26</v>
      </c>
      <c r="E17" s="10">
        <v>25542</v>
      </c>
      <c r="F17" s="11">
        <f t="shared" ca="1" si="0"/>
        <v>54.052054794520551</v>
      </c>
      <c r="G17" s="11">
        <f t="shared" si="1"/>
        <v>12</v>
      </c>
      <c r="H17" s="11">
        <f t="shared" si="2"/>
        <v>5</v>
      </c>
      <c r="I17" s="10">
        <v>38427</v>
      </c>
      <c r="J17" s="9" t="s">
        <v>66</v>
      </c>
      <c r="K17" s="9" t="s">
        <v>106</v>
      </c>
      <c r="L17" s="9" t="s">
        <v>107</v>
      </c>
      <c r="M17" s="9" t="s">
        <v>35</v>
      </c>
      <c r="N17" s="11">
        <v>17</v>
      </c>
      <c r="O17" s="12">
        <f t="shared" ca="1" si="3"/>
        <v>18.75068493150685</v>
      </c>
      <c r="P17" s="12">
        <f t="shared" ca="1" si="4"/>
        <v>35.750684931506854</v>
      </c>
      <c r="Q17" s="12" t="s">
        <v>26</v>
      </c>
      <c r="R17" s="9" t="s">
        <v>27</v>
      </c>
      <c r="S17" s="9" t="s">
        <v>28</v>
      </c>
      <c r="T17" s="9" t="s">
        <v>29</v>
      </c>
    </row>
    <row r="18" spans="1:20" ht="36" customHeight="1">
      <c r="A18" s="6">
        <f t="shared" si="5"/>
        <v>17</v>
      </c>
      <c r="B18" s="7" t="s">
        <v>108</v>
      </c>
      <c r="C18" s="8" t="s">
        <v>109</v>
      </c>
      <c r="D18" s="9" t="s">
        <v>26</v>
      </c>
      <c r="E18" s="10">
        <v>30480</v>
      </c>
      <c r="F18" s="11">
        <f t="shared" ca="1" si="0"/>
        <v>40.523287671232879</v>
      </c>
      <c r="G18" s="11">
        <f t="shared" si="1"/>
        <v>6</v>
      </c>
      <c r="H18" s="11">
        <f t="shared" si="2"/>
        <v>13</v>
      </c>
      <c r="I18" s="10">
        <v>38482</v>
      </c>
      <c r="J18" s="9" t="s">
        <v>110</v>
      </c>
      <c r="K18" s="9" t="s">
        <v>111</v>
      </c>
      <c r="L18" s="9" t="s">
        <v>34</v>
      </c>
      <c r="M18" s="9" t="s">
        <v>35</v>
      </c>
      <c r="N18" s="11">
        <v>3</v>
      </c>
      <c r="O18" s="12">
        <f t="shared" ca="1" si="3"/>
        <v>18.600000000000001</v>
      </c>
      <c r="P18" s="12">
        <f t="shared" ca="1" si="4"/>
        <v>21.6</v>
      </c>
      <c r="Q18" s="12" t="s">
        <v>68</v>
      </c>
      <c r="R18" s="9" t="s">
        <v>27</v>
      </c>
      <c r="S18" s="9" t="s">
        <v>36</v>
      </c>
      <c r="T18" s="9" t="s">
        <v>37</v>
      </c>
    </row>
    <row r="19" spans="1:20" ht="36" customHeight="1">
      <c r="A19" s="6">
        <f t="shared" si="5"/>
        <v>18</v>
      </c>
      <c r="B19" s="7" t="s">
        <v>112</v>
      </c>
      <c r="C19" s="8" t="s">
        <v>113</v>
      </c>
      <c r="D19" s="9" t="s">
        <v>26</v>
      </c>
      <c r="E19" s="10">
        <v>30883</v>
      </c>
      <c r="F19" s="11">
        <f t="shared" ca="1" si="0"/>
        <v>39.419178082191777</v>
      </c>
      <c r="G19" s="11">
        <f t="shared" si="1"/>
        <v>7</v>
      </c>
      <c r="H19" s="11">
        <f t="shared" si="2"/>
        <v>20</v>
      </c>
      <c r="I19" s="10">
        <v>38504</v>
      </c>
      <c r="J19" s="9" t="s">
        <v>110</v>
      </c>
      <c r="K19" s="9" t="s">
        <v>63</v>
      </c>
      <c r="L19" s="9" t="s">
        <v>76</v>
      </c>
      <c r="M19" s="9" t="s">
        <v>25</v>
      </c>
      <c r="N19" s="11">
        <v>0</v>
      </c>
      <c r="O19" s="12">
        <f t="shared" ca="1" si="3"/>
        <v>18.539726027397261</v>
      </c>
      <c r="P19" s="12">
        <f t="shared" ca="1" si="4"/>
        <v>18.539726027397261</v>
      </c>
      <c r="Q19" s="12" t="s">
        <v>26</v>
      </c>
      <c r="R19" s="9" t="s">
        <v>27</v>
      </c>
      <c r="S19" s="9" t="s">
        <v>28</v>
      </c>
      <c r="T19" s="9" t="s">
        <v>114</v>
      </c>
    </row>
    <row r="20" spans="1:20" ht="36" customHeight="1">
      <c r="A20" s="6">
        <f t="shared" si="5"/>
        <v>19</v>
      </c>
      <c r="B20" s="7" t="s">
        <v>115</v>
      </c>
      <c r="C20" s="15" t="s">
        <v>116</v>
      </c>
      <c r="D20" s="9" t="s">
        <v>26</v>
      </c>
      <c r="E20" s="10">
        <v>28321</v>
      </c>
      <c r="F20" s="11">
        <f t="shared" ca="1" si="0"/>
        <v>46.438356164383563</v>
      </c>
      <c r="G20" s="11">
        <f t="shared" si="1"/>
        <v>7</v>
      </c>
      <c r="H20" s="11">
        <f t="shared" si="2"/>
        <v>15</v>
      </c>
      <c r="I20" s="10">
        <v>38552</v>
      </c>
      <c r="J20" s="9" t="s">
        <v>66</v>
      </c>
      <c r="K20" s="9" t="s">
        <v>117</v>
      </c>
      <c r="L20" s="9" t="s">
        <v>118</v>
      </c>
      <c r="M20" s="9" t="s">
        <v>25</v>
      </c>
      <c r="N20" s="11">
        <v>3</v>
      </c>
      <c r="O20" s="12">
        <f t="shared" ca="1" si="3"/>
        <v>18.408219178082192</v>
      </c>
      <c r="P20" s="12">
        <f t="shared" ca="1" si="4"/>
        <v>21.408219178082192</v>
      </c>
      <c r="Q20" s="12" t="s">
        <v>26</v>
      </c>
      <c r="R20" s="9" t="s">
        <v>27</v>
      </c>
      <c r="S20" s="9" t="s">
        <v>28</v>
      </c>
      <c r="T20" s="9" t="s">
        <v>29</v>
      </c>
    </row>
    <row r="21" spans="1:20" ht="36" customHeight="1">
      <c r="A21" s="6">
        <f t="shared" si="5"/>
        <v>20</v>
      </c>
      <c r="B21" s="7" t="s">
        <v>119</v>
      </c>
      <c r="C21" s="8" t="s">
        <v>120</v>
      </c>
      <c r="D21" s="9" t="s">
        <v>26</v>
      </c>
      <c r="E21" s="10">
        <v>28773</v>
      </c>
      <c r="F21" s="11">
        <f t="shared" ca="1" si="0"/>
        <v>45.2</v>
      </c>
      <c r="G21" s="11">
        <f t="shared" si="1"/>
        <v>10</v>
      </c>
      <c r="H21" s="11">
        <f t="shared" si="2"/>
        <v>10</v>
      </c>
      <c r="I21" s="10">
        <v>38570</v>
      </c>
      <c r="J21" s="9" t="s">
        <v>22</v>
      </c>
      <c r="K21" s="9" t="s">
        <v>121</v>
      </c>
      <c r="L21" s="9" t="s">
        <v>122</v>
      </c>
      <c r="M21" s="9" t="s">
        <v>35</v>
      </c>
      <c r="N21" s="11">
        <v>7</v>
      </c>
      <c r="O21" s="12">
        <f t="shared" ca="1" si="3"/>
        <v>18.358904109589041</v>
      </c>
      <c r="P21" s="12">
        <f t="shared" ca="1" si="4"/>
        <v>25.358904109589041</v>
      </c>
      <c r="Q21" s="12" t="s">
        <v>26</v>
      </c>
      <c r="R21" s="9" t="s">
        <v>27</v>
      </c>
      <c r="S21" s="9" t="s">
        <v>36</v>
      </c>
      <c r="T21" s="9" t="s">
        <v>37</v>
      </c>
    </row>
    <row r="22" spans="1:20" ht="36" customHeight="1">
      <c r="A22" s="6">
        <f t="shared" si="5"/>
        <v>21</v>
      </c>
      <c r="B22" s="7" t="s">
        <v>123</v>
      </c>
      <c r="C22" s="8" t="s">
        <v>124</v>
      </c>
      <c r="D22" s="9" t="s">
        <v>26</v>
      </c>
      <c r="E22" s="10">
        <v>19901</v>
      </c>
      <c r="F22" s="11">
        <f t="shared" ca="1" si="0"/>
        <v>69.506849315068493</v>
      </c>
      <c r="G22" s="11">
        <f t="shared" si="1"/>
        <v>6</v>
      </c>
      <c r="H22" s="11">
        <f t="shared" si="2"/>
        <v>26</v>
      </c>
      <c r="I22" s="10">
        <v>38583</v>
      </c>
      <c r="J22" s="9" t="s">
        <v>125</v>
      </c>
      <c r="K22" s="9" t="s">
        <v>126</v>
      </c>
      <c r="L22" s="9" t="s">
        <v>127</v>
      </c>
      <c r="M22" s="9" t="s">
        <v>25</v>
      </c>
      <c r="N22" s="11">
        <v>32</v>
      </c>
      <c r="O22" s="12">
        <f t="shared" ca="1" si="3"/>
        <v>18.323287671232876</v>
      </c>
      <c r="P22" s="12">
        <f t="shared" ca="1" si="4"/>
        <v>50.323287671232876</v>
      </c>
      <c r="Q22" s="12" t="s">
        <v>26</v>
      </c>
      <c r="R22" s="9" t="s">
        <v>27</v>
      </c>
      <c r="S22" s="9" t="s">
        <v>28</v>
      </c>
      <c r="T22" s="9" t="s">
        <v>29</v>
      </c>
    </row>
    <row r="23" spans="1:20" ht="36" customHeight="1">
      <c r="A23" s="6">
        <f t="shared" si="5"/>
        <v>22</v>
      </c>
      <c r="B23" s="7" t="s">
        <v>130</v>
      </c>
      <c r="C23" s="8" t="s">
        <v>131</v>
      </c>
      <c r="D23" s="9" t="s">
        <v>26</v>
      </c>
      <c r="E23" s="10">
        <v>22920</v>
      </c>
      <c r="F23" s="11">
        <f t="shared" ca="1" si="0"/>
        <v>61.235616438356168</v>
      </c>
      <c r="G23" s="11">
        <f t="shared" si="1"/>
        <v>10</v>
      </c>
      <c r="H23" s="11">
        <f t="shared" si="2"/>
        <v>1</v>
      </c>
      <c r="I23" s="10">
        <v>38628</v>
      </c>
      <c r="J23" s="9" t="s">
        <v>132</v>
      </c>
      <c r="K23" s="9" t="s">
        <v>133</v>
      </c>
      <c r="L23" s="9" t="s">
        <v>34</v>
      </c>
      <c r="M23" s="9" t="s">
        <v>134</v>
      </c>
      <c r="N23" s="11">
        <v>18</v>
      </c>
      <c r="O23" s="12">
        <f t="shared" ca="1" si="3"/>
        <v>18.2</v>
      </c>
      <c r="P23" s="12">
        <f t="shared" ca="1" si="4"/>
        <v>36.200000000000003</v>
      </c>
      <c r="Q23" s="12" t="s">
        <v>26</v>
      </c>
      <c r="R23" s="9" t="s">
        <v>27</v>
      </c>
      <c r="S23" s="9" t="s">
        <v>36</v>
      </c>
      <c r="T23" s="9" t="s">
        <v>137</v>
      </c>
    </row>
    <row r="24" spans="1:20" ht="36" customHeight="1">
      <c r="A24" s="6">
        <f t="shared" si="5"/>
        <v>23</v>
      </c>
      <c r="B24" s="7" t="s">
        <v>138</v>
      </c>
      <c r="C24" s="8" t="s">
        <v>139</v>
      </c>
      <c r="D24" s="9" t="s">
        <v>26</v>
      </c>
      <c r="E24" s="10">
        <v>28471</v>
      </c>
      <c r="F24" s="11">
        <f t="shared" ca="1" si="0"/>
        <v>46.027397260273972</v>
      </c>
      <c r="G24" s="11">
        <f t="shared" si="1"/>
        <v>12</v>
      </c>
      <c r="H24" s="11">
        <f t="shared" si="2"/>
        <v>12</v>
      </c>
      <c r="I24" s="10">
        <v>38638</v>
      </c>
      <c r="J24" s="9" t="s">
        <v>140</v>
      </c>
      <c r="K24" s="9" t="s">
        <v>141</v>
      </c>
      <c r="L24" s="9" t="s">
        <v>118</v>
      </c>
      <c r="M24" s="9" t="s">
        <v>25</v>
      </c>
      <c r="N24" s="11">
        <v>5</v>
      </c>
      <c r="O24" s="12">
        <f t="shared" ca="1" si="3"/>
        <v>18.172602739726027</v>
      </c>
      <c r="P24" s="12">
        <f t="shared" ca="1" si="4"/>
        <v>23.172602739726027</v>
      </c>
      <c r="Q24" s="12" t="s">
        <v>26</v>
      </c>
      <c r="R24" s="9" t="s">
        <v>27</v>
      </c>
      <c r="S24" s="9" t="s">
        <v>36</v>
      </c>
      <c r="T24" s="9" t="s">
        <v>143</v>
      </c>
    </row>
    <row r="25" spans="1:20" ht="36" customHeight="1">
      <c r="A25" s="6">
        <f t="shared" si="5"/>
        <v>24</v>
      </c>
      <c r="B25" s="7" t="s">
        <v>144</v>
      </c>
      <c r="C25" s="8" t="s">
        <v>145</v>
      </c>
      <c r="D25" s="9" t="s">
        <v>26</v>
      </c>
      <c r="E25" s="10">
        <v>25621</v>
      </c>
      <c r="F25" s="11">
        <f t="shared" ca="1" si="0"/>
        <v>53.835616438356162</v>
      </c>
      <c r="G25" s="11">
        <f t="shared" si="1"/>
        <v>2</v>
      </c>
      <c r="H25" s="11">
        <f t="shared" si="2"/>
        <v>22</v>
      </c>
      <c r="I25" s="10">
        <v>38687</v>
      </c>
      <c r="J25" s="9" t="s">
        <v>50</v>
      </c>
      <c r="K25" s="9" t="s">
        <v>146</v>
      </c>
      <c r="L25" s="9" t="s">
        <v>147</v>
      </c>
      <c r="M25" s="9" t="s">
        <v>25</v>
      </c>
      <c r="N25" s="11">
        <v>15</v>
      </c>
      <c r="O25" s="12">
        <f t="shared" ca="1" si="3"/>
        <v>18.038356164383561</v>
      </c>
      <c r="P25" s="12">
        <f t="shared" ca="1" si="4"/>
        <v>33.038356164383558</v>
      </c>
      <c r="Q25" s="12" t="s">
        <v>26</v>
      </c>
      <c r="R25" s="9" t="s">
        <v>27</v>
      </c>
      <c r="S25" s="9" t="s">
        <v>28</v>
      </c>
      <c r="T25" s="9" t="s">
        <v>29</v>
      </c>
    </row>
    <row r="26" spans="1:20" ht="36" customHeight="1">
      <c r="A26" s="6">
        <f t="shared" si="5"/>
        <v>25</v>
      </c>
      <c r="B26" s="7" t="s">
        <v>148</v>
      </c>
      <c r="C26" s="8" t="s">
        <v>149</v>
      </c>
      <c r="D26" s="9" t="s">
        <v>26</v>
      </c>
      <c r="E26" s="10">
        <v>30267</v>
      </c>
      <c r="F26" s="11">
        <f t="shared" ca="1" si="0"/>
        <v>41.106849315068494</v>
      </c>
      <c r="G26" s="11">
        <f t="shared" si="1"/>
        <v>11</v>
      </c>
      <c r="H26" s="11">
        <f t="shared" si="2"/>
        <v>12</v>
      </c>
      <c r="I26" s="10">
        <v>38691</v>
      </c>
      <c r="J26" s="9" t="s">
        <v>50</v>
      </c>
      <c r="K26" s="9" t="s">
        <v>150</v>
      </c>
      <c r="L26" s="9" t="s">
        <v>147</v>
      </c>
      <c r="M26" s="9" t="s">
        <v>25</v>
      </c>
      <c r="N26" s="11">
        <v>0</v>
      </c>
      <c r="O26" s="12">
        <f t="shared" ca="1" si="3"/>
        <v>18.027397260273972</v>
      </c>
      <c r="P26" s="12">
        <f t="shared" ca="1" si="4"/>
        <v>18.027397260273972</v>
      </c>
      <c r="Q26" s="12" t="s">
        <v>26</v>
      </c>
      <c r="R26" s="9" t="s">
        <v>27</v>
      </c>
      <c r="S26" s="9" t="s">
        <v>28</v>
      </c>
      <c r="T26" s="9" t="s">
        <v>29</v>
      </c>
    </row>
    <row r="27" spans="1:20" ht="36" customHeight="1">
      <c r="A27" s="6">
        <f t="shared" si="5"/>
        <v>26</v>
      </c>
      <c r="B27" s="7" t="s">
        <v>151</v>
      </c>
      <c r="C27" s="8" t="s">
        <v>152</v>
      </c>
      <c r="D27" s="9" t="s">
        <v>26</v>
      </c>
      <c r="E27" s="10">
        <v>30092</v>
      </c>
      <c r="F27" s="11">
        <f t="shared" ca="1" si="0"/>
        <v>41.586301369863016</v>
      </c>
      <c r="G27" s="11">
        <f t="shared" si="1"/>
        <v>5</v>
      </c>
      <c r="H27" s="11">
        <f t="shared" si="2"/>
        <v>21</v>
      </c>
      <c r="I27" s="10">
        <v>38691</v>
      </c>
      <c r="J27" s="9" t="s">
        <v>50</v>
      </c>
      <c r="K27" s="9" t="s">
        <v>146</v>
      </c>
      <c r="L27" s="9" t="s">
        <v>76</v>
      </c>
      <c r="M27" s="9" t="s">
        <v>25</v>
      </c>
      <c r="N27" s="11">
        <v>3</v>
      </c>
      <c r="O27" s="12">
        <f t="shared" ca="1" si="3"/>
        <v>18.027397260273972</v>
      </c>
      <c r="P27" s="12">
        <f t="shared" ca="1" si="4"/>
        <v>21.027397260273972</v>
      </c>
      <c r="Q27" s="12" t="s">
        <v>26</v>
      </c>
      <c r="R27" s="9" t="s">
        <v>27</v>
      </c>
      <c r="S27" s="9" t="s">
        <v>28</v>
      </c>
      <c r="T27" s="9" t="s">
        <v>29</v>
      </c>
    </row>
    <row r="28" spans="1:20" ht="36" customHeight="1">
      <c r="A28" s="6">
        <f t="shared" si="5"/>
        <v>27</v>
      </c>
      <c r="B28" s="7" t="s">
        <v>153</v>
      </c>
      <c r="C28" s="8" t="s">
        <v>154</v>
      </c>
      <c r="D28" s="9" t="s">
        <v>26</v>
      </c>
      <c r="E28" s="10">
        <v>28045</v>
      </c>
      <c r="F28" s="11">
        <f t="shared" ca="1" si="0"/>
        <v>47.194520547945203</v>
      </c>
      <c r="G28" s="11">
        <f t="shared" si="1"/>
        <v>10</v>
      </c>
      <c r="H28" s="11">
        <f t="shared" si="2"/>
        <v>12</v>
      </c>
      <c r="I28" s="10">
        <v>38701</v>
      </c>
      <c r="J28" s="9" t="s">
        <v>58</v>
      </c>
      <c r="K28" s="9" t="s">
        <v>155</v>
      </c>
      <c r="L28" s="9" t="s">
        <v>52</v>
      </c>
      <c r="M28" s="9" t="s">
        <v>156</v>
      </c>
      <c r="N28" s="11">
        <v>5</v>
      </c>
      <c r="O28" s="12">
        <f t="shared" ca="1" si="3"/>
        <v>18</v>
      </c>
      <c r="P28" s="12">
        <f t="shared" ca="1" si="4"/>
        <v>23</v>
      </c>
      <c r="Q28" s="12" t="s">
        <v>26</v>
      </c>
      <c r="R28" s="9" t="s">
        <v>27</v>
      </c>
      <c r="S28" s="9" t="s">
        <v>28</v>
      </c>
      <c r="T28" s="9" t="s">
        <v>29</v>
      </c>
    </row>
    <row r="29" spans="1:20" ht="36" customHeight="1">
      <c r="A29" s="6">
        <f t="shared" si="5"/>
        <v>28</v>
      </c>
      <c r="B29" s="7" t="s">
        <v>157</v>
      </c>
      <c r="C29" s="8" t="s">
        <v>158</v>
      </c>
      <c r="D29" s="9" t="s">
        <v>21</v>
      </c>
      <c r="E29" s="10">
        <v>29873</v>
      </c>
      <c r="F29" s="11">
        <f t="shared" ca="1" si="0"/>
        <v>42.186301369863017</v>
      </c>
      <c r="G29" s="11">
        <f t="shared" si="1"/>
        <v>10</v>
      </c>
      <c r="H29" s="11">
        <f t="shared" si="2"/>
        <v>14</v>
      </c>
      <c r="I29" s="10">
        <v>38723</v>
      </c>
      <c r="J29" s="9" t="s">
        <v>50</v>
      </c>
      <c r="K29" s="9" t="s">
        <v>159</v>
      </c>
      <c r="L29" s="9" t="s">
        <v>160</v>
      </c>
      <c r="M29" s="9" t="s">
        <v>161</v>
      </c>
      <c r="N29" s="11">
        <v>5</v>
      </c>
      <c r="O29" s="12">
        <f t="shared" ca="1" si="3"/>
        <v>17.93972602739726</v>
      </c>
      <c r="P29" s="12">
        <f t="shared" ca="1" si="4"/>
        <v>22.93972602739726</v>
      </c>
      <c r="Q29" s="12" t="s">
        <v>26</v>
      </c>
      <c r="R29" s="9" t="s">
        <v>27</v>
      </c>
      <c r="S29" s="9" t="s">
        <v>28</v>
      </c>
      <c r="T29" s="9" t="s">
        <v>162</v>
      </c>
    </row>
    <row r="30" spans="1:20" ht="36" customHeight="1">
      <c r="A30" s="6">
        <f t="shared" si="5"/>
        <v>29</v>
      </c>
      <c r="B30" s="7" t="s">
        <v>163</v>
      </c>
      <c r="C30" s="8" t="s">
        <v>164</v>
      </c>
      <c r="D30" s="9" t="s">
        <v>26</v>
      </c>
      <c r="E30" s="10">
        <v>23969</v>
      </c>
      <c r="F30" s="11">
        <f t="shared" ca="1" si="0"/>
        <v>58.361643835616441</v>
      </c>
      <c r="G30" s="11">
        <f t="shared" si="1"/>
        <v>8</v>
      </c>
      <c r="H30" s="11">
        <f t="shared" si="2"/>
        <v>15</v>
      </c>
      <c r="I30" s="10">
        <v>38763</v>
      </c>
      <c r="J30" s="9" t="s">
        <v>58</v>
      </c>
      <c r="K30" s="9" t="s">
        <v>129</v>
      </c>
      <c r="L30" s="9" t="s">
        <v>34</v>
      </c>
      <c r="M30" s="9" t="s">
        <v>165</v>
      </c>
      <c r="N30" s="11">
        <v>15</v>
      </c>
      <c r="O30" s="12">
        <f t="shared" ca="1" si="3"/>
        <v>17.830136986301369</v>
      </c>
      <c r="P30" s="12">
        <f t="shared" ca="1" si="4"/>
        <v>32.830136986301369</v>
      </c>
      <c r="Q30" s="12" t="s">
        <v>26</v>
      </c>
      <c r="R30" s="9" t="s">
        <v>95</v>
      </c>
      <c r="S30" s="9" t="s">
        <v>36</v>
      </c>
      <c r="T30" s="9" t="s">
        <v>37</v>
      </c>
    </row>
    <row r="31" spans="1:20" ht="36" customHeight="1">
      <c r="A31" s="6">
        <f t="shared" si="5"/>
        <v>30</v>
      </c>
      <c r="B31" s="7" t="s">
        <v>168</v>
      </c>
      <c r="C31" s="8" t="s">
        <v>169</v>
      </c>
      <c r="D31" s="9" t="s">
        <v>21</v>
      </c>
      <c r="E31" s="10">
        <v>25713</v>
      </c>
      <c r="F31" s="11">
        <f t="shared" ca="1" si="0"/>
        <v>53.583561643835615</v>
      </c>
      <c r="G31" s="11">
        <f t="shared" si="1"/>
        <v>5</v>
      </c>
      <c r="H31" s="11">
        <f t="shared" si="2"/>
        <v>25</v>
      </c>
      <c r="I31" s="10">
        <v>38789</v>
      </c>
      <c r="J31" s="9" t="s">
        <v>22</v>
      </c>
      <c r="K31" s="9" t="s">
        <v>75</v>
      </c>
      <c r="L31" s="9" t="s">
        <v>127</v>
      </c>
      <c r="M31" s="9" t="s">
        <v>25</v>
      </c>
      <c r="N31" s="11">
        <v>16</v>
      </c>
      <c r="O31" s="12">
        <f t="shared" ca="1" si="3"/>
        <v>17.758904109589039</v>
      </c>
      <c r="P31" s="12">
        <f t="shared" ca="1" si="4"/>
        <v>33.758904109589039</v>
      </c>
      <c r="Q31" s="12" t="s">
        <v>26</v>
      </c>
      <c r="R31" s="9" t="s">
        <v>27</v>
      </c>
      <c r="S31" s="9" t="s">
        <v>28</v>
      </c>
      <c r="T31" s="9" t="s">
        <v>170</v>
      </c>
    </row>
    <row r="32" spans="1:20" ht="36" customHeight="1">
      <c r="A32" s="6">
        <f t="shared" si="5"/>
        <v>31</v>
      </c>
      <c r="B32" s="7" t="s">
        <v>171</v>
      </c>
      <c r="C32" s="8" t="s">
        <v>172</v>
      </c>
      <c r="D32" s="9" t="s">
        <v>26</v>
      </c>
      <c r="E32" s="10">
        <v>23751</v>
      </c>
      <c r="F32" s="11">
        <f t="shared" ca="1" si="0"/>
        <v>58.958904109589042</v>
      </c>
      <c r="G32" s="11">
        <f t="shared" si="1"/>
        <v>1</v>
      </c>
      <c r="H32" s="11">
        <f t="shared" si="2"/>
        <v>9</v>
      </c>
      <c r="I32" s="10">
        <v>38849</v>
      </c>
      <c r="J32" s="9" t="s">
        <v>132</v>
      </c>
      <c r="K32" s="9" t="s">
        <v>173</v>
      </c>
      <c r="L32" s="9" t="s">
        <v>100</v>
      </c>
      <c r="M32" s="9" t="s">
        <v>25</v>
      </c>
      <c r="N32" s="11">
        <v>20</v>
      </c>
      <c r="O32" s="12">
        <f t="shared" ca="1" si="3"/>
        <v>17.594520547945205</v>
      </c>
      <c r="P32" s="12">
        <f t="shared" ca="1" si="4"/>
        <v>37.594520547945208</v>
      </c>
      <c r="Q32" s="12" t="s">
        <v>26</v>
      </c>
      <c r="R32" s="9" t="s">
        <v>27</v>
      </c>
      <c r="S32" s="9" t="s">
        <v>28</v>
      </c>
      <c r="T32" s="9" t="s">
        <v>29</v>
      </c>
    </row>
    <row r="33" spans="1:20" ht="36" customHeight="1">
      <c r="A33" s="6">
        <f t="shared" si="5"/>
        <v>32</v>
      </c>
      <c r="B33" s="7" t="s">
        <v>174</v>
      </c>
      <c r="C33" s="8" t="s">
        <v>175</v>
      </c>
      <c r="D33" s="9" t="s">
        <v>26</v>
      </c>
      <c r="E33" s="10">
        <v>25274</v>
      </c>
      <c r="F33" s="11">
        <f t="shared" ca="1" si="0"/>
        <v>54.786301369863011</v>
      </c>
      <c r="G33" s="11">
        <f t="shared" si="1"/>
        <v>3</v>
      </c>
      <c r="H33" s="11">
        <f t="shared" si="2"/>
        <v>12</v>
      </c>
      <c r="I33" s="10">
        <v>38869</v>
      </c>
      <c r="J33" s="9" t="s">
        <v>110</v>
      </c>
      <c r="K33" s="9" t="s">
        <v>176</v>
      </c>
      <c r="L33" s="9" t="s">
        <v>100</v>
      </c>
      <c r="M33" s="9" t="s">
        <v>25</v>
      </c>
      <c r="N33" s="11">
        <v>16</v>
      </c>
      <c r="O33" s="12">
        <f t="shared" ca="1" si="3"/>
        <v>17.539726027397261</v>
      </c>
      <c r="P33" s="12">
        <f t="shared" ca="1" si="4"/>
        <v>33.539726027397265</v>
      </c>
      <c r="Q33" s="12" t="s">
        <v>26</v>
      </c>
      <c r="R33" s="9" t="s">
        <v>27</v>
      </c>
      <c r="S33" s="9" t="s">
        <v>28</v>
      </c>
      <c r="T33" s="9" t="s">
        <v>29</v>
      </c>
    </row>
    <row r="34" spans="1:20" ht="36" customHeight="1">
      <c r="A34" s="6">
        <f t="shared" si="5"/>
        <v>33</v>
      </c>
      <c r="B34" s="7" t="s">
        <v>177</v>
      </c>
      <c r="C34" s="8" t="s">
        <v>178</v>
      </c>
      <c r="D34" s="9" t="s">
        <v>26</v>
      </c>
      <c r="E34" s="10">
        <v>30415</v>
      </c>
      <c r="F34" s="11">
        <f t="shared" ca="1" si="0"/>
        <v>40.701369863013696</v>
      </c>
      <c r="G34" s="11">
        <f t="shared" si="1"/>
        <v>4</v>
      </c>
      <c r="H34" s="11">
        <f t="shared" si="2"/>
        <v>9</v>
      </c>
      <c r="I34" s="10">
        <v>38869</v>
      </c>
      <c r="J34" s="9" t="s">
        <v>110</v>
      </c>
      <c r="K34" s="9" t="s">
        <v>179</v>
      </c>
      <c r="L34" s="9" t="s">
        <v>180</v>
      </c>
      <c r="M34" s="9" t="s">
        <v>25</v>
      </c>
      <c r="N34" s="11">
        <v>0</v>
      </c>
      <c r="O34" s="12">
        <f t="shared" ca="1" si="3"/>
        <v>17.539726027397261</v>
      </c>
      <c r="P34" s="12">
        <f t="shared" ca="1" si="4"/>
        <v>17.539726027397261</v>
      </c>
      <c r="Q34" s="12" t="s">
        <v>68</v>
      </c>
      <c r="R34" s="9" t="s">
        <v>95</v>
      </c>
      <c r="S34" s="9" t="s">
        <v>28</v>
      </c>
      <c r="T34" s="9" t="s">
        <v>29</v>
      </c>
    </row>
    <row r="35" spans="1:20" ht="36" customHeight="1">
      <c r="A35" s="6">
        <f t="shared" si="5"/>
        <v>34</v>
      </c>
      <c r="B35" s="7" t="s">
        <v>181</v>
      </c>
      <c r="C35" s="8" t="s">
        <v>182</v>
      </c>
      <c r="D35" s="9" t="s">
        <v>26</v>
      </c>
      <c r="E35" s="10">
        <v>31491</v>
      </c>
      <c r="F35" s="11">
        <f t="shared" ca="1" si="0"/>
        <v>37.753424657534246</v>
      </c>
      <c r="G35" s="11">
        <f t="shared" si="1"/>
        <v>3</v>
      </c>
      <c r="H35" s="11">
        <f t="shared" si="2"/>
        <v>20</v>
      </c>
      <c r="I35" s="10">
        <v>38869</v>
      </c>
      <c r="J35" s="9" t="s">
        <v>41</v>
      </c>
      <c r="K35" s="9" t="s">
        <v>183</v>
      </c>
      <c r="L35" s="9" t="s">
        <v>52</v>
      </c>
      <c r="M35" s="9" t="s">
        <v>25</v>
      </c>
      <c r="N35" s="11">
        <v>0</v>
      </c>
      <c r="O35" s="12">
        <f t="shared" ca="1" si="3"/>
        <v>17.539726027397261</v>
      </c>
      <c r="P35" s="12">
        <f t="shared" ca="1" si="4"/>
        <v>17.539726027397261</v>
      </c>
      <c r="Q35" s="12" t="s">
        <v>68</v>
      </c>
      <c r="R35" s="9" t="s">
        <v>27</v>
      </c>
      <c r="S35" s="9" t="s">
        <v>28</v>
      </c>
      <c r="T35" s="9" t="s">
        <v>29</v>
      </c>
    </row>
    <row r="36" spans="1:20" ht="36" customHeight="1">
      <c r="A36" s="6">
        <f t="shared" si="5"/>
        <v>35</v>
      </c>
      <c r="B36" s="7" t="s">
        <v>184</v>
      </c>
      <c r="C36" s="8" t="s">
        <v>185</v>
      </c>
      <c r="D36" s="9" t="s">
        <v>26</v>
      </c>
      <c r="E36" s="10">
        <v>30690</v>
      </c>
      <c r="F36" s="11">
        <f t="shared" ca="1" si="0"/>
        <v>39.947945205479449</v>
      </c>
      <c r="G36" s="11">
        <f t="shared" si="1"/>
        <v>1</v>
      </c>
      <c r="H36" s="11">
        <f t="shared" si="2"/>
        <v>9</v>
      </c>
      <c r="I36" s="10">
        <v>38869</v>
      </c>
      <c r="J36" s="9" t="s">
        <v>41</v>
      </c>
      <c r="K36" s="9" t="s">
        <v>47</v>
      </c>
      <c r="L36" s="9" t="s">
        <v>55</v>
      </c>
      <c r="M36" s="9" t="s">
        <v>35</v>
      </c>
      <c r="N36" s="11">
        <v>3</v>
      </c>
      <c r="O36" s="12">
        <f t="shared" ca="1" si="3"/>
        <v>17.539726027397261</v>
      </c>
      <c r="P36" s="12">
        <f t="shared" ca="1" si="4"/>
        <v>20.539726027397261</v>
      </c>
      <c r="Q36" s="12" t="s">
        <v>68</v>
      </c>
      <c r="R36" s="9" t="s">
        <v>27</v>
      </c>
      <c r="S36" s="9" t="s">
        <v>36</v>
      </c>
      <c r="T36" s="9" t="s">
        <v>186</v>
      </c>
    </row>
    <row r="37" spans="1:20" ht="36" customHeight="1">
      <c r="A37" s="6">
        <f t="shared" si="5"/>
        <v>36</v>
      </c>
      <c r="B37" s="7" t="s">
        <v>187</v>
      </c>
      <c r="C37" s="8" t="s">
        <v>188</v>
      </c>
      <c r="D37" s="9" t="s">
        <v>26</v>
      </c>
      <c r="E37" s="10">
        <v>24576</v>
      </c>
      <c r="F37" s="11">
        <f t="shared" ca="1" si="0"/>
        <v>56.698630136986303</v>
      </c>
      <c r="G37" s="11">
        <f t="shared" si="1"/>
        <v>4</v>
      </c>
      <c r="H37" s="11">
        <f t="shared" si="2"/>
        <v>14</v>
      </c>
      <c r="I37" s="10">
        <v>38869</v>
      </c>
      <c r="J37" s="9" t="s">
        <v>41</v>
      </c>
      <c r="K37" s="9" t="s">
        <v>189</v>
      </c>
      <c r="L37" s="9" t="s">
        <v>24</v>
      </c>
      <c r="M37" s="9" t="s">
        <v>25</v>
      </c>
      <c r="N37" s="11">
        <v>15</v>
      </c>
      <c r="O37" s="12">
        <f t="shared" ca="1" si="3"/>
        <v>17.539726027397261</v>
      </c>
      <c r="P37" s="12">
        <f t="shared" ca="1" si="4"/>
        <v>32.539726027397265</v>
      </c>
      <c r="Q37" s="12" t="s">
        <v>26</v>
      </c>
      <c r="R37" s="9" t="s">
        <v>27</v>
      </c>
      <c r="S37" s="9" t="s">
        <v>28</v>
      </c>
      <c r="T37" s="9" t="s">
        <v>84</v>
      </c>
    </row>
    <row r="38" spans="1:20" ht="36" customHeight="1">
      <c r="A38" s="6">
        <f t="shared" si="5"/>
        <v>37</v>
      </c>
      <c r="B38" s="7" t="s">
        <v>190</v>
      </c>
      <c r="C38" s="8" t="s">
        <v>191</v>
      </c>
      <c r="D38" s="9" t="s">
        <v>26</v>
      </c>
      <c r="E38" s="10">
        <v>20579</v>
      </c>
      <c r="F38" s="11">
        <f t="shared" ca="1" si="0"/>
        <v>67.649315068493152</v>
      </c>
      <c r="G38" s="11">
        <f t="shared" si="1"/>
        <v>5</v>
      </c>
      <c r="H38" s="11">
        <f t="shared" si="2"/>
        <v>4</v>
      </c>
      <c r="I38" s="10">
        <v>38875</v>
      </c>
      <c r="J38" s="9" t="s">
        <v>192</v>
      </c>
      <c r="K38" s="9" t="s">
        <v>193</v>
      </c>
      <c r="L38" s="9" t="s">
        <v>80</v>
      </c>
      <c r="M38" s="9" t="s">
        <v>25</v>
      </c>
      <c r="N38" s="11">
        <v>28.2</v>
      </c>
      <c r="O38" s="12">
        <f t="shared" ca="1" si="3"/>
        <v>17.523287671232875</v>
      </c>
      <c r="P38" s="12">
        <f t="shared" ca="1" si="4"/>
        <v>45.723287671232875</v>
      </c>
      <c r="Q38" s="12" t="s">
        <v>26</v>
      </c>
      <c r="R38" s="9" t="s">
        <v>27</v>
      </c>
      <c r="S38" s="9" t="s">
        <v>28</v>
      </c>
      <c r="T38" s="9" t="s">
        <v>29</v>
      </c>
    </row>
    <row r="39" spans="1:20" ht="36" customHeight="1">
      <c r="A39" s="6">
        <f t="shared" si="5"/>
        <v>38</v>
      </c>
      <c r="B39" s="7" t="s">
        <v>194</v>
      </c>
      <c r="C39" s="8" t="s">
        <v>195</v>
      </c>
      <c r="D39" s="9" t="s">
        <v>26</v>
      </c>
      <c r="E39" s="10">
        <v>27511</v>
      </c>
      <c r="F39" s="11">
        <f t="shared" ca="1" si="0"/>
        <v>48.657534246575345</v>
      </c>
      <c r="G39" s="11">
        <f t="shared" si="1"/>
        <v>4</v>
      </c>
      <c r="H39" s="11">
        <f t="shared" si="2"/>
        <v>27</v>
      </c>
      <c r="I39" s="10">
        <v>38901</v>
      </c>
      <c r="J39" s="9" t="s">
        <v>58</v>
      </c>
      <c r="K39" s="9" t="s">
        <v>196</v>
      </c>
      <c r="L39" s="9" t="s">
        <v>118</v>
      </c>
      <c r="M39" s="9" t="s">
        <v>25</v>
      </c>
      <c r="N39" s="11">
        <v>4</v>
      </c>
      <c r="O39" s="12">
        <f t="shared" ca="1" si="3"/>
        <v>17.452054794520549</v>
      </c>
      <c r="P39" s="12">
        <f t="shared" ca="1" si="4"/>
        <v>21.452054794520549</v>
      </c>
      <c r="Q39" s="12" t="s">
        <v>26</v>
      </c>
      <c r="R39" s="9" t="s">
        <v>197</v>
      </c>
      <c r="S39" s="9" t="s">
        <v>28</v>
      </c>
      <c r="T39" s="9" t="s">
        <v>29</v>
      </c>
    </row>
    <row r="40" spans="1:20" ht="36" customHeight="1">
      <c r="A40" s="6">
        <f t="shared" si="5"/>
        <v>39</v>
      </c>
      <c r="B40" s="7" t="s">
        <v>198</v>
      </c>
      <c r="C40" s="8" t="s">
        <v>199</v>
      </c>
      <c r="D40" s="9" t="s">
        <v>26</v>
      </c>
      <c r="E40" s="10">
        <v>20354</v>
      </c>
      <c r="F40" s="11">
        <f t="shared" ca="1" si="0"/>
        <v>68.265753424657532</v>
      </c>
      <c r="G40" s="11">
        <f t="shared" si="1"/>
        <v>9</v>
      </c>
      <c r="H40" s="11">
        <f t="shared" si="2"/>
        <v>22</v>
      </c>
      <c r="I40" s="10">
        <v>38910</v>
      </c>
      <c r="J40" s="9" t="s">
        <v>87</v>
      </c>
      <c r="K40" s="9" t="s">
        <v>200</v>
      </c>
      <c r="L40" s="9" t="s">
        <v>100</v>
      </c>
      <c r="M40" s="9" t="s">
        <v>25</v>
      </c>
      <c r="N40" s="11">
        <v>10</v>
      </c>
      <c r="O40" s="12">
        <f t="shared" ca="1" si="3"/>
        <v>17.427397260273974</v>
      </c>
      <c r="P40" s="12">
        <f t="shared" ca="1" si="4"/>
        <v>27.427397260273974</v>
      </c>
      <c r="Q40" s="12" t="s">
        <v>26</v>
      </c>
      <c r="R40" s="9" t="s">
        <v>27</v>
      </c>
      <c r="S40" s="9" t="s">
        <v>28</v>
      </c>
      <c r="T40" s="9" t="s">
        <v>29</v>
      </c>
    </row>
    <row r="41" spans="1:20" ht="36" customHeight="1">
      <c r="A41" s="6">
        <f t="shared" si="5"/>
        <v>40</v>
      </c>
      <c r="B41" s="7" t="s">
        <v>201</v>
      </c>
      <c r="C41" s="8" t="s">
        <v>202</v>
      </c>
      <c r="D41" s="9" t="s">
        <v>21</v>
      </c>
      <c r="E41" s="10">
        <v>30120</v>
      </c>
      <c r="F41" s="11">
        <f t="shared" ca="1" si="0"/>
        <v>41.509589041095893</v>
      </c>
      <c r="G41" s="11">
        <f t="shared" si="1"/>
        <v>6</v>
      </c>
      <c r="H41" s="11">
        <f t="shared" si="2"/>
        <v>18</v>
      </c>
      <c r="I41" s="10">
        <v>38924</v>
      </c>
      <c r="J41" s="9" t="s">
        <v>22</v>
      </c>
      <c r="K41" s="9" t="s">
        <v>203</v>
      </c>
      <c r="L41" s="9" t="s">
        <v>204</v>
      </c>
      <c r="M41" s="9" t="s">
        <v>205</v>
      </c>
      <c r="N41" s="11">
        <v>0</v>
      </c>
      <c r="O41" s="12">
        <f t="shared" ca="1" si="3"/>
        <v>17.389041095890413</v>
      </c>
      <c r="P41" s="12">
        <f t="shared" ca="1" si="4"/>
        <v>17.389041095890413</v>
      </c>
      <c r="Q41" s="12" t="s">
        <v>26</v>
      </c>
      <c r="R41" s="9" t="s">
        <v>27</v>
      </c>
      <c r="S41" s="9" t="s">
        <v>28</v>
      </c>
      <c r="T41" s="9" t="s">
        <v>29</v>
      </c>
    </row>
    <row r="42" spans="1:20" ht="36" customHeight="1">
      <c r="A42" s="6">
        <f t="shared" si="5"/>
        <v>41</v>
      </c>
      <c r="B42" s="7" t="s">
        <v>206</v>
      </c>
      <c r="C42" s="8" t="s">
        <v>207</v>
      </c>
      <c r="D42" s="9" t="s">
        <v>26</v>
      </c>
      <c r="E42" s="10">
        <v>21224</v>
      </c>
      <c r="F42" s="11">
        <f t="shared" ca="1" si="0"/>
        <v>65.882191780821913</v>
      </c>
      <c r="G42" s="11">
        <f t="shared" si="1"/>
        <v>2</v>
      </c>
      <c r="H42" s="11">
        <f t="shared" si="2"/>
        <v>8</v>
      </c>
      <c r="I42" s="10">
        <v>38924</v>
      </c>
      <c r="J42" s="9" t="s">
        <v>50</v>
      </c>
      <c r="K42" s="9" t="s">
        <v>146</v>
      </c>
      <c r="L42" s="9" t="s">
        <v>208</v>
      </c>
      <c r="M42" s="9" t="s">
        <v>35</v>
      </c>
      <c r="N42" s="11">
        <v>21</v>
      </c>
      <c r="O42" s="12">
        <f t="shared" ca="1" si="3"/>
        <v>17.389041095890413</v>
      </c>
      <c r="P42" s="12">
        <f t="shared" ca="1" si="4"/>
        <v>38.389041095890413</v>
      </c>
      <c r="Q42" s="12" t="s">
        <v>26</v>
      </c>
      <c r="R42" s="9" t="s">
        <v>27</v>
      </c>
      <c r="S42" s="9" t="s">
        <v>36</v>
      </c>
      <c r="T42" s="9" t="s">
        <v>37</v>
      </c>
    </row>
    <row r="43" spans="1:20" ht="36" customHeight="1">
      <c r="A43" s="6">
        <f t="shared" si="5"/>
        <v>42</v>
      </c>
      <c r="B43" s="7" t="s">
        <v>210</v>
      </c>
      <c r="C43" s="8" t="s">
        <v>211</v>
      </c>
      <c r="D43" s="9" t="s">
        <v>26</v>
      </c>
      <c r="E43" s="10">
        <v>30540</v>
      </c>
      <c r="F43" s="11">
        <f t="shared" ca="1" si="0"/>
        <v>40.358904109589041</v>
      </c>
      <c r="G43" s="11">
        <f t="shared" si="1"/>
        <v>8</v>
      </c>
      <c r="H43" s="11">
        <f t="shared" si="2"/>
        <v>12</v>
      </c>
      <c r="I43" s="10">
        <v>38939</v>
      </c>
      <c r="J43" s="9" t="s">
        <v>110</v>
      </c>
      <c r="K43" s="9" t="s">
        <v>212</v>
      </c>
      <c r="L43" s="9" t="s">
        <v>213</v>
      </c>
      <c r="M43" s="9" t="s">
        <v>35</v>
      </c>
      <c r="N43" s="11">
        <v>0</v>
      </c>
      <c r="O43" s="12">
        <f t="shared" ca="1" si="3"/>
        <v>17.347945205479451</v>
      </c>
      <c r="P43" s="12">
        <f t="shared" ca="1" si="4"/>
        <v>17.347945205479451</v>
      </c>
      <c r="Q43" s="12" t="s">
        <v>68</v>
      </c>
      <c r="R43" s="9" t="s">
        <v>27</v>
      </c>
      <c r="S43" s="9" t="s">
        <v>28</v>
      </c>
      <c r="T43" s="9" t="s">
        <v>29</v>
      </c>
    </row>
    <row r="44" spans="1:20" ht="36" customHeight="1">
      <c r="A44" s="6">
        <f t="shared" si="5"/>
        <v>43</v>
      </c>
      <c r="B44" s="7" t="s">
        <v>214</v>
      </c>
      <c r="C44" s="8" t="s">
        <v>215</v>
      </c>
      <c r="D44" s="9" t="s">
        <v>26</v>
      </c>
      <c r="E44" s="10">
        <v>28239</v>
      </c>
      <c r="F44" s="11">
        <f t="shared" ca="1" si="0"/>
        <v>46.663013698630138</v>
      </c>
      <c r="G44" s="11">
        <f t="shared" si="1"/>
        <v>4</v>
      </c>
      <c r="H44" s="11">
        <f t="shared" si="2"/>
        <v>24</v>
      </c>
      <c r="I44" s="10">
        <v>38869</v>
      </c>
      <c r="J44" s="9" t="s">
        <v>58</v>
      </c>
      <c r="K44" s="9" t="s">
        <v>142</v>
      </c>
      <c r="L44" s="9" t="s">
        <v>118</v>
      </c>
      <c r="M44" s="9" t="s">
        <v>134</v>
      </c>
      <c r="N44" s="11">
        <v>0</v>
      </c>
      <c r="O44" s="12">
        <f t="shared" ca="1" si="3"/>
        <v>17.539726027397261</v>
      </c>
      <c r="P44" s="12">
        <f t="shared" ca="1" si="4"/>
        <v>17.539726027397261</v>
      </c>
      <c r="Q44" s="12" t="s">
        <v>26</v>
      </c>
      <c r="R44" s="9" t="s">
        <v>27</v>
      </c>
      <c r="S44" s="9" t="s">
        <v>28</v>
      </c>
      <c r="T44" s="9" t="s">
        <v>29</v>
      </c>
    </row>
    <row r="45" spans="1:20" ht="36" customHeight="1">
      <c r="A45" s="6">
        <f t="shared" si="5"/>
        <v>44</v>
      </c>
      <c r="B45" s="7" t="s">
        <v>217</v>
      </c>
      <c r="C45" s="8" t="s">
        <v>218</v>
      </c>
      <c r="D45" s="9" t="s">
        <v>26</v>
      </c>
      <c r="E45" s="10">
        <v>28279</v>
      </c>
      <c r="F45" s="11">
        <f t="shared" ca="1" si="0"/>
        <v>46.553424657534244</v>
      </c>
      <c r="G45" s="11">
        <f t="shared" si="1"/>
        <v>6</v>
      </c>
      <c r="H45" s="11">
        <f t="shared" si="2"/>
        <v>3</v>
      </c>
      <c r="I45" s="10">
        <v>38630</v>
      </c>
      <c r="J45" s="9" t="s">
        <v>66</v>
      </c>
      <c r="K45" s="9" t="s">
        <v>219</v>
      </c>
      <c r="L45" s="9" t="s">
        <v>220</v>
      </c>
      <c r="M45" s="9" t="s">
        <v>25</v>
      </c>
      <c r="N45" s="11">
        <v>11</v>
      </c>
      <c r="O45" s="12">
        <f t="shared" ca="1" si="3"/>
        <v>18.194520547945206</v>
      </c>
      <c r="P45" s="12">
        <f t="shared" ca="1" si="4"/>
        <v>29.194520547945206</v>
      </c>
      <c r="Q45" s="12" t="s">
        <v>26</v>
      </c>
      <c r="R45" s="9" t="s">
        <v>197</v>
      </c>
      <c r="S45" s="9" t="s">
        <v>28</v>
      </c>
      <c r="T45" s="9" t="s">
        <v>29</v>
      </c>
    </row>
    <row r="46" spans="1:20" ht="36" customHeight="1">
      <c r="A46" s="6">
        <f t="shared" si="5"/>
        <v>45</v>
      </c>
      <c r="B46" s="7" t="s">
        <v>221</v>
      </c>
      <c r="C46" s="8" t="s">
        <v>222</v>
      </c>
      <c r="D46" s="9" t="s">
        <v>26</v>
      </c>
      <c r="E46" s="10">
        <v>23852</v>
      </c>
      <c r="F46" s="11">
        <f t="shared" ca="1" si="0"/>
        <v>58.682191780821917</v>
      </c>
      <c r="G46" s="11">
        <f t="shared" si="1"/>
        <v>4</v>
      </c>
      <c r="H46" s="11">
        <f t="shared" si="2"/>
        <v>20</v>
      </c>
      <c r="I46" s="10">
        <v>38964</v>
      </c>
      <c r="J46" s="9" t="s">
        <v>41</v>
      </c>
      <c r="K46" s="9" t="s">
        <v>223</v>
      </c>
      <c r="L46" s="9" t="s">
        <v>100</v>
      </c>
      <c r="M46" s="9" t="s">
        <v>25</v>
      </c>
      <c r="N46" s="11">
        <v>10</v>
      </c>
      <c r="O46" s="12">
        <f t="shared" ca="1" si="3"/>
        <v>17.279452054794522</v>
      </c>
      <c r="P46" s="12">
        <f t="shared" ca="1" si="4"/>
        <v>27.279452054794522</v>
      </c>
      <c r="Q46" s="12" t="s">
        <v>26</v>
      </c>
      <c r="R46" s="9" t="s">
        <v>27</v>
      </c>
      <c r="S46" s="9" t="s">
        <v>28</v>
      </c>
      <c r="T46" s="9" t="s">
        <v>29</v>
      </c>
    </row>
    <row r="47" spans="1:20" ht="36" customHeight="1">
      <c r="A47" s="6">
        <f t="shared" si="5"/>
        <v>46</v>
      </c>
      <c r="B47" s="7" t="s">
        <v>224</v>
      </c>
      <c r="C47" s="8" t="s">
        <v>225</v>
      </c>
      <c r="D47" s="9" t="s">
        <v>26</v>
      </c>
      <c r="E47" s="10">
        <v>25365</v>
      </c>
      <c r="F47" s="11">
        <f t="shared" ca="1" si="0"/>
        <v>54.536986301369865</v>
      </c>
      <c r="G47" s="11">
        <f t="shared" si="1"/>
        <v>6</v>
      </c>
      <c r="H47" s="11">
        <f t="shared" si="2"/>
        <v>11</v>
      </c>
      <c r="I47" s="10">
        <v>38964</v>
      </c>
      <c r="J47" s="9" t="s">
        <v>226</v>
      </c>
      <c r="K47" s="9" t="s">
        <v>227</v>
      </c>
      <c r="L47" s="9" t="s">
        <v>100</v>
      </c>
      <c r="M47" s="9" t="s">
        <v>25</v>
      </c>
      <c r="N47" s="11">
        <v>15</v>
      </c>
      <c r="O47" s="12">
        <f t="shared" ca="1" si="3"/>
        <v>17.279452054794522</v>
      </c>
      <c r="P47" s="12">
        <f t="shared" ca="1" si="4"/>
        <v>32.279452054794518</v>
      </c>
      <c r="Q47" s="12" t="s">
        <v>26</v>
      </c>
      <c r="R47" s="9" t="s">
        <v>27</v>
      </c>
      <c r="S47" s="9" t="s">
        <v>28</v>
      </c>
      <c r="T47" s="9" t="s">
        <v>29</v>
      </c>
    </row>
    <row r="48" spans="1:20" ht="36" customHeight="1">
      <c r="A48" s="6">
        <f t="shared" si="5"/>
        <v>47</v>
      </c>
      <c r="B48" s="7" t="s">
        <v>228</v>
      </c>
      <c r="C48" s="8" t="s">
        <v>229</v>
      </c>
      <c r="D48" s="9" t="s">
        <v>21</v>
      </c>
      <c r="E48" s="10">
        <v>28090</v>
      </c>
      <c r="F48" s="11">
        <f t="shared" ca="1" si="0"/>
        <v>47.07123287671233</v>
      </c>
      <c r="G48" s="11">
        <f t="shared" si="1"/>
        <v>11</v>
      </c>
      <c r="H48" s="11">
        <f t="shared" si="2"/>
        <v>26</v>
      </c>
      <c r="I48" s="10">
        <v>38973</v>
      </c>
      <c r="J48" s="9" t="s">
        <v>22</v>
      </c>
      <c r="K48" s="9" t="s">
        <v>230</v>
      </c>
      <c r="L48" s="9" t="s">
        <v>231</v>
      </c>
      <c r="M48" s="9" t="s">
        <v>156</v>
      </c>
      <c r="N48" s="11">
        <v>8</v>
      </c>
      <c r="O48" s="12">
        <f t="shared" ca="1" si="3"/>
        <v>17.254794520547946</v>
      </c>
      <c r="P48" s="12">
        <f t="shared" ca="1" si="4"/>
        <v>25.254794520547946</v>
      </c>
      <c r="Q48" s="12" t="s">
        <v>68</v>
      </c>
      <c r="R48" s="9" t="s">
        <v>232</v>
      </c>
      <c r="S48" s="9" t="s">
        <v>28</v>
      </c>
      <c r="T48" s="9" t="s">
        <v>114</v>
      </c>
    </row>
    <row r="49" spans="1:20" ht="36" customHeight="1">
      <c r="A49" s="6">
        <f t="shared" si="5"/>
        <v>48</v>
      </c>
      <c r="B49" s="7" t="s">
        <v>233</v>
      </c>
      <c r="C49" s="8" t="s">
        <v>234</v>
      </c>
      <c r="D49" s="9" t="s">
        <v>26</v>
      </c>
      <c r="E49" s="10">
        <v>22807</v>
      </c>
      <c r="F49" s="11">
        <f t="shared" ca="1" si="0"/>
        <v>61.545205479452058</v>
      </c>
      <c r="G49" s="11">
        <f t="shared" si="1"/>
        <v>6</v>
      </c>
      <c r="H49" s="11">
        <f t="shared" si="2"/>
        <v>10</v>
      </c>
      <c r="I49" s="10">
        <v>38975</v>
      </c>
      <c r="J49" s="9" t="s">
        <v>110</v>
      </c>
      <c r="K49" s="9" t="s">
        <v>235</v>
      </c>
      <c r="L49" s="9" t="s">
        <v>89</v>
      </c>
      <c r="M49" s="9" t="s">
        <v>35</v>
      </c>
      <c r="N49" s="11">
        <v>20</v>
      </c>
      <c r="O49" s="12">
        <f t="shared" ca="1" si="3"/>
        <v>17.24931506849315</v>
      </c>
      <c r="P49" s="12">
        <f t="shared" ca="1" si="4"/>
        <v>37.249315068493146</v>
      </c>
      <c r="Q49" s="12" t="s">
        <v>26</v>
      </c>
      <c r="R49" s="9" t="s">
        <v>27</v>
      </c>
      <c r="S49" s="9" t="s">
        <v>28</v>
      </c>
      <c r="T49" s="9" t="s">
        <v>29</v>
      </c>
    </row>
    <row r="50" spans="1:20" ht="36" customHeight="1">
      <c r="A50" s="6">
        <f t="shared" si="5"/>
        <v>49</v>
      </c>
      <c r="B50" s="7" t="s">
        <v>236</v>
      </c>
      <c r="C50" s="8" t="s">
        <v>237</v>
      </c>
      <c r="D50" s="9" t="s">
        <v>26</v>
      </c>
      <c r="E50" s="10">
        <v>24597</v>
      </c>
      <c r="F50" s="11">
        <f t="shared" ca="1" si="0"/>
        <v>56.641095890410959</v>
      </c>
      <c r="G50" s="11">
        <f t="shared" si="1"/>
        <v>5</v>
      </c>
      <c r="H50" s="11">
        <f t="shared" si="2"/>
        <v>5</v>
      </c>
      <c r="I50" s="10">
        <v>38999</v>
      </c>
      <c r="J50" s="9" t="s">
        <v>93</v>
      </c>
      <c r="K50" s="9" t="s">
        <v>238</v>
      </c>
      <c r="L50" s="9" t="s">
        <v>128</v>
      </c>
      <c r="M50" s="9" t="s">
        <v>25</v>
      </c>
      <c r="N50" s="11">
        <v>17</v>
      </c>
      <c r="O50" s="12">
        <f t="shared" ca="1" si="3"/>
        <v>17.183561643835617</v>
      </c>
      <c r="P50" s="12">
        <f t="shared" ca="1" si="4"/>
        <v>34.183561643835617</v>
      </c>
      <c r="Q50" s="12" t="s">
        <v>26</v>
      </c>
      <c r="R50" s="9" t="s">
        <v>27</v>
      </c>
      <c r="S50" s="9" t="s">
        <v>28</v>
      </c>
      <c r="T50" s="9" t="s">
        <v>29</v>
      </c>
    </row>
    <row r="51" spans="1:20" ht="36" customHeight="1">
      <c r="A51" s="6">
        <f t="shared" si="5"/>
        <v>50</v>
      </c>
      <c r="B51" s="7" t="s">
        <v>239</v>
      </c>
      <c r="C51" s="8" t="s">
        <v>240</v>
      </c>
      <c r="D51" s="9" t="s">
        <v>26</v>
      </c>
      <c r="E51" s="10">
        <v>27517</v>
      </c>
      <c r="F51" s="11">
        <f t="shared" ca="1" si="0"/>
        <v>48.641095890410959</v>
      </c>
      <c r="G51" s="11">
        <f t="shared" si="1"/>
        <v>5</v>
      </c>
      <c r="H51" s="11">
        <f t="shared" si="2"/>
        <v>3</v>
      </c>
      <c r="I51" s="10">
        <v>39084</v>
      </c>
      <c r="J51" s="9" t="s">
        <v>22</v>
      </c>
      <c r="K51" s="9" t="s">
        <v>241</v>
      </c>
      <c r="L51" s="9" t="s">
        <v>220</v>
      </c>
      <c r="M51" s="9" t="s">
        <v>25</v>
      </c>
      <c r="N51" s="11">
        <v>3</v>
      </c>
      <c r="O51" s="12">
        <f t="shared" ca="1" si="3"/>
        <v>16.950684931506849</v>
      </c>
      <c r="P51" s="12">
        <f t="shared" ca="1" si="4"/>
        <v>19.950684931506849</v>
      </c>
      <c r="Q51" s="12" t="s">
        <v>68</v>
      </c>
      <c r="R51" s="9" t="s">
        <v>27</v>
      </c>
      <c r="S51" s="9" t="s">
        <v>28</v>
      </c>
      <c r="T51" s="9" t="s">
        <v>29</v>
      </c>
    </row>
    <row r="52" spans="1:20" ht="36" customHeight="1">
      <c r="A52" s="6">
        <f t="shared" si="5"/>
        <v>51</v>
      </c>
      <c r="B52" s="7" t="s">
        <v>242</v>
      </c>
      <c r="C52" s="8" t="s">
        <v>243</v>
      </c>
      <c r="D52" s="9" t="s">
        <v>26</v>
      </c>
      <c r="E52" s="10">
        <v>22542</v>
      </c>
      <c r="F52" s="11">
        <f t="shared" ca="1" si="0"/>
        <v>62.271232876712325</v>
      </c>
      <c r="G52" s="11">
        <f t="shared" si="1"/>
        <v>9</v>
      </c>
      <c r="H52" s="11">
        <f t="shared" si="2"/>
        <v>18</v>
      </c>
      <c r="I52" s="10">
        <v>39083</v>
      </c>
      <c r="J52" s="9" t="s">
        <v>87</v>
      </c>
      <c r="K52" s="9" t="s">
        <v>200</v>
      </c>
      <c r="L52" s="9" t="s">
        <v>89</v>
      </c>
      <c r="M52" s="9" t="s">
        <v>35</v>
      </c>
      <c r="N52" s="11">
        <v>24</v>
      </c>
      <c r="O52" s="12">
        <f t="shared" ca="1" si="3"/>
        <v>16.953424657534246</v>
      </c>
      <c r="P52" s="12">
        <f t="shared" ca="1" si="4"/>
        <v>40.953424657534242</v>
      </c>
      <c r="Q52" s="12" t="s">
        <v>26</v>
      </c>
      <c r="R52" s="9" t="s">
        <v>27</v>
      </c>
      <c r="S52" s="9" t="s">
        <v>36</v>
      </c>
      <c r="T52" s="9" t="s">
        <v>37</v>
      </c>
    </row>
    <row r="53" spans="1:20" ht="36" customHeight="1">
      <c r="A53" s="6">
        <f t="shared" si="5"/>
        <v>52</v>
      </c>
      <c r="B53" s="7" t="s">
        <v>245</v>
      </c>
      <c r="C53" s="8" t="s">
        <v>246</v>
      </c>
      <c r="D53" s="9" t="s">
        <v>21</v>
      </c>
      <c r="E53" s="10">
        <v>25667</v>
      </c>
      <c r="F53" s="11">
        <f t="shared" ca="1" si="0"/>
        <v>53.709589041095889</v>
      </c>
      <c r="G53" s="11">
        <f t="shared" si="1"/>
        <v>4</v>
      </c>
      <c r="H53" s="11">
        <f t="shared" si="2"/>
        <v>9</v>
      </c>
      <c r="I53" s="10">
        <v>39104</v>
      </c>
      <c r="J53" s="9" t="s">
        <v>87</v>
      </c>
      <c r="K53" s="9" t="s">
        <v>247</v>
      </c>
      <c r="L53" s="9" t="s">
        <v>60</v>
      </c>
      <c r="M53" s="9" t="s">
        <v>35</v>
      </c>
      <c r="N53" s="11">
        <v>8</v>
      </c>
      <c r="O53" s="12">
        <f t="shared" ca="1" si="3"/>
        <v>16.895890410958906</v>
      </c>
      <c r="P53" s="12">
        <f t="shared" ca="1" si="4"/>
        <v>24.895890410958906</v>
      </c>
      <c r="Q53" s="12" t="s">
        <v>26</v>
      </c>
      <c r="R53" s="9" t="s">
        <v>27</v>
      </c>
      <c r="S53" s="9" t="s">
        <v>28</v>
      </c>
      <c r="T53" s="9" t="s">
        <v>29</v>
      </c>
    </row>
    <row r="54" spans="1:20" ht="36" customHeight="1">
      <c r="A54" s="6">
        <f t="shared" si="5"/>
        <v>53</v>
      </c>
      <c r="B54" s="7" t="s">
        <v>249</v>
      </c>
      <c r="C54" s="8" t="s">
        <v>250</v>
      </c>
      <c r="D54" s="9" t="s">
        <v>26</v>
      </c>
      <c r="E54" s="10">
        <v>27226</v>
      </c>
      <c r="F54" s="11">
        <f t="shared" ca="1" si="0"/>
        <v>49.438356164383563</v>
      </c>
      <c r="G54" s="11">
        <f t="shared" si="1"/>
        <v>7</v>
      </c>
      <c r="H54" s="11">
        <f t="shared" si="2"/>
        <v>16</v>
      </c>
      <c r="I54" s="10">
        <v>39128</v>
      </c>
      <c r="J54" s="9" t="s">
        <v>50</v>
      </c>
      <c r="K54" s="9" t="s">
        <v>146</v>
      </c>
      <c r="L54" s="9" t="s">
        <v>76</v>
      </c>
      <c r="M54" s="9" t="s">
        <v>25</v>
      </c>
      <c r="N54" s="11">
        <v>10</v>
      </c>
      <c r="O54" s="12">
        <f t="shared" ca="1" si="3"/>
        <v>16.830136986301369</v>
      </c>
      <c r="P54" s="12">
        <f t="shared" ca="1" si="4"/>
        <v>26.830136986301369</v>
      </c>
      <c r="Q54" s="12" t="s">
        <v>26</v>
      </c>
      <c r="R54" s="9" t="s">
        <v>27</v>
      </c>
      <c r="S54" s="9" t="s">
        <v>28</v>
      </c>
      <c r="T54" s="9" t="s">
        <v>29</v>
      </c>
    </row>
    <row r="55" spans="1:20" ht="36" customHeight="1">
      <c r="A55" s="6">
        <f t="shared" si="5"/>
        <v>54</v>
      </c>
      <c r="B55" s="7" t="s">
        <v>251</v>
      </c>
      <c r="C55" s="8" t="s">
        <v>252</v>
      </c>
      <c r="D55" s="9" t="s">
        <v>26</v>
      </c>
      <c r="E55" s="10">
        <v>21979</v>
      </c>
      <c r="F55" s="11">
        <f t="shared" ca="1" si="0"/>
        <v>63.813698630136983</v>
      </c>
      <c r="G55" s="11">
        <f t="shared" si="1"/>
        <v>3</v>
      </c>
      <c r="H55" s="11">
        <f t="shared" si="2"/>
        <v>4</v>
      </c>
      <c r="I55" s="10">
        <v>39130</v>
      </c>
      <c r="J55" s="9" t="s">
        <v>58</v>
      </c>
      <c r="K55" s="9" t="s">
        <v>253</v>
      </c>
      <c r="L55" s="9" t="s">
        <v>208</v>
      </c>
      <c r="M55" s="9" t="s">
        <v>35</v>
      </c>
      <c r="N55" s="11">
        <v>21</v>
      </c>
      <c r="O55" s="12">
        <f t="shared" ca="1" si="3"/>
        <v>16.824657534246576</v>
      </c>
      <c r="P55" s="12">
        <f t="shared" ca="1" si="4"/>
        <v>37.824657534246576</v>
      </c>
      <c r="Q55" s="12" t="s">
        <v>26</v>
      </c>
      <c r="R55" s="9" t="s">
        <v>27</v>
      </c>
      <c r="S55" s="9" t="s">
        <v>28</v>
      </c>
      <c r="T55" s="9" t="s">
        <v>29</v>
      </c>
    </row>
    <row r="56" spans="1:20" ht="36" customHeight="1">
      <c r="A56" s="6">
        <f t="shared" si="5"/>
        <v>55</v>
      </c>
      <c r="B56" s="7" t="s">
        <v>254</v>
      </c>
      <c r="C56" s="8" t="s">
        <v>255</v>
      </c>
      <c r="D56" s="9" t="s">
        <v>26</v>
      </c>
      <c r="E56" s="10">
        <v>24861</v>
      </c>
      <c r="F56" s="11">
        <f t="shared" ca="1" si="0"/>
        <v>55.917808219178085</v>
      </c>
      <c r="G56" s="11">
        <f t="shared" si="1"/>
        <v>1</v>
      </c>
      <c r="H56" s="11">
        <f t="shared" si="2"/>
        <v>24</v>
      </c>
      <c r="I56" s="10">
        <v>39144</v>
      </c>
      <c r="J56" s="9" t="s">
        <v>140</v>
      </c>
      <c r="K56" s="9" t="s">
        <v>256</v>
      </c>
      <c r="L56" s="9" t="s">
        <v>257</v>
      </c>
      <c r="M56" s="9" t="s">
        <v>257</v>
      </c>
      <c r="N56" s="11">
        <v>15</v>
      </c>
      <c r="O56" s="12">
        <f t="shared" ca="1" si="3"/>
        <v>16.786301369863015</v>
      </c>
      <c r="P56" s="12">
        <f t="shared" ca="1" si="4"/>
        <v>31.786301369863015</v>
      </c>
      <c r="Q56" s="12" t="s">
        <v>26</v>
      </c>
      <c r="R56" s="9" t="s">
        <v>27</v>
      </c>
      <c r="S56" s="9" t="s">
        <v>28</v>
      </c>
      <c r="T56" s="9" t="s">
        <v>259</v>
      </c>
    </row>
    <row r="57" spans="1:20" ht="36" customHeight="1">
      <c r="A57" s="6">
        <f t="shared" si="5"/>
        <v>56</v>
      </c>
      <c r="B57" s="7" t="s">
        <v>260</v>
      </c>
      <c r="C57" s="8" t="s">
        <v>261</v>
      </c>
      <c r="D57" s="9" t="s">
        <v>26</v>
      </c>
      <c r="E57" s="10">
        <v>27528</v>
      </c>
      <c r="F57" s="11">
        <f t="shared" ca="1" si="0"/>
        <v>48.610958904109587</v>
      </c>
      <c r="G57" s="11">
        <f t="shared" si="1"/>
        <v>5</v>
      </c>
      <c r="H57" s="11">
        <f t="shared" si="2"/>
        <v>14</v>
      </c>
      <c r="I57" s="10">
        <v>39148</v>
      </c>
      <c r="J57" s="9" t="s">
        <v>132</v>
      </c>
      <c r="K57" s="9" t="s">
        <v>262</v>
      </c>
      <c r="L57" s="9" t="s">
        <v>263</v>
      </c>
      <c r="M57" s="9" t="s">
        <v>25</v>
      </c>
      <c r="N57" s="11">
        <v>6</v>
      </c>
      <c r="O57" s="12">
        <f t="shared" ca="1" si="3"/>
        <v>16.775342465753425</v>
      </c>
      <c r="P57" s="12">
        <f t="shared" ca="1" si="4"/>
        <v>22.775342465753425</v>
      </c>
      <c r="Q57" s="12" t="s">
        <v>26</v>
      </c>
      <c r="R57" s="9" t="s">
        <v>27</v>
      </c>
      <c r="S57" s="9" t="s">
        <v>28</v>
      </c>
      <c r="T57" s="9" t="s">
        <v>29</v>
      </c>
    </row>
    <row r="58" spans="1:20" ht="36" customHeight="1">
      <c r="A58" s="6">
        <f t="shared" si="5"/>
        <v>57</v>
      </c>
      <c r="B58" s="7" t="s">
        <v>264</v>
      </c>
      <c r="C58" s="8" t="s">
        <v>265</v>
      </c>
      <c r="D58" s="9" t="s">
        <v>26</v>
      </c>
      <c r="E58" s="10">
        <v>26545</v>
      </c>
      <c r="F58" s="11">
        <f t="shared" ca="1" si="0"/>
        <v>51.304109589041097</v>
      </c>
      <c r="G58" s="11">
        <f t="shared" si="1"/>
        <v>9</v>
      </c>
      <c r="H58" s="11">
        <f t="shared" si="2"/>
        <v>3</v>
      </c>
      <c r="I58" s="10">
        <v>39156</v>
      </c>
      <c r="J58" s="9" t="s">
        <v>22</v>
      </c>
      <c r="K58" s="9" t="s">
        <v>266</v>
      </c>
      <c r="L58" s="9" t="s">
        <v>34</v>
      </c>
      <c r="M58" s="9" t="s">
        <v>35</v>
      </c>
      <c r="N58" s="11">
        <v>10</v>
      </c>
      <c r="O58" s="12">
        <f t="shared" ca="1" si="3"/>
        <v>16.753424657534246</v>
      </c>
      <c r="P58" s="12">
        <f t="shared" ca="1" si="4"/>
        <v>26.753424657534246</v>
      </c>
      <c r="Q58" s="12" t="s">
        <v>26</v>
      </c>
      <c r="R58" s="9" t="s">
        <v>27</v>
      </c>
      <c r="S58" s="9" t="s">
        <v>36</v>
      </c>
      <c r="T58" s="9" t="s">
        <v>72</v>
      </c>
    </row>
    <row r="59" spans="1:20" ht="36" customHeight="1">
      <c r="A59" s="6">
        <f t="shared" si="5"/>
        <v>58</v>
      </c>
      <c r="B59" s="7" t="s">
        <v>267</v>
      </c>
      <c r="C59" s="8" t="s">
        <v>268</v>
      </c>
      <c r="D59" s="9" t="s">
        <v>26</v>
      </c>
      <c r="E59" s="10">
        <v>28147</v>
      </c>
      <c r="F59" s="11">
        <f t="shared" ca="1" si="0"/>
        <v>46.915068493150685</v>
      </c>
      <c r="G59" s="11">
        <f t="shared" si="1"/>
        <v>1</v>
      </c>
      <c r="H59" s="11">
        <f t="shared" si="2"/>
        <v>22</v>
      </c>
      <c r="I59" s="10">
        <v>39169</v>
      </c>
      <c r="J59" s="9" t="s">
        <v>110</v>
      </c>
      <c r="K59" s="9" t="s">
        <v>269</v>
      </c>
      <c r="L59" s="9" t="s">
        <v>89</v>
      </c>
      <c r="M59" s="9" t="s">
        <v>156</v>
      </c>
      <c r="N59" s="11">
        <v>3</v>
      </c>
      <c r="O59" s="12">
        <f t="shared" ca="1" si="3"/>
        <v>16.717808219178082</v>
      </c>
      <c r="P59" s="12">
        <f t="shared" ca="1" si="4"/>
        <v>19.717808219178082</v>
      </c>
      <c r="Q59" s="12" t="s">
        <v>26</v>
      </c>
      <c r="R59" s="9" t="s">
        <v>27</v>
      </c>
      <c r="S59" s="9" t="s">
        <v>28</v>
      </c>
      <c r="T59" s="9" t="s">
        <v>114</v>
      </c>
    </row>
    <row r="60" spans="1:20" ht="36" customHeight="1">
      <c r="A60" s="6">
        <f t="shared" si="5"/>
        <v>59</v>
      </c>
      <c r="B60" s="7" t="s">
        <v>270</v>
      </c>
      <c r="C60" s="8" t="s">
        <v>271</v>
      </c>
      <c r="D60" s="9" t="s">
        <v>26</v>
      </c>
      <c r="E60" s="10">
        <v>27886</v>
      </c>
      <c r="F60" s="11">
        <f t="shared" ca="1" si="0"/>
        <v>47.630136986301373</v>
      </c>
      <c r="G60" s="11">
        <f t="shared" si="1"/>
        <v>5</v>
      </c>
      <c r="H60" s="11">
        <f t="shared" si="2"/>
        <v>6</v>
      </c>
      <c r="I60" s="10">
        <v>39171</v>
      </c>
      <c r="J60" s="9" t="s">
        <v>87</v>
      </c>
      <c r="K60" s="9" t="s">
        <v>272</v>
      </c>
      <c r="L60" s="9" t="s">
        <v>100</v>
      </c>
      <c r="M60" s="9" t="s">
        <v>25</v>
      </c>
      <c r="N60" s="11">
        <v>8</v>
      </c>
      <c r="O60" s="12">
        <f t="shared" ca="1" si="3"/>
        <v>16.712328767123289</v>
      </c>
      <c r="P60" s="12">
        <f t="shared" ca="1" si="4"/>
        <v>24.712328767123289</v>
      </c>
      <c r="Q60" s="12" t="s">
        <v>26</v>
      </c>
      <c r="R60" s="9" t="s">
        <v>27</v>
      </c>
      <c r="S60" s="9" t="s">
        <v>28</v>
      </c>
      <c r="T60" s="9" t="s">
        <v>29</v>
      </c>
    </row>
    <row r="61" spans="1:20" ht="36" customHeight="1">
      <c r="A61" s="6">
        <f t="shared" si="5"/>
        <v>60</v>
      </c>
      <c r="B61" s="7" t="s">
        <v>273</v>
      </c>
      <c r="C61" s="8" t="s">
        <v>274</v>
      </c>
      <c r="D61" s="9" t="s">
        <v>21</v>
      </c>
      <c r="E61" s="10">
        <v>26851</v>
      </c>
      <c r="F61" s="11">
        <f t="shared" ca="1" si="0"/>
        <v>50.465753424657535</v>
      </c>
      <c r="G61" s="11">
        <f t="shared" si="1"/>
        <v>7</v>
      </c>
      <c r="H61" s="11">
        <f t="shared" si="2"/>
        <v>6</v>
      </c>
      <c r="I61" s="10">
        <v>39174</v>
      </c>
      <c r="J61" s="9" t="s">
        <v>110</v>
      </c>
      <c r="K61" s="9" t="s">
        <v>275</v>
      </c>
      <c r="L61" s="9" t="s">
        <v>231</v>
      </c>
      <c r="M61" s="9" t="s">
        <v>61</v>
      </c>
      <c r="N61" s="11">
        <v>9</v>
      </c>
      <c r="O61" s="12">
        <f t="shared" ca="1" si="3"/>
        <v>16.704109589041096</v>
      </c>
      <c r="P61" s="12">
        <f t="shared" ca="1" si="4"/>
        <v>25.704109589041096</v>
      </c>
      <c r="Q61" s="12" t="s">
        <v>68</v>
      </c>
      <c r="R61" s="9" t="s">
        <v>27</v>
      </c>
      <c r="S61" s="9" t="s">
        <v>28</v>
      </c>
      <c r="T61" s="9" t="s">
        <v>114</v>
      </c>
    </row>
    <row r="62" spans="1:20" ht="36" customHeight="1">
      <c r="A62" s="6">
        <f t="shared" si="5"/>
        <v>61</v>
      </c>
      <c r="B62" s="7" t="s">
        <v>276</v>
      </c>
      <c r="C62" s="8" t="s">
        <v>277</v>
      </c>
      <c r="D62" s="9" t="s">
        <v>26</v>
      </c>
      <c r="E62" s="10">
        <v>28660</v>
      </c>
      <c r="F62" s="11">
        <f t="shared" ca="1" si="0"/>
        <v>45.509589041095893</v>
      </c>
      <c r="G62" s="11">
        <f t="shared" si="1"/>
        <v>6</v>
      </c>
      <c r="H62" s="11">
        <f t="shared" si="2"/>
        <v>19</v>
      </c>
      <c r="I62" s="10">
        <v>39181</v>
      </c>
      <c r="J62" s="9" t="s">
        <v>110</v>
      </c>
      <c r="K62" s="9" t="s">
        <v>278</v>
      </c>
      <c r="L62" s="9" t="s">
        <v>34</v>
      </c>
      <c r="M62" s="9" t="s">
        <v>35</v>
      </c>
      <c r="N62" s="11">
        <v>9</v>
      </c>
      <c r="O62" s="12">
        <f t="shared" ca="1" si="3"/>
        <v>16.684931506849313</v>
      </c>
      <c r="P62" s="12">
        <f t="shared" ca="1" si="4"/>
        <v>25.684931506849313</v>
      </c>
      <c r="Q62" s="12" t="s">
        <v>26</v>
      </c>
      <c r="R62" s="9" t="s">
        <v>27</v>
      </c>
      <c r="S62" s="9" t="s">
        <v>36</v>
      </c>
      <c r="T62" s="9" t="s">
        <v>279</v>
      </c>
    </row>
    <row r="63" spans="1:20" ht="36" customHeight="1">
      <c r="A63" s="6">
        <f t="shared" si="5"/>
        <v>62</v>
      </c>
      <c r="B63" s="7" t="s">
        <v>280</v>
      </c>
      <c r="C63" s="8" t="s">
        <v>281</v>
      </c>
      <c r="D63" s="9" t="s">
        <v>26</v>
      </c>
      <c r="E63" s="10">
        <v>25997</v>
      </c>
      <c r="F63" s="11">
        <f t="shared" ca="1" si="0"/>
        <v>52.805479452054797</v>
      </c>
      <c r="G63" s="11">
        <f t="shared" si="1"/>
        <v>3</v>
      </c>
      <c r="H63" s="11">
        <f t="shared" si="2"/>
        <v>5</v>
      </c>
      <c r="I63" s="10">
        <v>39185</v>
      </c>
      <c r="J63" s="9" t="s">
        <v>32</v>
      </c>
      <c r="K63" s="9" t="s">
        <v>282</v>
      </c>
      <c r="L63" s="9" t="s">
        <v>213</v>
      </c>
      <c r="M63" s="9" t="s">
        <v>35</v>
      </c>
      <c r="N63" s="11">
        <v>15</v>
      </c>
      <c r="O63" s="12">
        <f t="shared" ca="1" si="3"/>
        <v>16.673972602739727</v>
      </c>
      <c r="P63" s="12">
        <f t="shared" ca="1" si="4"/>
        <v>31.673972602739727</v>
      </c>
      <c r="Q63" s="12" t="s">
        <v>26</v>
      </c>
      <c r="R63" s="9" t="s">
        <v>27</v>
      </c>
      <c r="S63" s="9" t="s">
        <v>28</v>
      </c>
      <c r="T63" s="9" t="s">
        <v>29</v>
      </c>
    </row>
    <row r="64" spans="1:20" ht="36" customHeight="1">
      <c r="A64" s="6">
        <f t="shared" si="5"/>
        <v>63</v>
      </c>
      <c r="B64" s="7" t="s">
        <v>283</v>
      </c>
      <c r="C64" s="8" t="s">
        <v>284</v>
      </c>
      <c r="D64" s="9" t="s">
        <v>26</v>
      </c>
      <c r="E64" s="10">
        <v>30270</v>
      </c>
      <c r="F64" s="11">
        <f t="shared" ca="1" si="0"/>
        <v>41.098630136986301</v>
      </c>
      <c r="G64" s="11">
        <f t="shared" si="1"/>
        <v>11</v>
      </c>
      <c r="H64" s="11">
        <f t="shared" si="2"/>
        <v>15</v>
      </c>
      <c r="I64" s="10">
        <v>39192</v>
      </c>
      <c r="J64" s="9" t="s">
        <v>66</v>
      </c>
      <c r="K64" s="9" t="s">
        <v>285</v>
      </c>
      <c r="L64" s="9" t="s">
        <v>127</v>
      </c>
      <c r="M64" s="9" t="s">
        <v>25</v>
      </c>
      <c r="N64" s="11">
        <v>3</v>
      </c>
      <c r="O64" s="12">
        <f t="shared" ca="1" si="3"/>
        <v>16.654794520547945</v>
      </c>
      <c r="P64" s="12">
        <f t="shared" ca="1" si="4"/>
        <v>19.654794520547945</v>
      </c>
      <c r="Q64" s="12" t="s">
        <v>26</v>
      </c>
      <c r="R64" s="9" t="s">
        <v>286</v>
      </c>
      <c r="S64" s="9" t="s">
        <v>28</v>
      </c>
      <c r="T64" s="9" t="s">
        <v>114</v>
      </c>
    </row>
    <row r="65" spans="1:20" ht="36" customHeight="1">
      <c r="A65" s="6">
        <f t="shared" si="5"/>
        <v>64</v>
      </c>
      <c r="B65" s="7" t="s">
        <v>287</v>
      </c>
      <c r="C65" s="8" t="s">
        <v>288</v>
      </c>
      <c r="D65" s="9" t="s">
        <v>26</v>
      </c>
      <c r="E65" s="10">
        <v>28690</v>
      </c>
      <c r="F65" s="11">
        <f t="shared" ca="1" si="0"/>
        <v>45.42739726027397</v>
      </c>
      <c r="G65" s="11">
        <f t="shared" si="1"/>
        <v>7</v>
      </c>
      <c r="H65" s="11">
        <f t="shared" si="2"/>
        <v>19</v>
      </c>
      <c r="I65" s="10">
        <v>39195</v>
      </c>
      <c r="J65" s="9" t="s">
        <v>22</v>
      </c>
      <c r="K65" s="9" t="s">
        <v>289</v>
      </c>
      <c r="L65" s="9" t="s">
        <v>290</v>
      </c>
      <c r="M65" s="9" t="s">
        <v>35</v>
      </c>
      <c r="N65" s="11">
        <v>9</v>
      </c>
      <c r="O65" s="12">
        <f t="shared" ca="1" si="3"/>
        <v>16.646575342465752</v>
      </c>
      <c r="P65" s="12">
        <f t="shared" ca="1" si="4"/>
        <v>25.646575342465752</v>
      </c>
      <c r="Q65" s="12" t="s">
        <v>26</v>
      </c>
      <c r="R65" s="9" t="s">
        <v>27</v>
      </c>
      <c r="S65" s="9" t="s">
        <v>36</v>
      </c>
      <c r="T65" s="9" t="s">
        <v>29</v>
      </c>
    </row>
    <row r="66" spans="1:20" ht="36" customHeight="1">
      <c r="A66" s="6">
        <f t="shared" si="5"/>
        <v>65</v>
      </c>
      <c r="B66" s="7" t="s">
        <v>292</v>
      </c>
      <c r="C66" s="8" t="s">
        <v>293</v>
      </c>
      <c r="D66" s="9" t="s">
        <v>26</v>
      </c>
      <c r="E66" s="10">
        <v>31151</v>
      </c>
      <c r="F66" s="11">
        <f t="shared" ref="F66:F129" ca="1" si="6">(TODAY()-E66)/365</f>
        <v>38.684931506849317</v>
      </c>
      <c r="G66" s="11">
        <f t="shared" ref="G66:G129" si="7">MONTH(E66)</f>
        <v>4</v>
      </c>
      <c r="H66" s="11">
        <f t="shared" ref="H66:H129" si="8">DAY(E66)</f>
        <v>14</v>
      </c>
      <c r="I66" s="10">
        <v>39199</v>
      </c>
      <c r="J66" s="9" t="s">
        <v>41</v>
      </c>
      <c r="K66" s="9" t="s">
        <v>294</v>
      </c>
      <c r="L66" s="9" t="s">
        <v>34</v>
      </c>
      <c r="M66" s="9" t="s">
        <v>35</v>
      </c>
      <c r="N66" s="11">
        <v>0</v>
      </c>
      <c r="O66" s="12">
        <f t="shared" ref="O66:O129" ca="1" si="9">(TODAY()-I66)/365</f>
        <v>16.635616438356163</v>
      </c>
      <c r="P66" s="12">
        <f t="shared" ref="P66:P129" ca="1" si="10">SUM(N66+O66)</f>
        <v>16.635616438356163</v>
      </c>
      <c r="Q66" s="12" t="s">
        <v>68</v>
      </c>
      <c r="R66" s="9" t="s">
        <v>95</v>
      </c>
      <c r="S66" s="9" t="s">
        <v>36</v>
      </c>
      <c r="T66" s="9" t="s">
        <v>295</v>
      </c>
    </row>
    <row r="67" spans="1:20" ht="36" customHeight="1">
      <c r="A67" s="6">
        <f t="shared" si="5"/>
        <v>66</v>
      </c>
      <c r="B67" s="7" t="s">
        <v>296</v>
      </c>
      <c r="C67" s="8" t="s">
        <v>297</v>
      </c>
      <c r="D67" s="9" t="s">
        <v>26</v>
      </c>
      <c r="E67" s="10">
        <v>32677</v>
      </c>
      <c r="F67" s="11">
        <f t="shared" ca="1" si="6"/>
        <v>34.504109589041093</v>
      </c>
      <c r="G67" s="11">
        <f t="shared" si="7"/>
        <v>6</v>
      </c>
      <c r="H67" s="11">
        <f t="shared" si="8"/>
        <v>18</v>
      </c>
      <c r="I67" s="10">
        <v>39199</v>
      </c>
      <c r="J67" s="9" t="s">
        <v>87</v>
      </c>
      <c r="K67" s="9" t="s">
        <v>298</v>
      </c>
      <c r="L67" s="9" t="s">
        <v>34</v>
      </c>
      <c r="M67" s="9" t="s">
        <v>35</v>
      </c>
      <c r="N67" s="11">
        <v>0</v>
      </c>
      <c r="O67" s="12">
        <f t="shared" ca="1" si="9"/>
        <v>16.635616438356163</v>
      </c>
      <c r="P67" s="12">
        <f t="shared" ca="1" si="10"/>
        <v>16.635616438356163</v>
      </c>
      <c r="Q67" s="12" t="s">
        <v>68</v>
      </c>
      <c r="R67" s="9" t="s">
        <v>27</v>
      </c>
      <c r="S67" s="9" t="s">
        <v>36</v>
      </c>
      <c r="T67" s="9" t="s">
        <v>72</v>
      </c>
    </row>
    <row r="68" spans="1:20" ht="36" customHeight="1">
      <c r="A68" s="6">
        <f t="shared" ref="A68:A131" si="11">+A67+1</f>
        <v>67</v>
      </c>
      <c r="B68" s="7" t="s">
        <v>299</v>
      </c>
      <c r="C68" s="8" t="s">
        <v>300</v>
      </c>
      <c r="D68" s="9" t="s">
        <v>26</v>
      </c>
      <c r="E68" s="10">
        <v>27607</v>
      </c>
      <c r="F68" s="11">
        <f t="shared" ca="1" si="6"/>
        <v>48.394520547945206</v>
      </c>
      <c r="G68" s="11">
        <f t="shared" si="7"/>
        <v>8</v>
      </c>
      <c r="H68" s="11">
        <f t="shared" si="8"/>
        <v>1</v>
      </c>
      <c r="I68" s="10">
        <v>39199</v>
      </c>
      <c r="J68" s="9" t="s">
        <v>132</v>
      </c>
      <c r="K68" s="9" t="s">
        <v>301</v>
      </c>
      <c r="L68" s="9" t="s">
        <v>34</v>
      </c>
      <c r="M68" s="9" t="s">
        <v>35</v>
      </c>
      <c r="N68" s="11">
        <v>10</v>
      </c>
      <c r="O68" s="12">
        <f t="shared" ca="1" si="9"/>
        <v>16.635616438356163</v>
      </c>
      <c r="P68" s="12">
        <f t="shared" ca="1" si="10"/>
        <v>26.635616438356163</v>
      </c>
      <c r="Q68" s="12" t="s">
        <v>26</v>
      </c>
      <c r="R68" s="9" t="s">
        <v>95</v>
      </c>
      <c r="S68" s="9" t="s">
        <v>36</v>
      </c>
      <c r="T68" s="9" t="s">
        <v>72</v>
      </c>
    </row>
    <row r="69" spans="1:20" ht="36" customHeight="1">
      <c r="A69" s="6">
        <f t="shared" si="11"/>
        <v>68</v>
      </c>
      <c r="B69" s="7" t="s">
        <v>303</v>
      </c>
      <c r="C69" s="8" t="s">
        <v>152</v>
      </c>
      <c r="D69" s="9" t="s">
        <v>26</v>
      </c>
      <c r="E69" s="10">
        <v>27599</v>
      </c>
      <c r="F69" s="11">
        <f t="shared" ca="1" si="6"/>
        <v>48.416438356164385</v>
      </c>
      <c r="G69" s="11">
        <f t="shared" si="7"/>
        <v>7</v>
      </c>
      <c r="H69" s="11">
        <f t="shared" si="8"/>
        <v>24</v>
      </c>
      <c r="I69" s="10">
        <v>39202</v>
      </c>
      <c r="J69" s="9" t="s">
        <v>32</v>
      </c>
      <c r="K69" s="9" t="s">
        <v>33</v>
      </c>
      <c r="L69" s="9" t="s">
        <v>34</v>
      </c>
      <c r="M69" s="9" t="s">
        <v>35</v>
      </c>
      <c r="N69" s="11">
        <v>10</v>
      </c>
      <c r="O69" s="12">
        <f t="shared" ca="1" si="9"/>
        <v>16.627397260273973</v>
      </c>
      <c r="P69" s="12">
        <f t="shared" ca="1" si="10"/>
        <v>26.627397260273973</v>
      </c>
      <c r="Q69" s="12" t="s">
        <v>26</v>
      </c>
      <c r="R69" s="9" t="s">
        <v>27</v>
      </c>
      <c r="S69" s="9" t="s">
        <v>36</v>
      </c>
      <c r="T69" s="9" t="s">
        <v>137</v>
      </c>
    </row>
    <row r="70" spans="1:20" ht="36" customHeight="1">
      <c r="A70" s="6">
        <f t="shared" si="11"/>
        <v>69</v>
      </c>
      <c r="B70" s="7" t="s">
        <v>304</v>
      </c>
      <c r="C70" s="8" t="s">
        <v>305</v>
      </c>
      <c r="D70" s="9" t="s">
        <v>26</v>
      </c>
      <c r="E70" s="10">
        <v>24832</v>
      </c>
      <c r="F70" s="11">
        <f t="shared" ca="1" si="6"/>
        <v>55.9972602739726</v>
      </c>
      <c r="G70" s="11">
        <f t="shared" si="7"/>
        <v>12</v>
      </c>
      <c r="H70" s="11">
        <f t="shared" si="8"/>
        <v>26</v>
      </c>
      <c r="I70" s="10">
        <v>39211</v>
      </c>
      <c r="J70" s="9" t="s">
        <v>50</v>
      </c>
      <c r="K70" s="9" t="s">
        <v>306</v>
      </c>
      <c r="L70" s="9" t="s">
        <v>263</v>
      </c>
      <c r="M70" s="9" t="s">
        <v>25</v>
      </c>
      <c r="N70" s="11">
        <v>19.3</v>
      </c>
      <c r="O70" s="12">
        <f t="shared" ca="1" si="9"/>
        <v>16.602739726027398</v>
      </c>
      <c r="P70" s="12">
        <f t="shared" ca="1" si="10"/>
        <v>35.902739726027399</v>
      </c>
      <c r="Q70" s="12" t="s">
        <v>26</v>
      </c>
      <c r="R70" s="9" t="s">
        <v>27</v>
      </c>
      <c r="S70" s="9" t="s">
        <v>28</v>
      </c>
      <c r="T70" s="9" t="s">
        <v>29</v>
      </c>
    </row>
    <row r="71" spans="1:20" ht="36" customHeight="1">
      <c r="A71" s="6">
        <f t="shared" si="11"/>
        <v>70</v>
      </c>
      <c r="B71" s="7" t="s">
        <v>308</v>
      </c>
      <c r="C71" s="8" t="s">
        <v>309</v>
      </c>
      <c r="D71" s="9" t="s">
        <v>26</v>
      </c>
      <c r="E71" s="10">
        <v>25329</v>
      </c>
      <c r="F71" s="11">
        <f t="shared" ca="1" si="6"/>
        <v>54.635616438356166</v>
      </c>
      <c r="G71" s="11">
        <f t="shared" si="7"/>
        <v>5</v>
      </c>
      <c r="H71" s="11">
        <f t="shared" si="8"/>
        <v>6</v>
      </c>
      <c r="I71" s="10">
        <v>39211</v>
      </c>
      <c r="J71" s="9" t="s">
        <v>22</v>
      </c>
      <c r="K71" s="9" t="s">
        <v>310</v>
      </c>
      <c r="L71" s="9" t="s">
        <v>60</v>
      </c>
      <c r="M71" s="9" t="s">
        <v>35</v>
      </c>
      <c r="N71" s="11">
        <v>13</v>
      </c>
      <c r="O71" s="12">
        <f t="shared" ca="1" si="9"/>
        <v>16.602739726027398</v>
      </c>
      <c r="P71" s="12">
        <f t="shared" ca="1" si="10"/>
        <v>29.602739726027398</v>
      </c>
      <c r="Q71" s="12" t="s">
        <v>26</v>
      </c>
      <c r="R71" s="9" t="s">
        <v>27</v>
      </c>
      <c r="S71" s="9" t="s">
        <v>28</v>
      </c>
      <c r="T71" s="9" t="s">
        <v>29</v>
      </c>
    </row>
    <row r="72" spans="1:20" ht="36" customHeight="1">
      <c r="A72" s="6">
        <f t="shared" si="11"/>
        <v>71</v>
      </c>
      <c r="B72" s="7" t="s">
        <v>311</v>
      </c>
      <c r="C72" s="8" t="s">
        <v>312</v>
      </c>
      <c r="D72" s="9" t="s">
        <v>26</v>
      </c>
      <c r="E72" s="10">
        <v>22368</v>
      </c>
      <c r="F72" s="11">
        <f t="shared" ca="1" si="6"/>
        <v>62.747945205479454</v>
      </c>
      <c r="G72" s="11">
        <f t="shared" si="7"/>
        <v>3</v>
      </c>
      <c r="H72" s="11">
        <f t="shared" si="8"/>
        <v>28</v>
      </c>
      <c r="I72" s="10">
        <v>39206</v>
      </c>
      <c r="J72" s="9" t="s">
        <v>32</v>
      </c>
      <c r="K72" s="9" t="s">
        <v>313</v>
      </c>
      <c r="L72" s="9" t="s">
        <v>89</v>
      </c>
      <c r="M72" s="9" t="s">
        <v>61</v>
      </c>
      <c r="N72" s="11">
        <v>23</v>
      </c>
      <c r="O72" s="12">
        <f t="shared" ca="1" si="9"/>
        <v>16.616438356164384</v>
      </c>
      <c r="P72" s="12">
        <f t="shared" ca="1" si="10"/>
        <v>39.61643835616438</v>
      </c>
      <c r="Q72" s="12" t="s">
        <v>26</v>
      </c>
      <c r="R72" s="9" t="s">
        <v>27</v>
      </c>
      <c r="S72" s="9" t="s">
        <v>28</v>
      </c>
      <c r="T72" s="9" t="s">
        <v>29</v>
      </c>
    </row>
    <row r="73" spans="1:20" ht="36" customHeight="1">
      <c r="A73" s="6">
        <f t="shared" si="11"/>
        <v>72</v>
      </c>
      <c r="B73" s="7" t="s">
        <v>314</v>
      </c>
      <c r="C73" s="8" t="s">
        <v>315</v>
      </c>
      <c r="D73" s="9" t="s">
        <v>26</v>
      </c>
      <c r="E73" s="10">
        <v>27186</v>
      </c>
      <c r="F73" s="11">
        <f t="shared" ca="1" si="6"/>
        <v>49.547945205479451</v>
      </c>
      <c r="G73" s="11">
        <f t="shared" si="7"/>
        <v>6</v>
      </c>
      <c r="H73" s="11">
        <f t="shared" si="8"/>
        <v>6</v>
      </c>
      <c r="I73" s="10">
        <v>39234</v>
      </c>
      <c r="J73" s="9" t="s">
        <v>50</v>
      </c>
      <c r="K73" s="9" t="s">
        <v>146</v>
      </c>
      <c r="L73" s="9" t="s">
        <v>147</v>
      </c>
      <c r="M73" s="9" t="s">
        <v>25</v>
      </c>
      <c r="N73" s="11">
        <v>8</v>
      </c>
      <c r="O73" s="12">
        <f t="shared" ca="1" si="9"/>
        <v>16.539726027397261</v>
      </c>
      <c r="P73" s="12">
        <f t="shared" ca="1" si="10"/>
        <v>24.539726027397261</v>
      </c>
      <c r="Q73" s="12" t="s">
        <v>26</v>
      </c>
      <c r="R73" s="9" t="s">
        <v>27</v>
      </c>
      <c r="S73" s="9" t="s">
        <v>28</v>
      </c>
      <c r="T73" s="9" t="s">
        <v>29</v>
      </c>
    </row>
    <row r="74" spans="1:20" ht="36" customHeight="1">
      <c r="A74" s="6">
        <f t="shared" si="11"/>
        <v>73</v>
      </c>
      <c r="B74" s="7" t="s">
        <v>316</v>
      </c>
      <c r="C74" s="8" t="s">
        <v>317</v>
      </c>
      <c r="D74" s="9" t="s">
        <v>26</v>
      </c>
      <c r="E74" s="10">
        <v>25338</v>
      </c>
      <c r="F74" s="11">
        <f t="shared" ca="1" si="6"/>
        <v>54.610958904109587</v>
      </c>
      <c r="G74" s="11">
        <f t="shared" si="7"/>
        <v>5</v>
      </c>
      <c r="H74" s="11">
        <f t="shared" si="8"/>
        <v>15</v>
      </c>
      <c r="I74" s="10">
        <v>39235</v>
      </c>
      <c r="J74" s="9" t="s">
        <v>318</v>
      </c>
      <c r="K74" s="9" t="s">
        <v>319</v>
      </c>
      <c r="L74" s="9" t="s">
        <v>76</v>
      </c>
      <c r="M74" s="9" t="s">
        <v>25</v>
      </c>
      <c r="N74" s="11">
        <v>11</v>
      </c>
      <c r="O74" s="12">
        <f t="shared" ca="1" si="9"/>
        <v>16.536986301369861</v>
      </c>
      <c r="P74" s="12">
        <f t="shared" ca="1" si="10"/>
        <v>27.536986301369861</v>
      </c>
      <c r="Q74" s="12" t="s">
        <v>26</v>
      </c>
      <c r="R74" s="9" t="s">
        <v>27</v>
      </c>
      <c r="S74" s="9" t="s">
        <v>28</v>
      </c>
      <c r="T74" s="9" t="s">
        <v>29</v>
      </c>
    </row>
    <row r="75" spans="1:20" ht="36" customHeight="1">
      <c r="A75" s="6">
        <f t="shared" si="11"/>
        <v>74</v>
      </c>
      <c r="B75" s="7" t="s">
        <v>321</v>
      </c>
      <c r="C75" s="8" t="s">
        <v>322</v>
      </c>
      <c r="D75" s="9" t="s">
        <v>26</v>
      </c>
      <c r="E75" s="10">
        <v>27733</v>
      </c>
      <c r="F75" s="11">
        <f t="shared" ca="1" si="6"/>
        <v>48.049315068493151</v>
      </c>
      <c r="G75" s="11">
        <f t="shared" si="7"/>
        <v>12</v>
      </c>
      <c r="H75" s="11">
        <f t="shared" si="8"/>
        <v>5</v>
      </c>
      <c r="I75" s="10">
        <v>39237</v>
      </c>
      <c r="J75" s="9" t="s">
        <v>50</v>
      </c>
      <c r="K75" s="9" t="s">
        <v>146</v>
      </c>
      <c r="L75" s="9" t="s">
        <v>208</v>
      </c>
      <c r="M75" s="9" t="s">
        <v>35</v>
      </c>
      <c r="N75" s="11">
        <v>7</v>
      </c>
      <c r="O75" s="12">
        <f t="shared" ca="1" si="9"/>
        <v>16.531506849315068</v>
      </c>
      <c r="P75" s="12">
        <f t="shared" ca="1" si="10"/>
        <v>23.531506849315068</v>
      </c>
      <c r="Q75" s="12" t="s">
        <v>26</v>
      </c>
      <c r="R75" s="9" t="s">
        <v>27</v>
      </c>
      <c r="S75" s="9" t="s">
        <v>28</v>
      </c>
      <c r="T75" s="9" t="s">
        <v>29</v>
      </c>
    </row>
    <row r="76" spans="1:20" ht="36" customHeight="1">
      <c r="A76" s="6">
        <f t="shared" si="11"/>
        <v>75</v>
      </c>
      <c r="B76" s="7" t="s">
        <v>323</v>
      </c>
      <c r="C76" s="8" t="s">
        <v>324</v>
      </c>
      <c r="D76" s="9" t="s">
        <v>26</v>
      </c>
      <c r="E76" s="10">
        <v>24844</v>
      </c>
      <c r="F76" s="11">
        <f t="shared" ca="1" si="6"/>
        <v>55.964383561643835</v>
      </c>
      <c r="G76" s="11">
        <f t="shared" si="7"/>
        <v>1</v>
      </c>
      <c r="H76" s="11">
        <f t="shared" si="8"/>
        <v>7</v>
      </c>
      <c r="I76" s="10">
        <v>39238</v>
      </c>
      <c r="J76" s="9" t="s">
        <v>132</v>
      </c>
      <c r="K76" s="9" t="s">
        <v>103</v>
      </c>
      <c r="L76" s="9" t="s">
        <v>325</v>
      </c>
      <c r="M76" s="9" t="s">
        <v>134</v>
      </c>
      <c r="N76" s="11">
        <v>14</v>
      </c>
      <c r="O76" s="12">
        <f t="shared" ca="1" si="9"/>
        <v>16.528767123287672</v>
      </c>
      <c r="P76" s="12">
        <f t="shared" ca="1" si="10"/>
        <v>30.528767123287672</v>
      </c>
      <c r="Q76" s="12" t="s">
        <v>26</v>
      </c>
      <c r="R76" s="9" t="s">
        <v>27</v>
      </c>
      <c r="S76" s="9" t="s">
        <v>28</v>
      </c>
      <c r="T76" s="9" t="s">
        <v>29</v>
      </c>
    </row>
    <row r="77" spans="1:20" ht="36" customHeight="1">
      <c r="A77" s="6">
        <f t="shared" si="11"/>
        <v>76</v>
      </c>
      <c r="B77" s="7" t="s">
        <v>326</v>
      </c>
      <c r="C77" s="8" t="s">
        <v>327</v>
      </c>
      <c r="D77" s="9" t="s">
        <v>26</v>
      </c>
      <c r="E77" s="10">
        <v>30286</v>
      </c>
      <c r="F77" s="11">
        <f t="shared" ca="1" si="6"/>
        <v>41.054794520547944</v>
      </c>
      <c r="G77" s="11">
        <f t="shared" si="7"/>
        <v>12</v>
      </c>
      <c r="H77" s="11">
        <f t="shared" si="8"/>
        <v>1</v>
      </c>
      <c r="I77" s="10">
        <v>39240</v>
      </c>
      <c r="J77" s="9" t="s">
        <v>22</v>
      </c>
      <c r="K77" s="9" t="s">
        <v>328</v>
      </c>
      <c r="L77" s="9" t="s">
        <v>329</v>
      </c>
      <c r="M77" s="9" t="s">
        <v>134</v>
      </c>
      <c r="N77" s="11">
        <v>0</v>
      </c>
      <c r="O77" s="12">
        <f t="shared" ca="1" si="9"/>
        <v>16.523287671232875</v>
      </c>
      <c r="P77" s="12">
        <f t="shared" ca="1" si="10"/>
        <v>16.523287671232875</v>
      </c>
      <c r="Q77" s="12" t="s">
        <v>68</v>
      </c>
      <c r="R77" s="9" t="s">
        <v>27</v>
      </c>
      <c r="S77" s="9" t="s">
        <v>28</v>
      </c>
      <c r="T77" s="9" t="s">
        <v>29</v>
      </c>
    </row>
    <row r="78" spans="1:20" ht="36" customHeight="1">
      <c r="A78" s="6">
        <f t="shared" si="11"/>
        <v>77</v>
      </c>
      <c r="B78" s="7" t="s">
        <v>330</v>
      </c>
      <c r="C78" s="8" t="s">
        <v>331</v>
      </c>
      <c r="D78" s="9" t="s">
        <v>26</v>
      </c>
      <c r="E78" s="10">
        <v>30450</v>
      </c>
      <c r="F78" s="11">
        <f t="shared" ca="1" si="6"/>
        <v>40.605479452054794</v>
      </c>
      <c r="G78" s="11">
        <f t="shared" si="7"/>
        <v>5</v>
      </c>
      <c r="H78" s="11">
        <f t="shared" si="8"/>
        <v>14</v>
      </c>
      <c r="I78" s="10">
        <v>39240</v>
      </c>
      <c r="J78" s="9" t="s">
        <v>87</v>
      </c>
      <c r="K78" s="9" t="s">
        <v>332</v>
      </c>
      <c r="L78" s="9" t="s">
        <v>213</v>
      </c>
      <c r="M78" s="9" t="s">
        <v>35</v>
      </c>
      <c r="N78" s="11">
        <v>0</v>
      </c>
      <c r="O78" s="12">
        <f t="shared" ca="1" si="9"/>
        <v>16.523287671232875</v>
      </c>
      <c r="P78" s="12">
        <f t="shared" ca="1" si="10"/>
        <v>16.523287671232875</v>
      </c>
      <c r="Q78" s="12" t="s">
        <v>26</v>
      </c>
      <c r="R78" s="9" t="s">
        <v>27</v>
      </c>
      <c r="S78" s="9" t="s">
        <v>36</v>
      </c>
      <c r="T78" s="9" t="s">
        <v>37</v>
      </c>
    </row>
    <row r="79" spans="1:20" ht="36" customHeight="1">
      <c r="A79" s="6">
        <f t="shared" si="11"/>
        <v>78</v>
      </c>
      <c r="B79" s="7" t="s">
        <v>333</v>
      </c>
      <c r="C79" s="8" t="s">
        <v>334</v>
      </c>
      <c r="D79" s="9" t="s">
        <v>26</v>
      </c>
      <c r="E79" s="10">
        <v>31491</v>
      </c>
      <c r="F79" s="11">
        <f t="shared" ca="1" si="6"/>
        <v>37.753424657534246</v>
      </c>
      <c r="G79" s="11">
        <f t="shared" si="7"/>
        <v>3</v>
      </c>
      <c r="H79" s="11">
        <f t="shared" si="8"/>
        <v>20</v>
      </c>
      <c r="I79" s="10">
        <v>39240</v>
      </c>
      <c r="J79" s="9" t="s">
        <v>45</v>
      </c>
      <c r="K79" s="9" t="s">
        <v>335</v>
      </c>
      <c r="L79" s="9" t="s">
        <v>213</v>
      </c>
      <c r="M79" s="9" t="s">
        <v>35</v>
      </c>
      <c r="N79" s="11">
        <v>0</v>
      </c>
      <c r="O79" s="12">
        <f t="shared" ca="1" si="9"/>
        <v>16.523287671232875</v>
      </c>
      <c r="P79" s="12">
        <f t="shared" ca="1" si="10"/>
        <v>16.523287671232875</v>
      </c>
      <c r="Q79" s="12" t="s">
        <v>68</v>
      </c>
      <c r="R79" s="9" t="s">
        <v>27</v>
      </c>
      <c r="S79" s="9" t="s">
        <v>36</v>
      </c>
      <c r="T79" s="9" t="s">
        <v>90</v>
      </c>
    </row>
    <row r="80" spans="1:20" ht="36" customHeight="1">
      <c r="A80" s="6">
        <f t="shared" si="11"/>
        <v>79</v>
      </c>
      <c r="B80" s="7" t="s">
        <v>336</v>
      </c>
      <c r="C80" s="8" t="s">
        <v>337</v>
      </c>
      <c r="D80" s="9" t="s">
        <v>26</v>
      </c>
      <c r="E80" s="10">
        <v>26816</v>
      </c>
      <c r="F80" s="11">
        <f t="shared" ca="1" si="6"/>
        <v>50.561643835616437</v>
      </c>
      <c r="G80" s="11">
        <f t="shared" si="7"/>
        <v>6</v>
      </c>
      <c r="H80" s="11">
        <f t="shared" si="8"/>
        <v>1</v>
      </c>
      <c r="I80" s="10">
        <v>39241</v>
      </c>
      <c r="J80" s="9" t="s">
        <v>41</v>
      </c>
      <c r="K80" s="9" t="s">
        <v>338</v>
      </c>
      <c r="L80" s="9" t="s">
        <v>52</v>
      </c>
      <c r="M80" s="9" t="s">
        <v>25</v>
      </c>
      <c r="N80" s="11">
        <v>10</v>
      </c>
      <c r="O80" s="12">
        <f t="shared" ca="1" si="9"/>
        <v>16.520547945205479</v>
      </c>
      <c r="P80" s="12">
        <f t="shared" ca="1" si="10"/>
        <v>26.520547945205479</v>
      </c>
      <c r="Q80" s="12" t="s">
        <v>26</v>
      </c>
      <c r="R80" s="9" t="s">
        <v>27</v>
      </c>
      <c r="S80" s="9" t="s">
        <v>28</v>
      </c>
      <c r="T80" s="9" t="s">
        <v>29</v>
      </c>
    </row>
    <row r="81" spans="1:20" ht="36" customHeight="1">
      <c r="A81" s="6">
        <f t="shared" si="11"/>
        <v>80</v>
      </c>
      <c r="B81" s="7" t="s">
        <v>339</v>
      </c>
      <c r="C81" s="8" t="s">
        <v>340</v>
      </c>
      <c r="D81" s="9" t="s">
        <v>26</v>
      </c>
      <c r="E81" s="10">
        <v>27156</v>
      </c>
      <c r="F81" s="11">
        <f t="shared" ca="1" si="6"/>
        <v>49.630136986301373</v>
      </c>
      <c r="G81" s="11">
        <f t="shared" si="7"/>
        <v>5</v>
      </c>
      <c r="H81" s="11">
        <f t="shared" si="8"/>
        <v>7</v>
      </c>
      <c r="I81" s="10">
        <v>39244</v>
      </c>
      <c r="J81" s="9" t="s">
        <v>226</v>
      </c>
      <c r="K81" s="9" t="s">
        <v>341</v>
      </c>
      <c r="L81" s="9" t="s">
        <v>34</v>
      </c>
      <c r="M81" s="9" t="s">
        <v>35</v>
      </c>
      <c r="N81" s="11">
        <v>10</v>
      </c>
      <c r="O81" s="12">
        <f t="shared" ca="1" si="9"/>
        <v>16.512328767123286</v>
      </c>
      <c r="P81" s="12">
        <f t="shared" ca="1" si="10"/>
        <v>26.512328767123286</v>
      </c>
      <c r="Q81" s="12" t="s">
        <v>26</v>
      </c>
      <c r="R81" s="9" t="s">
        <v>27</v>
      </c>
      <c r="S81" s="9" t="s">
        <v>36</v>
      </c>
      <c r="T81" s="9" t="s">
        <v>72</v>
      </c>
    </row>
    <row r="82" spans="1:20" ht="36" customHeight="1">
      <c r="A82" s="6">
        <f t="shared" si="11"/>
        <v>81</v>
      </c>
      <c r="B82" s="7" t="s">
        <v>342</v>
      </c>
      <c r="C82" s="17" t="s">
        <v>343</v>
      </c>
      <c r="D82" s="6" t="s">
        <v>26</v>
      </c>
      <c r="E82" s="18">
        <v>30731</v>
      </c>
      <c r="F82" s="11">
        <f t="shared" ca="1" si="6"/>
        <v>39.835616438356162</v>
      </c>
      <c r="G82" s="19">
        <f t="shared" si="7"/>
        <v>2</v>
      </c>
      <c r="H82" s="19">
        <f t="shared" si="8"/>
        <v>19</v>
      </c>
      <c r="I82" s="18">
        <v>39248</v>
      </c>
      <c r="J82" s="9" t="s">
        <v>50</v>
      </c>
      <c r="K82" s="9" t="s">
        <v>344</v>
      </c>
      <c r="L82" s="9" t="s">
        <v>263</v>
      </c>
      <c r="M82" s="9" t="s">
        <v>25</v>
      </c>
      <c r="N82" s="19">
        <v>2</v>
      </c>
      <c r="O82" s="12">
        <f t="shared" ca="1" si="9"/>
        <v>16.5013698630137</v>
      </c>
      <c r="P82" s="12">
        <f t="shared" ca="1" si="10"/>
        <v>18.5013698630137</v>
      </c>
      <c r="Q82" s="20" t="s">
        <v>68</v>
      </c>
      <c r="R82" s="6" t="s">
        <v>27</v>
      </c>
      <c r="S82" s="6" t="s">
        <v>28</v>
      </c>
      <c r="T82" s="9" t="s">
        <v>29</v>
      </c>
    </row>
    <row r="83" spans="1:20" ht="36" customHeight="1">
      <c r="A83" s="6">
        <f t="shared" si="11"/>
        <v>82</v>
      </c>
      <c r="B83" s="7" t="s">
        <v>345</v>
      </c>
      <c r="C83" s="17" t="s">
        <v>346</v>
      </c>
      <c r="D83" s="6" t="s">
        <v>26</v>
      </c>
      <c r="E83" s="18">
        <v>25221</v>
      </c>
      <c r="F83" s="11">
        <f t="shared" ca="1" si="6"/>
        <v>54.93150684931507</v>
      </c>
      <c r="G83" s="19">
        <f t="shared" si="7"/>
        <v>1</v>
      </c>
      <c r="H83" s="19">
        <f t="shared" si="8"/>
        <v>18</v>
      </c>
      <c r="I83" s="18">
        <v>39248</v>
      </c>
      <c r="J83" s="9" t="s">
        <v>22</v>
      </c>
      <c r="K83" s="9" t="s">
        <v>75</v>
      </c>
      <c r="L83" s="9" t="s">
        <v>147</v>
      </c>
      <c r="M83" s="9" t="s">
        <v>61</v>
      </c>
      <c r="N83" s="19">
        <v>14</v>
      </c>
      <c r="O83" s="12">
        <f t="shared" ca="1" si="9"/>
        <v>16.5013698630137</v>
      </c>
      <c r="P83" s="12">
        <f t="shared" ca="1" si="10"/>
        <v>30.5013698630137</v>
      </c>
      <c r="Q83" s="20" t="s">
        <v>26</v>
      </c>
      <c r="R83" s="6" t="s">
        <v>347</v>
      </c>
      <c r="S83" s="6" t="s">
        <v>28</v>
      </c>
      <c r="T83" s="9" t="s">
        <v>29</v>
      </c>
    </row>
    <row r="84" spans="1:20" ht="36" customHeight="1">
      <c r="A84" s="6">
        <f t="shared" si="11"/>
        <v>83</v>
      </c>
      <c r="B84" s="7" t="s">
        <v>348</v>
      </c>
      <c r="C84" s="17" t="s">
        <v>349</v>
      </c>
      <c r="D84" s="6" t="s">
        <v>26</v>
      </c>
      <c r="E84" s="18">
        <v>24631</v>
      </c>
      <c r="F84" s="11">
        <f t="shared" ca="1" si="6"/>
        <v>56.547945205479451</v>
      </c>
      <c r="G84" s="19">
        <f t="shared" si="7"/>
        <v>6</v>
      </c>
      <c r="H84" s="19">
        <f t="shared" si="8"/>
        <v>8</v>
      </c>
      <c r="I84" s="18">
        <v>39251</v>
      </c>
      <c r="J84" s="9" t="s">
        <v>66</v>
      </c>
      <c r="K84" s="9" t="s">
        <v>350</v>
      </c>
      <c r="L84" s="9" t="s">
        <v>325</v>
      </c>
      <c r="M84" s="9" t="s">
        <v>61</v>
      </c>
      <c r="N84" s="19">
        <v>17.5</v>
      </c>
      <c r="O84" s="12">
        <f t="shared" ca="1" si="9"/>
        <v>16.493150684931507</v>
      </c>
      <c r="P84" s="12">
        <f t="shared" ca="1" si="10"/>
        <v>33.993150684931507</v>
      </c>
      <c r="Q84" s="20" t="s">
        <v>26</v>
      </c>
      <c r="R84" s="6" t="s">
        <v>27</v>
      </c>
      <c r="S84" s="6" t="s">
        <v>28</v>
      </c>
      <c r="T84" s="9" t="s">
        <v>29</v>
      </c>
    </row>
    <row r="85" spans="1:20" ht="36" customHeight="1">
      <c r="A85" s="6">
        <f t="shared" si="11"/>
        <v>84</v>
      </c>
      <c r="B85" s="7" t="s">
        <v>351</v>
      </c>
      <c r="C85" s="8" t="s">
        <v>352</v>
      </c>
      <c r="D85" s="9" t="s">
        <v>26</v>
      </c>
      <c r="E85" s="10">
        <v>27847</v>
      </c>
      <c r="F85" s="11">
        <f t="shared" ca="1" si="6"/>
        <v>47.736986301369861</v>
      </c>
      <c r="G85" s="11">
        <f t="shared" si="7"/>
        <v>3</v>
      </c>
      <c r="H85" s="11">
        <f t="shared" si="8"/>
        <v>28</v>
      </c>
      <c r="I85" s="10">
        <v>39251</v>
      </c>
      <c r="J85" s="9" t="s">
        <v>66</v>
      </c>
      <c r="K85" s="9" t="s">
        <v>285</v>
      </c>
      <c r="L85" s="9" t="s">
        <v>128</v>
      </c>
      <c r="M85" s="9" t="s">
        <v>134</v>
      </c>
      <c r="N85" s="11">
        <v>5</v>
      </c>
      <c r="O85" s="12">
        <f t="shared" ca="1" si="9"/>
        <v>16.493150684931507</v>
      </c>
      <c r="P85" s="12">
        <f t="shared" ca="1" si="10"/>
        <v>21.493150684931507</v>
      </c>
      <c r="Q85" s="12" t="s">
        <v>26</v>
      </c>
      <c r="R85" s="9" t="s">
        <v>27</v>
      </c>
      <c r="S85" s="9" t="s">
        <v>28</v>
      </c>
      <c r="T85" s="9" t="s">
        <v>29</v>
      </c>
    </row>
    <row r="86" spans="1:20" ht="36" customHeight="1">
      <c r="A86" s="6">
        <f t="shared" si="11"/>
        <v>85</v>
      </c>
      <c r="B86" s="7" t="s">
        <v>353</v>
      </c>
      <c r="C86" s="8" t="s">
        <v>354</v>
      </c>
      <c r="D86" s="9" t="s">
        <v>26</v>
      </c>
      <c r="E86" s="10">
        <v>23289</v>
      </c>
      <c r="F86" s="11">
        <f t="shared" ca="1" si="6"/>
        <v>60.224657534246575</v>
      </c>
      <c r="G86" s="11">
        <f t="shared" si="7"/>
        <v>10</v>
      </c>
      <c r="H86" s="11">
        <f t="shared" si="8"/>
        <v>5</v>
      </c>
      <c r="I86" s="10">
        <v>39254</v>
      </c>
      <c r="J86" s="9" t="s">
        <v>93</v>
      </c>
      <c r="K86" s="9" t="s">
        <v>355</v>
      </c>
      <c r="L86" s="9" t="s">
        <v>34</v>
      </c>
      <c r="M86" s="9" t="s">
        <v>35</v>
      </c>
      <c r="N86" s="11">
        <v>20.2</v>
      </c>
      <c r="O86" s="12">
        <f t="shared" ca="1" si="9"/>
        <v>16.484931506849314</v>
      </c>
      <c r="P86" s="12">
        <f t="shared" ca="1" si="10"/>
        <v>36.68493150684931</v>
      </c>
      <c r="Q86" s="12" t="s">
        <v>26</v>
      </c>
      <c r="R86" s="9" t="s">
        <v>356</v>
      </c>
      <c r="S86" s="9" t="s">
        <v>28</v>
      </c>
      <c r="T86" s="9" t="s">
        <v>358</v>
      </c>
    </row>
    <row r="87" spans="1:20" ht="36" customHeight="1">
      <c r="A87" s="6">
        <f t="shared" si="11"/>
        <v>86</v>
      </c>
      <c r="B87" s="7" t="s">
        <v>359</v>
      </c>
      <c r="C87" s="17" t="s">
        <v>360</v>
      </c>
      <c r="D87" s="6" t="s">
        <v>26</v>
      </c>
      <c r="E87" s="18">
        <v>25577</v>
      </c>
      <c r="F87" s="11">
        <f t="shared" ca="1" si="6"/>
        <v>53.956164383561642</v>
      </c>
      <c r="G87" s="19">
        <f t="shared" si="7"/>
        <v>1</v>
      </c>
      <c r="H87" s="19">
        <f t="shared" si="8"/>
        <v>9</v>
      </c>
      <c r="I87" s="18">
        <v>39265</v>
      </c>
      <c r="J87" s="9" t="s">
        <v>132</v>
      </c>
      <c r="K87" s="9" t="s">
        <v>361</v>
      </c>
      <c r="L87" s="9" t="s">
        <v>60</v>
      </c>
      <c r="M87" s="9" t="s">
        <v>35</v>
      </c>
      <c r="N87" s="19">
        <v>16</v>
      </c>
      <c r="O87" s="12">
        <f t="shared" ca="1" si="9"/>
        <v>16.454794520547946</v>
      </c>
      <c r="P87" s="12">
        <f t="shared" ca="1" si="10"/>
        <v>32.454794520547949</v>
      </c>
      <c r="Q87" s="20" t="s">
        <v>26</v>
      </c>
      <c r="R87" s="6" t="s">
        <v>27</v>
      </c>
      <c r="S87" s="9" t="s">
        <v>28</v>
      </c>
      <c r="T87" s="9" t="s">
        <v>72</v>
      </c>
    </row>
    <row r="88" spans="1:20" ht="36" customHeight="1">
      <c r="A88" s="6">
        <f t="shared" si="11"/>
        <v>87</v>
      </c>
      <c r="B88" s="7" t="s">
        <v>362</v>
      </c>
      <c r="C88" s="8" t="s">
        <v>363</v>
      </c>
      <c r="D88" s="9" t="s">
        <v>26</v>
      </c>
      <c r="E88" s="10">
        <v>27457</v>
      </c>
      <c r="F88" s="11">
        <f t="shared" ca="1" si="6"/>
        <v>48.805479452054797</v>
      </c>
      <c r="G88" s="11">
        <f t="shared" si="7"/>
        <v>3</v>
      </c>
      <c r="H88" s="11">
        <f t="shared" si="8"/>
        <v>4</v>
      </c>
      <c r="I88" s="10">
        <v>39272</v>
      </c>
      <c r="J88" s="9" t="s">
        <v>132</v>
      </c>
      <c r="K88" s="9" t="s">
        <v>364</v>
      </c>
      <c r="L88" s="9" t="s">
        <v>325</v>
      </c>
      <c r="M88" s="9" t="s">
        <v>61</v>
      </c>
      <c r="N88" s="11">
        <v>6.4</v>
      </c>
      <c r="O88" s="12">
        <f t="shared" ca="1" si="9"/>
        <v>16.435616438356163</v>
      </c>
      <c r="P88" s="12">
        <f t="shared" ca="1" si="10"/>
        <v>22.835616438356162</v>
      </c>
      <c r="Q88" s="12" t="s">
        <v>68</v>
      </c>
      <c r="R88" s="9" t="s">
        <v>27</v>
      </c>
      <c r="S88" s="9" t="s">
        <v>28</v>
      </c>
      <c r="T88" s="9" t="s">
        <v>29</v>
      </c>
    </row>
    <row r="89" spans="1:20" ht="36" customHeight="1">
      <c r="A89" s="6">
        <f t="shared" si="11"/>
        <v>88</v>
      </c>
      <c r="B89" s="7" t="s">
        <v>365</v>
      </c>
      <c r="C89" s="8" t="s">
        <v>366</v>
      </c>
      <c r="D89" s="9" t="s">
        <v>26</v>
      </c>
      <c r="E89" s="10">
        <v>19293</v>
      </c>
      <c r="F89" s="11">
        <f t="shared" ca="1" si="6"/>
        <v>71.172602739726031</v>
      </c>
      <c r="G89" s="11">
        <f t="shared" si="7"/>
        <v>10</v>
      </c>
      <c r="H89" s="11">
        <f t="shared" si="8"/>
        <v>26</v>
      </c>
      <c r="I89" s="10">
        <v>39274</v>
      </c>
      <c r="J89" s="9" t="s">
        <v>367</v>
      </c>
      <c r="K89" s="9" t="s">
        <v>368</v>
      </c>
      <c r="L89" s="9" t="s">
        <v>369</v>
      </c>
      <c r="M89" s="9" t="s">
        <v>25</v>
      </c>
      <c r="N89" s="11">
        <v>37</v>
      </c>
      <c r="O89" s="12">
        <f t="shared" ca="1" si="9"/>
        <v>16.43013698630137</v>
      </c>
      <c r="P89" s="12">
        <f t="shared" ca="1" si="10"/>
        <v>53.43013698630137</v>
      </c>
      <c r="Q89" s="12" t="s">
        <v>26</v>
      </c>
      <c r="R89" s="9" t="s">
        <v>95</v>
      </c>
      <c r="S89" s="9" t="s">
        <v>28</v>
      </c>
      <c r="T89" s="9" t="s">
        <v>29</v>
      </c>
    </row>
    <row r="90" spans="1:20" ht="36" customHeight="1">
      <c r="A90" s="6">
        <f t="shared" si="11"/>
        <v>89</v>
      </c>
      <c r="B90" s="7" t="s">
        <v>370</v>
      </c>
      <c r="C90" s="8" t="s">
        <v>371</v>
      </c>
      <c r="D90" s="9" t="s">
        <v>26</v>
      </c>
      <c r="E90" s="10">
        <v>27293</v>
      </c>
      <c r="F90" s="11">
        <f t="shared" ca="1" si="6"/>
        <v>49.254794520547946</v>
      </c>
      <c r="G90" s="11">
        <f t="shared" si="7"/>
        <v>9</v>
      </c>
      <c r="H90" s="11">
        <f t="shared" si="8"/>
        <v>21</v>
      </c>
      <c r="I90" s="10">
        <v>39279</v>
      </c>
      <c r="J90" s="9" t="s">
        <v>58</v>
      </c>
      <c r="K90" s="9" t="s">
        <v>129</v>
      </c>
      <c r="L90" s="9" t="s">
        <v>52</v>
      </c>
      <c r="M90" s="9" t="s">
        <v>25</v>
      </c>
      <c r="N90" s="11">
        <v>10</v>
      </c>
      <c r="O90" s="12">
        <f t="shared" ca="1" si="9"/>
        <v>16.416438356164385</v>
      </c>
      <c r="P90" s="12">
        <f t="shared" ca="1" si="10"/>
        <v>26.416438356164385</v>
      </c>
      <c r="Q90" s="12" t="s">
        <v>26</v>
      </c>
      <c r="R90" s="9" t="s">
        <v>27</v>
      </c>
      <c r="S90" s="9" t="s">
        <v>28</v>
      </c>
      <c r="T90" s="9" t="s">
        <v>29</v>
      </c>
    </row>
    <row r="91" spans="1:20" ht="36" customHeight="1">
      <c r="A91" s="6">
        <f t="shared" si="11"/>
        <v>90</v>
      </c>
      <c r="B91" s="7" t="s">
        <v>372</v>
      </c>
      <c r="C91" s="8" t="s">
        <v>373</v>
      </c>
      <c r="D91" s="9" t="s">
        <v>26</v>
      </c>
      <c r="E91" s="10">
        <v>28620</v>
      </c>
      <c r="F91" s="11">
        <f t="shared" ca="1" si="6"/>
        <v>45.61917808219178</v>
      </c>
      <c r="G91" s="11">
        <f t="shared" si="7"/>
        <v>5</v>
      </c>
      <c r="H91" s="11">
        <f t="shared" si="8"/>
        <v>10</v>
      </c>
      <c r="I91" s="10">
        <v>39279</v>
      </c>
      <c r="J91" s="9" t="s">
        <v>58</v>
      </c>
      <c r="K91" s="9" t="s">
        <v>374</v>
      </c>
      <c r="L91" s="9" t="s">
        <v>257</v>
      </c>
      <c r="M91" s="9" t="s">
        <v>257</v>
      </c>
      <c r="N91" s="11">
        <v>8</v>
      </c>
      <c r="O91" s="12">
        <f t="shared" ca="1" si="9"/>
        <v>16.416438356164385</v>
      </c>
      <c r="P91" s="12">
        <f t="shared" ca="1" si="10"/>
        <v>24.416438356164385</v>
      </c>
      <c r="Q91" s="12" t="s">
        <v>68</v>
      </c>
      <c r="R91" s="9" t="s">
        <v>27</v>
      </c>
      <c r="S91" s="9" t="s">
        <v>28</v>
      </c>
      <c r="T91" s="9" t="s">
        <v>259</v>
      </c>
    </row>
    <row r="92" spans="1:20" ht="36" customHeight="1">
      <c r="A92" s="6">
        <f t="shared" si="11"/>
        <v>91</v>
      </c>
      <c r="B92" s="7" t="s">
        <v>375</v>
      </c>
      <c r="C92" s="8" t="s">
        <v>376</v>
      </c>
      <c r="D92" s="9" t="s">
        <v>26</v>
      </c>
      <c r="E92" s="10">
        <v>30263</v>
      </c>
      <c r="F92" s="11">
        <f t="shared" ca="1" si="6"/>
        <v>41.11780821917808</v>
      </c>
      <c r="G92" s="11">
        <f t="shared" si="7"/>
        <v>11</v>
      </c>
      <c r="H92" s="11">
        <f t="shared" si="8"/>
        <v>8</v>
      </c>
      <c r="I92" s="10">
        <v>39286</v>
      </c>
      <c r="J92" s="9" t="s">
        <v>87</v>
      </c>
      <c r="K92" s="9" t="s">
        <v>332</v>
      </c>
      <c r="L92" s="9" t="s">
        <v>377</v>
      </c>
      <c r="M92" s="9" t="s">
        <v>134</v>
      </c>
      <c r="N92" s="11">
        <v>0.8</v>
      </c>
      <c r="O92" s="12">
        <f t="shared" ca="1" si="9"/>
        <v>16.397260273972602</v>
      </c>
      <c r="P92" s="12">
        <f t="shared" ca="1" si="10"/>
        <v>17.197260273972603</v>
      </c>
      <c r="Q92" s="12" t="s">
        <v>68</v>
      </c>
      <c r="R92" s="9" t="s">
        <v>27</v>
      </c>
      <c r="S92" s="9" t="s">
        <v>36</v>
      </c>
      <c r="T92" s="9" t="s">
        <v>137</v>
      </c>
    </row>
    <row r="93" spans="1:20" ht="36" customHeight="1">
      <c r="A93" s="6">
        <f t="shared" si="11"/>
        <v>92</v>
      </c>
      <c r="B93" s="7" t="s">
        <v>378</v>
      </c>
      <c r="C93" s="17" t="s">
        <v>379</v>
      </c>
      <c r="D93" s="6" t="s">
        <v>26</v>
      </c>
      <c r="E93" s="18">
        <v>30499</v>
      </c>
      <c r="F93" s="11">
        <f t="shared" ca="1" si="6"/>
        <v>40.471232876712328</v>
      </c>
      <c r="G93" s="19">
        <f t="shared" si="7"/>
        <v>7</v>
      </c>
      <c r="H93" s="19">
        <f t="shared" si="8"/>
        <v>2</v>
      </c>
      <c r="I93" s="18">
        <v>39296</v>
      </c>
      <c r="J93" s="6" t="s">
        <v>58</v>
      </c>
      <c r="K93" s="6" t="s">
        <v>380</v>
      </c>
      <c r="L93" s="6" t="s">
        <v>180</v>
      </c>
      <c r="M93" s="9" t="s">
        <v>25</v>
      </c>
      <c r="N93" s="19">
        <v>2</v>
      </c>
      <c r="O93" s="12">
        <f t="shared" ca="1" si="9"/>
        <v>16.36986301369863</v>
      </c>
      <c r="P93" s="12">
        <f t="shared" ca="1" si="10"/>
        <v>18.36986301369863</v>
      </c>
      <c r="Q93" s="20" t="s">
        <v>26</v>
      </c>
      <c r="R93" s="6" t="s">
        <v>27</v>
      </c>
      <c r="S93" s="6" t="s">
        <v>28</v>
      </c>
      <c r="T93" s="9" t="s">
        <v>29</v>
      </c>
    </row>
    <row r="94" spans="1:20" ht="36" customHeight="1">
      <c r="A94" s="6">
        <f t="shared" si="11"/>
        <v>93</v>
      </c>
      <c r="B94" s="7" t="s">
        <v>381</v>
      </c>
      <c r="C94" s="8" t="s">
        <v>382</v>
      </c>
      <c r="D94" s="9" t="s">
        <v>26</v>
      </c>
      <c r="E94" s="10">
        <v>23447</v>
      </c>
      <c r="F94" s="11">
        <f t="shared" ca="1" si="6"/>
        <v>59.791780821917811</v>
      </c>
      <c r="G94" s="11">
        <f t="shared" si="7"/>
        <v>3</v>
      </c>
      <c r="H94" s="11">
        <f t="shared" si="8"/>
        <v>11</v>
      </c>
      <c r="I94" s="10">
        <v>39310</v>
      </c>
      <c r="J94" s="9" t="s">
        <v>226</v>
      </c>
      <c r="K94" s="9" t="s">
        <v>383</v>
      </c>
      <c r="L94" s="9" t="s">
        <v>118</v>
      </c>
      <c r="M94" s="9" t="s">
        <v>25</v>
      </c>
      <c r="N94" s="11">
        <v>18</v>
      </c>
      <c r="O94" s="12">
        <f t="shared" ca="1" si="9"/>
        <v>16.331506849315069</v>
      </c>
      <c r="P94" s="12">
        <f t="shared" ca="1" si="10"/>
        <v>34.331506849315069</v>
      </c>
      <c r="Q94" s="12" t="s">
        <v>26</v>
      </c>
      <c r="R94" s="9" t="s">
        <v>27</v>
      </c>
      <c r="S94" s="9" t="s">
        <v>28</v>
      </c>
      <c r="T94" s="9" t="s">
        <v>29</v>
      </c>
    </row>
    <row r="95" spans="1:20" ht="36" customHeight="1">
      <c r="A95" s="6">
        <f t="shared" si="11"/>
        <v>94</v>
      </c>
      <c r="B95" s="7" t="s">
        <v>384</v>
      </c>
      <c r="C95" s="8" t="s">
        <v>385</v>
      </c>
      <c r="D95" s="9" t="s">
        <v>26</v>
      </c>
      <c r="E95" s="10">
        <v>28857</v>
      </c>
      <c r="F95" s="11">
        <f t="shared" ca="1" si="6"/>
        <v>44.969863013698628</v>
      </c>
      <c r="G95" s="11">
        <f t="shared" si="7"/>
        <v>1</v>
      </c>
      <c r="H95" s="11">
        <f t="shared" si="8"/>
        <v>2</v>
      </c>
      <c r="I95" s="10">
        <v>39316</v>
      </c>
      <c r="J95" s="9" t="s">
        <v>226</v>
      </c>
      <c r="K95" s="9" t="s">
        <v>341</v>
      </c>
      <c r="L95" s="9" t="s">
        <v>34</v>
      </c>
      <c r="M95" s="9" t="s">
        <v>35</v>
      </c>
      <c r="N95" s="11">
        <v>6</v>
      </c>
      <c r="O95" s="12">
        <f t="shared" ca="1" si="9"/>
        <v>16.315068493150687</v>
      </c>
      <c r="P95" s="12">
        <f t="shared" ca="1" si="10"/>
        <v>22.315068493150687</v>
      </c>
      <c r="Q95" s="12" t="s">
        <v>68</v>
      </c>
      <c r="R95" s="9" t="s">
        <v>27</v>
      </c>
      <c r="S95" s="9" t="s">
        <v>36</v>
      </c>
      <c r="T95" s="9" t="s">
        <v>37</v>
      </c>
    </row>
    <row r="96" spans="1:20" ht="36" customHeight="1">
      <c r="A96" s="6">
        <f t="shared" si="11"/>
        <v>95</v>
      </c>
      <c r="B96" s="7" t="s">
        <v>386</v>
      </c>
      <c r="C96" s="8" t="s">
        <v>387</v>
      </c>
      <c r="D96" s="9" t="s">
        <v>26</v>
      </c>
      <c r="E96" s="10">
        <v>26405</v>
      </c>
      <c r="F96" s="11">
        <f t="shared" ca="1" si="6"/>
        <v>51.68767123287671</v>
      </c>
      <c r="G96" s="11">
        <f t="shared" si="7"/>
        <v>4</v>
      </c>
      <c r="H96" s="11">
        <f t="shared" si="8"/>
        <v>16</v>
      </c>
      <c r="I96" s="10">
        <v>39317</v>
      </c>
      <c r="J96" s="9" t="s">
        <v>22</v>
      </c>
      <c r="K96" s="9" t="s">
        <v>388</v>
      </c>
      <c r="L96" s="9" t="s">
        <v>34</v>
      </c>
      <c r="M96" s="9" t="s">
        <v>35</v>
      </c>
      <c r="N96" s="11">
        <v>8</v>
      </c>
      <c r="O96" s="12">
        <f t="shared" ca="1" si="9"/>
        <v>16.312328767123287</v>
      </c>
      <c r="P96" s="12">
        <f t="shared" ca="1" si="10"/>
        <v>24.312328767123287</v>
      </c>
      <c r="Q96" s="12" t="s">
        <v>26</v>
      </c>
      <c r="R96" s="9" t="s">
        <v>95</v>
      </c>
      <c r="S96" s="9" t="s">
        <v>36</v>
      </c>
      <c r="T96" s="9" t="s">
        <v>358</v>
      </c>
    </row>
    <row r="97" spans="1:20" ht="36" customHeight="1">
      <c r="A97" s="6">
        <f t="shared" si="11"/>
        <v>96</v>
      </c>
      <c r="B97" s="7" t="s">
        <v>390</v>
      </c>
      <c r="C97" s="8" t="s">
        <v>391</v>
      </c>
      <c r="D97" s="9" t="s">
        <v>26</v>
      </c>
      <c r="E97" s="10">
        <v>27593</v>
      </c>
      <c r="F97" s="11">
        <f t="shared" ca="1" si="6"/>
        <v>48.43287671232877</v>
      </c>
      <c r="G97" s="11">
        <f t="shared" si="7"/>
        <v>7</v>
      </c>
      <c r="H97" s="11">
        <f t="shared" si="8"/>
        <v>18</v>
      </c>
      <c r="I97" s="10">
        <v>39318</v>
      </c>
      <c r="J97" s="9" t="s">
        <v>22</v>
      </c>
      <c r="K97" s="9" t="s">
        <v>392</v>
      </c>
      <c r="L97" s="9" t="s">
        <v>393</v>
      </c>
      <c r="M97" s="9" t="s">
        <v>156</v>
      </c>
      <c r="N97" s="11">
        <v>7</v>
      </c>
      <c r="O97" s="12">
        <f t="shared" ca="1" si="9"/>
        <v>16.30958904109589</v>
      </c>
      <c r="P97" s="12">
        <f t="shared" ca="1" si="10"/>
        <v>23.30958904109589</v>
      </c>
      <c r="Q97" s="12" t="s">
        <v>26</v>
      </c>
      <c r="R97" s="9" t="s">
        <v>95</v>
      </c>
      <c r="S97" s="9" t="s">
        <v>36</v>
      </c>
      <c r="T97" s="9" t="s">
        <v>394</v>
      </c>
    </row>
    <row r="98" spans="1:20" ht="36" customHeight="1">
      <c r="A98" s="6">
        <f t="shared" si="11"/>
        <v>97</v>
      </c>
      <c r="B98" s="7" t="s">
        <v>395</v>
      </c>
      <c r="C98" s="8" t="s">
        <v>396</v>
      </c>
      <c r="D98" s="9" t="s">
        <v>26</v>
      </c>
      <c r="E98" s="10">
        <v>27415</v>
      </c>
      <c r="F98" s="11">
        <f t="shared" ca="1" si="6"/>
        <v>48.920547945205477</v>
      </c>
      <c r="G98" s="11">
        <f t="shared" si="7"/>
        <v>1</v>
      </c>
      <c r="H98" s="11">
        <f t="shared" si="8"/>
        <v>21</v>
      </c>
      <c r="I98" s="10">
        <v>39318</v>
      </c>
      <c r="J98" s="9" t="s">
        <v>45</v>
      </c>
      <c r="K98" s="9" t="s">
        <v>42</v>
      </c>
      <c r="L98" s="9" t="s">
        <v>34</v>
      </c>
      <c r="M98" s="9" t="s">
        <v>35</v>
      </c>
      <c r="N98" s="11">
        <v>11</v>
      </c>
      <c r="O98" s="12">
        <f t="shared" ca="1" si="9"/>
        <v>16.30958904109589</v>
      </c>
      <c r="P98" s="12">
        <f t="shared" ca="1" si="10"/>
        <v>27.30958904109589</v>
      </c>
      <c r="Q98" s="12" t="s">
        <v>26</v>
      </c>
      <c r="R98" s="9" t="s">
        <v>95</v>
      </c>
      <c r="S98" s="9" t="s">
        <v>36</v>
      </c>
      <c r="T98" s="9" t="s">
        <v>394</v>
      </c>
    </row>
    <row r="99" spans="1:20" ht="36" customHeight="1">
      <c r="A99" s="6">
        <f t="shared" si="11"/>
        <v>98</v>
      </c>
      <c r="B99" s="7" t="s">
        <v>397</v>
      </c>
      <c r="C99" s="8" t="s">
        <v>398</v>
      </c>
      <c r="D99" s="9" t="s">
        <v>26</v>
      </c>
      <c r="E99" s="10">
        <v>22151</v>
      </c>
      <c r="F99" s="11">
        <f t="shared" ca="1" si="6"/>
        <v>63.342465753424655</v>
      </c>
      <c r="G99" s="11">
        <f t="shared" si="7"/>
        <v>8</v>
      </c>
      <c r="H99" s="11">
        <f t="shared" si="8"/>
        <v>23</v>
      </c>
      <c r="I99" s="10">
        <v>39345</v>
      </c>
      <c r="J99" s="9" t="s">
        <v>318</v>
      </c>
      <c r="K99" s="9" t="s">
        <v>399</v>
      </c>
      <c r="L99" s="9" t="s">
        <v>60</v>
      </c>
      <c r="M99" s="9" t="s">
        <v>35</v>
      </c>
      <c r="N99" s="11">
        <v>22.7</v>
      </c>
      <c r="O99" s="12">
        <f t="shared" ca="1" si="9"/>
        <v>16.235616438356164</v>
      </c>
      <c r="P99" s="12">
        <f t="shared" ca="1" si="10"/>
        <v>38.935616438356163</v>
      </c>
      <c r="Q99" s="12" t="s">
        <v>26</v>
      </c>
      <c r="R99" s="9" t="s">
        <v>27</v>
      </c>
      <c r="S99" s="9" t="s">
        <v>28</v>
      </c>
      <c r="T99" s="9" t="s">
        <v>29</v>
      </c>
    </row>
    <row r="100" spans="1:20" ht="36" customHeight="1">
      <c r="A100" s="6">
        <f t="shared" si="11"/>
        <v>99</v>
      </c>
      <c r="B100" s="7" t="s">
        <v>400</v>
      </c>
      <c r="C100" s="8" t="s">
        <v>401</v>
      </c>
      <c r="D100" s="9" t="s">
        <v>26</v>
      </c>
      <c r="E100" s="10">
        <v>27439</v>
      </c>
      <c r="F100" s="11">
        <f t="shared" ca="1" si="6"/>
        <v>48.854794520547948</v>
      </c>
      <c r="G100" s="11">
        <f t="shared" si="7"/>
        <v>2</v>
      </c>
      <c r="H100" s="11">
        <f t="shared" si="8"/>
        <v>14</v>
      </c>
      <c r="I100" s="10">
        <v>39349</v>
      </c>
      <c r="J100" s="9" t="s">
        <v>132</v>
      </c>
      <c r="K100" s="9" t="s">
        <v>402</v>
      </c>
      <c r="L100" s="9" t="s">
        <v>263</v>
      </c>
      <c r="M100" s="9" t="s">
        <v>25</v>
      </c>
      <c r="N100" s="11">
        <v>6</v>
      </c>
      <c r="O100" s="12">
        <f t="shared" ca="1" si="9"/>
        <v>16.224657534246575</v>
      </c>
      <c r="P100" s="12">
        <f t="shared" ca="1" si="10"/>
        <v>22.224657534246575</v>
      </c>
      <c r="Q100" s="12" t="s">
        <v>26</v>
      </c>
      <c r="R100" s="9" t="s">
        <v>27</v>
      </c>
      <c r="S100" s="9" t="s">
        <v>28</v>
      </c>
      <c r="T100" s="9" t="s">
        <v>29</v>
      </c>
    </row>
    <row r="101" spans="1:20" ht="36" customHeight="1">
      <c r="A101" s="6">
        <f t="shared" si="11"/>
        <v>100</v>
      </c>
      <c r="B101" s="7" t="s">
        <v>403</v>
      </c>
      <c r="C101" s="8" t="s">
        <v>404</v>
      </c>
      <c r="D101" s="9" t="s">
        <v>26</v>
      </c>
      <c r="E101" s="10">
        <v>29056</v>
      </c>
      <c r="F101" s="11">
        <f t="shared" ca="1" si="6"/>
        <v>44.424657534246577</v>
      </c>
      <c r="G101" s="11">
        <f t="shared" si="7"/>
        <v>7</v>
      </c>
      <c r="H101" s="11">
        <f t="shared" si="8"/>
        <v>20</v>
      </c>
      <c r="I101" s="10">
        <v>39351</v>
      </c>
      <c r="J101" s="9" t="s">
        <v>58</v>
      </c>
      <c r="K101" s="9" t="s">
        <v>79</v>
      </c>
      <c r="L101" s="9" t="s">
        <v>329</v>
      </c>
      <c r="M101" s="9" t="s">
        <v>134</v>
      </c>
      <c r="N101" s="11">
        <v>7</v>
      </c>
      <c r="O101" s="12">
        <f t="shared" ca="1" si="9"/>
        <v>16.219178082191782</v>
      </c>
      <c r="P101" s="12">
        <f t="shared" ca="1" si="10"/>
        <v>23.219178082191782</v>
      </c>
      <c r="Q101" s="12" t="s">
        <v>26</v>
      </c>
      <c r="R101" s="9" t="s">
        <v>27</v>
      </c>
      <c r="S101" s="9" t="s">
        <v>28</v>
      </c>
      <c r="T101" s="9" t="s">
        <v>29</v>
      </c>
    </row>
    <row r="102" spans="1:20" ht="36" customHeight="1">
      <c r="A102" s="6">
        <f t="shared" si="11"/>
        <v>101</v>
      </c>
      <c r="B102" s="7" t="s">
        <v>405</v>
      </c>
      <c r="C102" s="8" t="s">
        <v>406</v>
      </c>
      <c r="D102" s="9" t="s">
        <v>21</v>
      </c>
      <c r="E102" s="10">
        <v>26088</v>
      </c>
      <c r="F102" s="11">
        <f t="shared" ca="1" si="6"/>
        <v>52.556164383561644</v>
      </c>
      <c r="G102" s="11">
        <f t="shared" si="7"/>
        <v>6</v>
      </c>
      <c r="H102" s="11">
        <f t="shared" si="8"/>
        <v>4</v>
      </c>
      <c r="I102" s="10">
        <v>39365</v>
      </c>
      <c r="J102" s="9" t="s">
        <v>50</v>
      </c>
      <c r="K102" s="9" t="s">
        <v>159</v>
      </c>
      <c r="L102" s="9" t="s">
        <v>127</v>
      </c>
      <c r="M102" s="9" t="s">
        <v>134</v>
      </c>
      <c r="N102" s="11">
        <v>16</v>
      </c>
      <c r="O102" s="12">
        <f t="shared" ca="1" si="9"/>
        <v>16.18082191780822</v>
      </c>
      <c r="P102" s="12">
        <f t="shared" ca="1" si="10"/>
        <v>32.180821917808217</v>
      </c>
      <c r="Q102" s="12" t="s">
        <v>26</v>
      </c>
      <c r="R102" s="9" t="s">
        <v>27</v>
      </c>
      <c r="S102" s="9" t="s">
        <v>28</v>
      </c>
      <c r="T102" s="9" t="s">
        <v>29</v>
      </c>
    </row>
    <row r="103" spans="1:20" ht="36" customHeight="1">
      <c r="A103" s="6">
        <f t="shared" si="11"/>
        <v>102</v>
      </c>
      <c r="B103" s="7" t="s">
        <v>407</v>
      </c>
      <c r="C103" s="8" t="s">
        <v>408</v>
      </c>
      <c r="D103" s="9" t="s">
        <v>26</v>
      </c>
      <c r="E103" s="10">
        <v>24626</v>
      </c>
      <c r="F103" s="11">
        <f t="shared" ca="1" si="6"/>
        <v>56.561643835616437</v>
      </c>
      <c r="G103" s="11">
        <f t="shared" si="7"/>
        <v>6</v>
      </c>
      <c r="H103" s="11">
        <f t="shared" si="8"/>
        <v>3</v>
      </c>
      <c r="I103" s="10">
        <v>39377</v>
      </c>
      <c r="J103" s="9" t="s">
        <v>318</v>
      </c>
      <c r="K103" s="9" t="s">
        <v>409</v>
      </c>
      <c r="L103" s="9" t="s">
        <v>34</v>
      </c>
      <c r="M103" s="9" t="s">
        <v>156</v>
      </c>
      <c r="N103" s="11">
        <v>18</v>
      </c>
      <c r="O103" s="12">
        <f t="shared" ca="1" si="9"/>
        <v>16.147945205479452</v>
      </c>
      <c r="P103" s="12">
        <f t="shared" ca="1" si="10"/>
        <v>34.147945205479452</v>
      </c>
      <c r="Q103" s="12" t="s">
        <v>26</v>
      </c>
      <c r="R103" s="9" t="s">
        <v>27</v>
      </c>
      <c r="S103" s="9" t="s">
        <v>28</v>
      </c>
      <c r="T103" s="9" t="s">
        <v>29</v>
      </c>
    </row>
    <row r="104" spans="1:20" ht="36" customHeight="1">
      <c r="A104" s="6">
        <f t="shared" si="11"/>
        <v>103</v>
      </c>
      <c r="B104" s="7" t="s">
        <v>410</v>
      </c>
      <c r="C104" s="8" t="s">
        <v>411</v>
      </c>
      <c r="D104" s="9" t="s">
        <v>26</v>
      </c>
      <c r="E104" s="10">
        <v>21838</v>
      </c>
      <c r="F104" s="11">
        <f t="shared" ca="1" si="6"/>
        <v>64.2</v>
      </c>
      <c r="G104" s="11">
        <f t="shared" si="7"/>
        <v>10</v>
      </c>
      <c r="H104" s="11">
        <f t="shared" si="8"/>
        <v>15</v>
      </c>
      <c r="I104" s="10">
        <v>39356</v>
      </c>
      <c r="J104" s="9" t="s">
        <v>110</v>
      </c>
      <c r="K104" s="9" t="s">
        <v>412</v>
      </c>
      <c r="L104" s="9" t="s">
        <v>107</v>
      </c>
      <c r="M104" s="9" t="s">
        <v>35</v>
      </c>
      <c r="N104" s="11">
        <v>12</v>
      </c>
      <c r="O104" s="12">
        <f t="shared" ca="1" si="9"/>
        <v>16.205479452054796</v>
      </c>
      <c r="P104" s="12">
        <f t="shared" ca="1" si="10"/>
        <v>28.205479452054796</v>
      </c>
      <c r="Q104" s="12" t="s">
        <v>26</v>
      </c>
      <c r="R104" s="9" t="s">
        <v>27</v>
      </c>
      <c r="S104" s="9" t="s">
        <v>36</v>
      </c>
      <c r="T104" s="9" t="s">
        <v>37</v>
      </c>
    </row>
    <row r="105" spans="1:20" ht="36" customHeight="1">
      <c r="A105" s="6">
        <f t="shared" si="11"/>
        <v>104</v>
      </c>
      <c r="B105" s="7" t="s">
        <v>413</v>
      </c>
      <c r="C105" s="8" t="s">
        <v>414</v>
      </c>
      <c r="D105" s="9" t="s">
        <v>26</v>
      </c>
      <c r="E105" s="10">
        <v>30093</v>
      </c>
      <c r="F105" s="11">
        <f t="shared" ca="1" si="6"/>
        <v>41.583561643835615</v>
      </c>
      <c r="G105" s="11">
        <f t="shared" si="7"/>
        <v>5</v>
      </c>
      <c r="H105" s="11">
        <f t="shared" si="8"/>
        <v>22</v>
      </c>
      <c r="I105" s="10">
        <v>39387</v>
      </c>
      <c r="J105" s="9" t="s">
        <v>110</v>
      </c>
      <c r="K105" s="9" t="s">
        <v>415</v>
      </c>
      <c r="L105" s="9" t="s">
        <v>34</v>
      </c>
      <c r="M105" s="9" t="s">
        <v>165</v>
      </c>
      <c r="N105" s="11">
        <v>1</v>
      </c>
      <c r="O105" s="12">
        <f t="shared" ca="1" si="9"/>
        <v>16.12054794520548</v>
      </c>
      <c r="P105" s="12">
        <f t="shared" ca="1" si="10"/>
        <v>17.12054794520548</v>
      </c>
      <c r="Q105" s="12" t="s">
        <v>26</v>
      </c>
      <c r="R105" s="9" t="s">
        <v>27</v>
      </c>
      <c r="S105" s="9" t="s">
        <v>36</v>
      </c>
      <c r="T105" s="9" t="s">
        <v>37</v>
      </c>
    </row>
    <row r="106" spans="1:20" ht="36" customHeight="1">
      <c r="A106" s="6">
        <f t="shared" si="11"/>
        <v>105</v>
      </c>
      <c r="B106" s="7" t="s">
        <v>416</v>
      </c>
      <c r="C106" s="8" t="s">
        <v>417</v>
      </c>
      <c r="D106" s="9" t="s">
        <v>26</v>
      </c>
      <c r="E106" s="10">
        <v>30030</v>
      </c>
      <c r="F106" s="11">
        <f t="shared" ca="1" si="6"/>
        <v>41.756164383561647</v>
      </c>
      <c r="G106" s="11">
        <f t="shared" si="7"/>
        <v>3</v>
      </c>
      <c r="H106" s="11">
        <f t="shared" si="8"/>
        <v>20</v>
      </c>
      <c r="I106" s="10">
        <v>39387</v>
      </c>
      <c r="J106" s="9" t="s">
        <v>87</v>
      </c>
      <c r="K106" s="9" t="s">
        <v>418</v>
      </c>
      <c r="L106" s="9" t="s">
        <v>147</v>
      </c>
      <c r="M106" s="9" t="s">
        <v>134</v>
      </c>
      <c r="N106" s="11">
        <v>3</v>
      </c>
      <c r="O106" s="12">
        <f t="shared" ca="1" si="9"/>
        <v>16.12054794520548</v>
      </c>
      <c r="P106" s="12">
        <f t="shared" ca="1" si="10"/>
        <v>19.12054794520548</v>
      </c>
      <c r="Q106" s="12" t="s">
        <v>68</v>
      </c>
      <c r="R106" s="9" t="s">
        <v>27</v>
      </c>
      <c r="S106" s="9" t="s">
        <v>28</v>
      </c>
      <c r="T106" s="9" t="s">
        <v>29</v>
      </c>
    </row>
    <row r="107" spans="1:20" ht="36" customHeight="1">
      <c r="A107" s="6">
        <f t="shared" si="11"/>
        <v>106</v>
      </c>
      <c r="B107" s="7" t="s">
        <v>419</v>
      </c>
      <c r="C107" s="8" t="s">
        <v>420</v>
      </c>
      <c r="D107" s="9" t="s">
        <v>26</v>
      </c>
      <c r="E107" s="10">
        <v>20539</v>
      </c>
      <c r="F107" s="11">
        <f t="shared" ca="1" si="6"/>
        <v>67.758904109589039</v>
      </c>
      <c r="G107" s="11">
        <f t="shared" si="7"/>
        <v>3</v>
      </c>
      <c r="H107" s="11">
        <f t="shared" si="8"/>
        <v>25</v>
      </c>
      <c r="I107" s="10">
        <v>39402</v>
      </c>
      <c r="J107" s="9" t="s">
        <v>140</v>
      </c>
      <c r="K107" s="9" t="s">
        <v>421</v>
      </c>
      <c r="L107" s="9" t="s">
        <v>89</v>
      </c>
      <c r="M107" s="9" t="s">
        <v>156</v>
      </c>
      <c r="N107" s="11">
        <v>27</v>
      </c>
      <c r="O107" s="12">
        <f t="shared" ca="1" si="9"/>
        <v>16.079452054794519</v>
      </c>
      <c r="P107" s="12">
        <f t="shared" ca="1" si="10"/>
        <v>43.079452054794515</v>
      </c>
      <c r="Q107" s="12" t="s">
        <v>26</v>
      </c>
      <c r="R107" s="9" t="s">
        <v>27</v>
      </c>
      <c r="S107" s="9" t="s">
        <v>28</v>
      </c>
      <c r="T107" s="9" t="s">
        <v>29</v>
      </c>
    </row>
    <row r="108" spans="1:20" ht="36" customHeight="1">
      <c r="A108" s="6">
        <f t="shared" si="11"/>
        <v>107</v>
      </c>
      <c r="B108" s="7" t="s">
        <v>423</v>
      </c>
      <c r="C108" s="8" t="s">
        <v>424</v>
      </c>
      <c r="D108" s="9" t="s">
        <v>26</v>
      </c>
      <c r="E108" s="10">
        <v>31062</v>
      </c>
      <c r="F108" s="11">
        <f t="shared" ca="1" si="6"/>
        <v>38.92876712328767</v>
      </c>
      <c r="G108" s="11">
        <f t="shared" si="7"/>
        <v>1</v>
      </c>
      <c r="H108" s="11">
        <f t="shared" si="8"/>
        <v>15</v>
      </c>
      <c r="I108" s="10">
        <v>39405</v>
      </c>
      <c r="J108" s="9" t="s">
        <v>22</v>
      </c>
      <c r="K108" s="9" t="s">
        <v>425</v>
      </c>
      <c r="L108" s="9" t="s">
        <v>128</v>
      </c>
      <c r="M108" s="9" t="s">
        <v>35</v>
      </c>
      <c r="N108" s="11">
        <v>0</v>
      </c>
      <c r="O108" s="12">
        <f t="shared" ca="1" si="9"/>
        <v>16.07123287671233</v>
      </c>
      <c r="P108" s="12">
        <f t="shared" ca="1" si="10"/>
        <v>16.07123287671233</v>
      </c>
      <c r="Q108" s="12" t="s">
        <v>26</v>
      </c>
      <c r="R108" s="9" t="s">
        <v>27</v>
      </c>
      <c r="S108" s="9" t="s">
        <v>28</v>
      </c>
      <c r="T108" s="9" t="s">
        <v>29</v>
      </c>
    </row>
    <row r="109" spans="1:20" ht="36" customHeight="1">
      <c r="A109" s="6">
        <f t="shared" si="11"/>
        <v>108</v>
      </c>
      <c r="B109" s="7" t="s">
        <v>426</v>
      </c>
      <c r="C109" s="8" t="s">
        <v>427</v>
      </c>
      <c r="D109" s="9" t="s">
        <v>26</v>
      </c>
      <c r="E109" s="10">
        <v>27760</v>
      </c>
      <c r="F109" s="11">
        <f t="shared" ca="1" si="6"/>
        <v>47.975342465753428</v>
      </c>
      <c r="G109" s="11">
        <f t="shared" si="7"/>
        <v>1</v>
      </c>
      <c r="H109" s="11">
        <f t="shared" si="8"/>
        <v>1</v>
      </c>
      <c r="I109" s="10">
        <v>39421</v>
      </c>
      <c r="J109" s="9" t="s">
        <v>132</v>
      </c>
      <c r="K109" s="9" t="s">
        <v>428</v>
      </c>
      <c r="L109" s="9" t="s">
        <v>377</v>
      </c>
      <c r="M109" s="9" t="s">
        <v>134</v>
      </c>
      <c r="N109" s="11">
        <v>10</v>
      </c>
      <c r="O109" s="12">
        <f t="shared" ca="1" si="9"/>
        <v>16.027397260273972</v>
      </c>
      <c r="P109" s="12">
        <f t="shared" ca="1" si="10"/>
        <v>26.027397260273972</v>
      </c>
      <c r="Q109" s="12" t="s">
        <v>26</v>
      </c>
      <c r="R109" s="9" t="s">
        <v>27</v>
      </c>
      <c r="S109" s="9" t="s">
        <v>36</v>
      </c>
      <c r="T109" s="9" t="s">
        <v>137</v>
      </c>
    </row>
    <row r="110" spans="1:20" ht="36" customHeight="1">
      <c r="A110" s="6">
        <f t="shared" si="11"/>
        <v>109</v>
      </c>
      <c r="B110" s="7" t="s">
        <v>430</v>
      </c>
      <c r="C110" s="8" t="s">
        <v>431</v>
      </c>
      <c r="D110" s="9" t="s">
        <v>26</v>
      </c>
      <c r="E110" s="10">
        <v>25465</v>
      </c>
      <c r="F110" s="11">
        <f t="shared" ca="1" si="6"/>
        <v>54.263013698630139</v>
      </c>
      <c r="G110" s="11">
        <f t="shared" si="7"/>
        <v>9</v>
      </c>
      <c r="H110" s="11">
        <f t="shared" si="8"/>
        <v>19</v>
      </c>
      <c r="I110" s="10">
        <v>39435</v>
      </c>
      <c r="J110" s="9" t="s">
        <v>132</v>
      </c>
      <c r="K110" s="9" t="s">
        <v>432</v>
      </c>
      <c r="L110" s="9" t="s">
        <v>127</v>
      </c>
      <c r="M110" s="9" t="s">
        <v>25</v>
      </c>
      <c r="N110" s="11">
        <v>17</v>
      </c>
      <c r="O110" s="12">
        <f t="shared" ca="1" si="9"/>
        <v>15.989041095890411</v>
      </c>
      <c r="P110" s="12">
        <f t="shared" ca="1" si="10"/>
        <v>32.989041095890414</v>
      </c>
      <c r="Q110" s="12" t="s">
        <v>26</v>
      </c>
      <c r="R110" s="9" t="s">
        <v>27</v>
      </c>
      <c r="S110" s="9" t="s">
        <v>28</v>
      </c>
      <c r="T110" s="9" t="s">
        <v>433</v>
      </c>
    </row>
    <row r="111" spans="1:20" ht="36" customHeight="1">
      <c r="A111" s="6">
        <f t="shared" si="11"/>
        <v>110</v>
      </c>
      <c r="B111" s="7" t="s">
        <v>434</v>
      </c>
      <c r="C111" s="8" t="s">
        <v>435</v>
      </c>
      <c r="D111" s="9" t="s">
        <v>26</v>
      </c>
      <c r="E111" s="10">
        <v>28617</v>
      </c>
      <c r="F111" s="11">
        <f t="shared" ca="1" si="6"/>
        <v>45.627397260273973</v>
      </c>
      <c r="G111" s="11">
        <f t="shared" si="7"/>
        <v>5</v>
      </c>
      <c r="H111" s="11">
        <f t="shared" si="8"/>
        <v>7</v>
      </c>
      <c r="I111" s="10">
        <v>39442</v>
      </c>
      <c r="J111" s="9" t="s">
        <v>50</v>
      </c>
      <c r="K111" s="9" t="s">
        <v>146</v>
      </c>
      <c r="L111" s="9" t="s">
        <v>147</v>
      </c>
      <c r="M111" s="9" t="s">
        <v>25</v>
      </c>
      <c r="N111" s="11">
        <v>7</v>
      </c>
      <c r="O111" s="12">
        <f t="shared" ca="1" si="9"/>
        <v>15.96986301369863</v>
      </c>
      <c r="P111" s="12">
        <f t="shared" ca="1" si="10"/>
        <v>22.969863013698628</v>
      </c>
      <c r="Q111" s="12" t="s">
        <v>26</v>
      </c>
      <c r="R111" s="9" t="s">
        <v>27</v>
      </c>
      <c r="S111" s="9" t="s">
        <v>28</v>
      </c>
      <c r="T111" s="9" t="s">
        <v>29</v>
      </c>
    </row>
    <row r="112" spans="1:20" ht="36" customHeight="1">
      <c r="A112" s="6">
        <f t="shared" si="11"/>
        <v>111</v>
      </c>
      <c r="B112" s="7" t="s">
        <v>436</v>
      </c>
      <c r="C112" s="8" t="s">
        <v>437</v>
      </c>
      <c r="D112" s="9" t="s">
        <v>21</v>
      </c>
      <c r="E112" s="10">
        <v>31678</v>
      </c>
      <c r="F112" s="11">
        <f t="shared" ca="1" si="6"/>
        <v>37.241095890410961</v>
      </c>
      <c r="G112" s="11">
        <f t="shared" si="7"/>
        <v>9</v>
      </c>
      <c r="H112" s="11">
        <f t="shared" si="8"/>
        <v>23</v>
      </c>
      <c r="I112" s="10">
        <v>39448</v>
      </c>
      <c r="J112" s="9" t="s">
        <v>110</v>
      </c>
      <c r="K112" s="9" t="s">
        <v>438</v>
      </c>
      <c r="L112" s="9" t="s">
        <v>220</v>
      </c>
      <c r="M112" s="9" t="s">
        <v>25</v>
      </c>
      <c r="N112" s="11">
        <v>0</v>
      </c>
      <c r="O112" s="12">
        <f t="shared" ca="1" si="9"/>
        <v>15.953424657534246</v>
      </c>
      <c r="P112" s="12">
        <f t="shared" ca="1" si="10"/>
        <v>15.953424657534246</v>
      </c>
      <c r="Q112" s="12" t="s">
        <v>68</v>
      </c>
      <c r="R112" s="9" t="s">
        <v>27</v>
      </c>
      <c r="S112" s="9" t="s">
        <v>28</v>
      </c>
      <c r="T112" s="9" t="s">
        <v>29</v>
      </c>
    </row>
    <row r="113" spans="1:20" ht="36" customHeight="1">
      <c r="A113" s="6">
        <f t="shared" si="11"/>
        <v>112</v>
      </c>
      <c r="B113" s="7" t="s">
        <v>439</v>
      </c>
      <c r="C113" s="8" t="s">
        <v>440</v>
      </c>
      <c r="D113" s="9" t="s">
        <v>26</v>
      </c>
      <c r="E113" s="10">
        <v>28982</v>
      </c>
      <c r="F113" s="11">
        <f t="shared" ca="1" si="6"/>
        <v>44.627397260273973</v>
      </c>
      <c r="G113" s="11">
        <f t="shared" si="7"/>
        <v>5</v>
      </c>
      <c r="H113" s="11">
        <f t="shared" si="8"/>
        <v>7</v>
      </c>
      <c r="I113" s="10">
        <v>39449</v>
      </c>
      <c r="J113" s="9" t="s">
        <v>110</v>
      </c>
      <c r="K113" s="9" t="s">
        <v>441</v>
      </c>
      <c r="L113" s="9" t="s">
        <v>60</v>
      </c>
      <c r="M113" s="9" t="s">
        <v>134</v>
      </c>
      <c r="N113" s="11">
        <v>5.5</v>
      </c>
      <c r="O113" s="12">
        <f t="shared" ca="1" si="9"/>
        <v>15.950684931506849</v>
      </c>
      <c r="P113" s="12">
        <f t="shared" ca="1" si="10"/>
        <v>21.450684931506849</v>
      </c>
      <c r="Q113" s="12" t="s">
        <v>26</v>
      </c>
      <c r="R113" s="9" t="s">
        <v>442</v>
      </c>
      <c r="S113" s="9" t="s">
        <v>36</v>
      </c>
      <c r="T113" s="9" t="s">
        <v>137</v>
      </c>
    </row>
    <row r="114" spans="1:20" ht="36" customHeight="1">
      <c r="A114" s="6">
        <f t="shared" si="11"/>
        <v>113</v>
      </c>
      <c r="B114" s="7" t="s">
        <v>443</v>
      </c>
      <c r="C114" s="8" t="s">
        <v>444</v>
      </c>
      <c r="D114" s="9" t="s">
        <v>26</v>
      </c>
      <c r="E114" s="10">
        <v>25356</v>
      </c>
      <c r="F114" s="11">
        <f t="shared" ca="1" si="6"/>
        <v>54.561643835616437</v>
      </c>
      <c r="G114" s="11">
        <f t="shared" si="7"/>
        <v>6</v>
      </c>
      <c r="H114" s="11">
        <f t="shared" si="8"/>
        <v>2</v>
      </c>
      <c r="I114" s="10">
        <v>39479</v>
      </c>
      <c r="J114" s="9" t="s">
        <v>132</v>
      </c>
      <c r="K114" s="9" t="s">
        <v>445</v>
      </c>
      <c r="L114" s="9" t="s">
        <v>147</v>
      </c>
      <c r="M114" s="9" t="s">
        <v>134</v>
      </c>
      <c r="N114" s="11">
        <v>10</v>
      </c>
      <c r="O114" s="12">
        <f t="shared" ca="1" si="9"/>
        <v>15.868493150684932</v>
      </c>
      <c r="P114" s="12">
        <f t="shared" ca="1" si="10"/>
        <v>25.868493150684934</v>
      </c>
      <c r="Q114" s="12" t="s">
        <v>26</v>
      </c>
      <c r="R114" s="9" t="s">
        <v>442</v>
      </c>
      <c r="S114" s="9" t="s">
        <v>36</v>
      </c>
      <c r="T114" s="9" t="s">
        <v>137</v>
      </c>
    </row>
    <row r="115" spans="1:20" ht="36" customHeight="1">
      <c r="A115" s="6">
        <f t="shared" si="11"/>
        <v>114</v>
      </c>
      <c r="B115" s="7" t="s">
        <v>446</v>
      </c>
      <c r="C115" s="8" t="s">
        <v>447</v>
      </c>
      <c r="D115" s="9" t="s">
        <v>26</v>
      </c>
      <c r="E115" s="10">
        <v>28371</v>
      </c>
      <c r="F115" s="11">
        <f t="shared" ca="1" si="6"/>
        <v>46.301369863013697</v>
      </c>
      <c r="G115" s="11">
        <f t="shared" si="7"/>
        <v>9</v>
      </c>
      <c r="H115" s="11">
        <f t="shared" si="8"/>
        <v>3</v>
      </c>
      <c r="I115" s="10">
        <v>39508</v>
      </c>
      <c r="J115" s="9" t="s">
        <v>87</v>
      </c>
      <c r="K115" s="9" t="s">
        <v>332</v>
      </c>
      <c r="L115" s="9" t="s">
        <v>34</v>
      </c>
      <c r="M115" s="9" t="s">
        <v>35</v>
      </c>
      <c r="N115" s="11">
        <v>8</v>
      </c>
      <c r="O115" s="12">
        <f t="shared" ca="1" si="9"/>
        <v>15.789041095890411</v>
      </c>
      <c r="P115" s="12">
        <f t="shared" ca="1" si="10"/>
        <v>23.789041095890411</v>
      </c>
      <c r="Q115" s="12" t="s">
        <v>68</v>
      </c>
      <c r="R115" s="9" t="s">
        <v>442</v>
      </c>
      <c r="S115" s="9" t="s">
        <v>36</v>
      </c>
      <c r="T115" s="9" t="s">
        <v>137</v>
      </c>
    </row>
    <row r="116" spans="1:20" ht="36" customHeight="1">
      <c r="A116" s="6">
        <f t="shared" si="11"/>
        <v>115</v>
      </c>
      <c r="B116" s="7" t="s">
        <v>448</v>
      </c>
      <c r="C116" s="8" t="s">
        <v>449</v>
      </c>
      <c r="D116" s="9" t="s">
        <v>26</v>
      </c>
      <c r="E116" s="10">
        <v>28575</v>
      </c>
      <c r="F116" s="11">
        <f t="shared" ca="1" si="6"/>
        <v>45.742465753424661</v>
      </c>
      <c r="G116" s="11">
        <f t="shared" si="7"/>
        <v>3</v>
      </c>
      <c r="H116" s="11">
        <f t="shared" si="8"/>
        <v>26</v>
      </c>
      <c r="I116" s="10">
        <v>39508</v>
      </c>
      <c r="J116" s="9" t="s">
        <v>87</v>
      </c>
      <c r="K116" s="9" t="s">
        <v>244</v>
      </c>
      <c r="L116" s="9" t="s">
        <v>24</v>
      </c>
      <c r="M116" s="9" t="s">
        <v>134</v>
      </c>
      <c r="N116" s="11">
        <v>4</v>
      </c>
      <c r="O116" s="12">
        <f t="shared" ca="1" si="9"/>
        <v>15.789041095890411</v>
      </c>
      <c r="P116" s="12">
        <f t="shared" ca="1" si="10"/>
        <v>19.789041095890411</v>
      </c>
      <c r="Q116" s="12" t="s">
        <v>26</v>
      </c>
      <c r="R116" s="9" t="s">
        <v>442</v>
      </c>
      <c r="S116" s="9" t="s">
        <v>36</v>
      </c>
      <c r="T116" s="9" t="s">
        <v>137</v>
      </c>
    </row>
    <row r="117" spans="1:20" ht="36" customHeight="1">
      <c r="A117" s="6">
        <f t="shared" si="11"/>
        <v>116</v>
      </c>
      <c r="B117" s="7" t="s">
        <v>450</v>
      </c>
      <c r="C117" s="8" t="s">
        <v>451</v>
      </c>
      <c r="D117" s="9" t="s">
        <v>21</v>
      </c>
      <c r="E117" s="10">
        <v>29569</v>
      </c>
      <c r="F117" s="11">
        <f t="shared" ca="1" si="6"/>
        <v>43.019178082191779</v>
      </c>
      <c r="G117" s="11">
        <f t="shared" si="7"/>
        <v>12</v>
      </c>
      <c r="H117" s="11">
        <f t="shared" si="8"/>
        <v>14</v>
      </c>
      <c r="I117" s="10">
        <v>39512</v>
      </c>
      <c r="J117" s="9" t="s">
        <v>110</v>
      </c>
      <c r="K117" s="9" t="s">
        <v>452</v>
      </c>
      <c r="L117" s="9" t="s">
        <v>34</v>
      </c>
      <c r="M117" s="9" t="s">
        <v>61</v>
      </c>
      <c r="N117" s="11">
        <v>4</v>
      </c>
      <c r="O117" s="12">
        <f t="shared" ca="1" si="9"/>
        <v>15.778082191780822</v>
      </c>
      <c r="P117" s="12">
        <f t="shared" ca="1" si="10"/>
        <v>19.778082191780822</v>
      </c>
      <c r="Q117" s="12" t="s">
        <v>26</v>
      </c>
      <c r="R117" s="9" t="s">
        <v>27</v>
      </c>
      <c r="S117" s="9" t="s">
        <v>28</v>
      </c>
      <c r="T117" s="9" t="s">
        <v>29</v>
      </c>
    </row>
    <row r="118" spans="1:20" ht="36" customHeight="1">
      <c r="A118" s="6">
        <f t="shared" si="11"/>
        <v>117</v>
      </c>
      <c r="B118" s="7" t="s">
        <v>453</v>
      </c>
      <c r="C118" s="8" t="s">
        <v>454</v>
      </c>
      <c r="D118" s="9" t="s">
        <v>26</v>
      </c>
      <c r="E118" s="10">
        <v>24999</v>
      </c>
      <c r="F118" s="11">
        <f t="shared" ca="1" si="6"/>
        <v>55.539726027397258</v>
      </c>
      <c r="G118" s="11">
        <f t="shared" si="7"/>
        <v>6</v>
      </c>
      <c r="H118" s="11">
        <f t="shared" si="8"/>
        <v>10</v>
      </c>
      <c r="I118" s="10">
        <v>39512</v>
      </c>
      <c r="J118" s="9" t="s">
        <v>22</v>
      </c>
      <c r="K118" s="9" t="s">
        <v>266</v>
      </c>
      <c r="L118" s="9" t="s">
        <v>34</v>
      </c>
      <c r="M118" s="9" t="s">
        <v>61</v>
      </c>
      <c r="N118" s="11">
        <v>17</v>
      </c>
      <c r="O118" s="12">
        <f t="shared" ca="1" si="9"/>
        <v>15.778082191780822</v>
      </c>
      <c r="P118" s="12">
        <f t="shared" ca="1" si="10"/>
        <v>32.778082191780825</v>
      </c>
      <c r="Q118" s="12" t="s">
        <v>26</v>
      </c>
      <c r="R118" s="9" t="s">
        <v>95</v>
      </c>
      <c r="S118" s="9" t="s">
        <v>36</v>
      </c>
      <c r="T118" s="9" t="s">
        <v>72</v>
      </c>
    </row>
    <row r="119" spans="1:20" ht="36" customHeight="1">
      <c r="A119" s="6">
        <f t="shared" si="11"/>
        <v>118</v>
      </c>
      <c r="B119" s="7" t="s">
        <v>455</v>
      </c>
      <c r="C119" s="8" t="s">
        <v>456</v>
      </c>
      <c r="D119" s="9" t="s">
        <v>26</v>
      </c>
      <c r="E119" s="10">
        <v>24969</v>
      </c>
      <c r="F119" s="11">
        <f t="shared" ca="1" si="6"/>
        <v>55.62191780821918</v>
      </c>
      <c r="G119" s="11">
        <f t="shared" si="7"/>
        <v>5</v>
      </c>
      <c r="H119" s="11">
        <f t="shared" si="8"/>
        <v>11</v>
      </c>
      <c r="I119" s="10">
        <v>39519</v>
      </c>
      <c r="J119" s="9" t="s">
        <v>32</v>
      </c>
      <c r="K119" s="9" t="s">
        <v>457</v>
      </c>
      <c r="L119" s="9" t="s">
        <v>393</v>
      </c>
      <c r="M119" s="9" t="s">
        <v>61</v>
      </c>
      <c r="N119" s="11">
        <v>15</v>
      </c>
      <c r="O119" s="12">
        <f t="shared" ca="1" si="9"/>
        <v>15.758904109589041</v>
      </c>
      <c r="P119" s="12">
        <f t="shared" ca="1" si="10"/>
        <v>30.758904109589039</v>
      </c>
      <c r="Q119" s="12" t="s">
        <v>26</v>
      </c>
      <c r="R119" s="9" t="s">
        <v>27</v>
      </c>
      <c r="S119" s="9" t="s">
        <v>36</v>
      </c>
      <c r="T119" s="9" t="s">
        <v>114</v>
      </c>
    </row>
    <row r="120" spans="1:20" ht="36" customHeight="1">
      <c r="A120" s="6">
        <f t="shared" si="11"/>
        <v>119</v>
      </c>
      <c r="B120" s="7" t="s">
        <v>458</v>
      </c>
      <c r="C120" s="8" t="s">
        <v>459</v>
      </c>
      <c r="D120" s="9" t="s">
        <v>26</v>
      </c>
      <c r="E120" s="10">
        <v>28243</v>
      </c>
      <c r="F120" s="11">
        <f t="shared" ca="1" si="6"/>
        <v>46.652054794520545</v>
      </c>
      <c r="G120" s="11">
        <f t="shared" si="7"/>
        <v>4</v>
      </c>
      <c r="H120" s="11">
        <f t="shared" si="8"/>
        <v>28</v>
      </c>
      <c r="I120" s="10">
        <v>39540</v>
      </c>
      <c r="J120" s="9" t="s">
        <v>110</v>
      </c>
      <c r="K120" s="9" t="s">
        <v>278</v>
      </c>
      <c r="L120" s="9" t="s">
        <v>34</v>
      </c>
      <c r="M120" s="9" t="s">
        <v>35</v>
      </c>
      <c r="N120" s="11">
        <v>11</v>
      </c>
      <c r="O120" s="12">
        <f t="shared" ca="1" si="9"/>
        <v>15.701369863013699</v>
      </c>
      <c r="P120" s="12">
        <f t="shared" ca="1" si="10"/>
        <v>26.701369863013699</v>
      </c>
      <c r="Q120" s="12" t="s">
        <v>26</v>
      </c>
      <c r="R120" s="9" t="s">
        <v>27</v>
      </c>
      <c r="S120" s="9" t="s">
        <v>36</v>
      </c>
      <c r="T120" s="9" t="s">
        <v>37</v>
      </c>
    </row>
    <row r="121" spans="1:20" ht="36" customHeight="1">
      <c r="A121" s="6">
        <f t="shared" si="11"/>
        <v>120</v>
      </c>
      <c r="B121" s="7" t="s">
        <v>460</v>
      </c>
      <c r="C121" s="8" t="s">
        <v>461</v>
      </c>
      <c r="D121" s="9" t="s">
        <v>26</v>
      </c>
      <c r="E121" s="10">
        <v>24318</v>
      </c>
      <c r="F121" s="11">
        <f t="shared" ca="1" si="6"/>
        <v>57.405479452054792</v>
      </c>
      <c r="G121" s="11">
        <f t="shared" si="7"/>
        <v>7</v>
      </c>
      <c r="H121" s="11">
        <f t="shared" si="8"/>
        <v>30</v>
      </c>
      <c r="I121" s="10">
        <v>39545</v>
      </c>
      <c r="J121" s="9" t="s">
        <v>192</v>
      </c>
      <c r="K121" s="9" t="s">
        <v>462</v>
      </c>
      <c r="L121" s="9" t="s">
        <v>160</v>
      </c>
      <c r="M121" s="9" t="s">
        <v>156</v>
      </c>
      <c r="N121" s="11">
        <v>16</v>
      </c>
      <c r="O121" s="12">
        <f t="shared" ca="1" si="9"/>
        <v>15.687671232876712</v>
      </c>
      <c r="P121" s="12">
        <f t="shared" ca="1" si="10"/>
        <v>31.68767123287671</v>
      </c>
      <c r="Q121" s="12" t="s">
        <v>26</v>
      </c>
      <c r="R121" s="9" t="s">
        <v>27</v>
      </c>
      <c r="S121" s="9" t="s">
        <v>28</v>
      </c>
      <c r="T121" s="9" t="s">
        <v>29</v>
      </c>
    </row>
    <row r="122" spans="1:20" ht="36" customHeight="1">
      <c r="A122" s="6">
        <f t="shared" si="11"/>
        <v>121</v>
      </c>
      <c r="B122" s="7" t="s">
        <v>463</v>
      </c>
      <c r="C122" s="8" t="s">
        <v>464</v>
      </c>
      <c r="D122" s="9" t="s">
        <v>26</v>
      </c>
      <c r="E122" s="10">
        <v>23493</v>
      </c>
      <c r="F122" s="11">
        <f t="shared" ca="1" si="6"/>
        <v>59.665753424657531</v>
      </c>
      <c r="G122" s="11">
        <f t="shared" si="7"/>
        <v>4</v>
      </c>
      <c r="H122" s="11">
        <f t="shared" si="8"/>
        <v>26</v>
      </c>
      <c r="I122" s="10">
        <v>39545</v>
      </c>
      <c r="J122" s="9" t="s">
        <v>66</v>
      </c>
      <c r="K122" s="9" t="s">
        <v>465</v>
      </c>
      <c r="L122" s="9" t="s">
        <v>60</v>
      </c>
      <c r="M122" s="9" t="s">
        <v>134</v>
      </c>
      <c r="N122" s="11">
        <v>20</v>
      </c>
      <c r="O122" s="12">
        <f t="shared" ca="1" si="9"/>
        <v>15.687671232876712</v>
      </c>
      <c r="P122" s="12">
        <f t="shared" ca="1" si="10"/>
        <v>35.68767123287671</v>
      </c>
      <c r="Q122" s="12" t="s">
        <v>26</v>
      </c>
      <c r="R122" s="9" t="s">
        <v>95</v>
      </c>
      <c r="S122" s="9" t="s">
        <v>28</v>
      </c>
      <c r="T122" s="9" t="s">
        <v>29</v>
      </c>
    </row>
    <row r="123" spans="1:20" ht="36" customHeight="1">
      <c r="A123" s="6">
        <f t="shared" si="11"/>
        <v>122</v>
      </c>
      <c r="B123" s="7" t="s">
        <v>466</v>
      </c>
      <c r="C123" s="8" t="s">
        <v>467</v>
      </c>
      <c r="D123" s="9" t="s">
        <v>26</v>
      </c>
      <c r="E123" s="10">
        <v>30413</v>
      </c>
      <c r="F123" s="11">
        <f t="shared" ca="1" si="6"/>
        <v>40.706849315068496</v>
      </c>
      <c r="G123" s="11">
        <f t="shared" si="7"/>
        <v>4</v>
      </c>
      <c r="H123" s="11">
        <f t="shared" si="8"/>
        <v>7</v>
      </c>
      <c r="I123" s="10">
        <v>39547</v>
      </c>
      <c r="J123" s="9" t="s">
        <v>50</v>
      </c>
      <c r="K123" s="9" t="s">
        <v>468</v>
      </c>
      <c r="L123" s="9" t="s">
        <v>377</v>
      </c>
      <c r="M123" s="9" t="s">
        <v>134</v>
      </c>
      <c r="N123" s="11">
        <v>4</v>
      </c>
      <c r="O123" s="12">
        <f t="shared" ca="1" si="9"/>
        <v>15.682191780821919</v>
      </c>
      <c r="P123" s="12">
        <f t="shared" ca="1" si="10"/>
        <v>19.682191780821917</v>
      </c>
      <c r="Q123" s="12" t="s">
        <v>68</v>
      </c>
      <c r="R123" s="9" t="s">
        <v>27</v>
      </c>
      <c r="S123" s="9" t="s">
        <v>36</v>
      </c>
      <c r="T123" s="9" t="s">
        <v>137</v>
      </c>
    </row>
    <row r="124" spans="1:20" ht="36" customHeight="1">
      <c r="A124" s="6">
        <f t="shared" si="11"/>
        <v>123</v>
      </c>
      <c r="B124" s="7" t="s">
        <v>469</v>
      </c>
      <c r="C124" s="8" t="s">
        <v>470</v>
      </c>
      <c r="D124" s="9" t="s">
        <v>21</v>
      </c>
      <c r="E124" s="10">
        <v>29911</v>
      </c>
      <c r="F124" s="11">
        <f t="shared" ca="1" si="6"/>
        <v>42.082191780821915</v>
      </c>
      <c r="G124" s="11">
        <f t="shared" si="7"/>
        <v>11</v>
      </c>
      <c r="H124" s="11">
        <f t="shared" si="8"/>
        <v>21</v>
      </c>
      <c r="I124" s="10">
        <v>39573</v>
      </c>
      <c r="J124" s="9" t="s">
        <v>50</v>
      </c>
      <c r="K124" s="9" t="s">
        <v>422</v>
      </c>
      <c r="L124" s="9" t="s">
        <v>471</v>
      </c>
      <c r="M124" s="9" t="s">
        <v>472</v>
      </c>
      <c r="N124" s="11">
        <v>2.9</v>
      </c>
      <c r="O124" s="12">
        <f t="shared" ca="1" si="9"/>
        <v>15.610958904109589</v>
      </c>
      <c r="P124" s="12">
        <f t="shared" ca="1" si="10"/>
        <v>18.510958904109589</v>
      </c>
      <c r="Q124" s="12" t="s">
        <v>26</v>
      </c>
      <c r="R124" s="9" t="s">
        <v>27</v>
      </c>
      <c r="S124" s="9" t="s">
        <v>28</v>
      </c>
      <c r="T124" s="9" t="s">
        <v>29</v>
      </c>
    </row>
    <row r="125" spans="1:20" ht="36" customHeight="1">
      <c r="A125" s="6">
        <f t="shared" si="11"/>
        <v>124</v>
      </c>
      <c r="B125" s="7" t="s">
        <v>473</v>
      </c>
      <c r="C125" s="8" t="s">
        <v>474</v>
      </c>
      <c r="D125" s="9" t="s">
        <v>26</v>
      </c>
      <c r="E125" s="10">
        <v>28336</v>
      </c>
      <c r="F125" s="11">
        <f t="shared" ca="1" si="6"/>
        <v>46.397260273972606</v>
      </c>
      <c r="G125" s="11">
        <f t="shared" si="7"/>
        <v>7</v>
      </c>
      <c r="H125" s="11">
        <f t="shared" si="8"/>
        <v>30</v>
      </c>
      <c r="I125" s="10">
        <v>39573</v>
      </c>
      <c r="J125" s="9" t="s">
        <v>50</v>
      </c>
      <c r="K125" s="9" t="s">
        <v>422</v>
      </c>
      <c r="L125" s="9" t="s">
        <v>471</v>
      </c>
      <c r="M125" s="9" t="s">
        <v>472</v>
      </c>
      <c r="N125" s="11">
        <v>5</v>
      </c>
      <c r="O125" s="12">
        <f t="shared" ca="1" si="9"/>
        <v>15.610958904109589</v>
      </c>
      <c r="P125" s="12">
        <f t="shared" ca="1" si="10"/>
        <v>20.610958904109587</v>
      </c>
      <c r="Q125" s="12" t="s">
        <v>26</v>
      </c>
      <c r="R125" s="9" t="s">
        <v>27</v>
      </c>
      <c r="S125" s="9" t="s">
        <v>28</v>
      </c>
      <c r="T125" s="9" t="s">
        <v>29</v>
      </c>
    </row>
    <row r="126" spans="1:20" ht="36" customHeight="1">
      <c r="A126" s="6">
        <f t="shared" si="11"/>
        <v>125</v>
      </c>
      <c r="B126" s="7" t="s">
        <v>475</v>
      </c>
      <c r="C126" s="8" t="s">
        <v>476</v>
      </c>
      <c r="D126" s="9" t="s">
        <v>26</v>
      </c>
      <c r="E126" s="10">
        <v>30377</v>
      </c>
      <c r="F126" s="11">
        <f t="shared" ca="1" si="6"/>
        <v>40.805479452054797</v>
      </c>
      <c r="G126" s="11">
        <f t="shared" si="7"/>
        <v>3</v>
      </c>
      <c r="H126" s="11">
        <f t="shared" si="8"/>
        <v>2</v>
      </c>
      <c r="I126" s="10">
        <v>39575</v>
      </c>
      <c r="J126" s="9" t="s">
        <v>45</v>
      </c>
      <c r="K126" s="9" t="s">
        <v>477</v>
      </c>
      <c r="L126" s="9" t="s">
        <v>34</v>
      </c>
      <c r="M126" s="9" t="s">
        <v>35</v>
      </c>
      <c r="N126" s="11">
        <v>0</v>
      </c>
      <c r="O126" s="12">
        <f t="shared" ca="1" si="9"/>
        <v>15.605479452054794</v>
      </c>
      <c r="P126" s="12">
        <f t="shared" ca="1" si="10"/>
        <v>15.605479452054794</v>
      </c>
      <c r="Q126" s="12" t="s">
        <v>26</v>
      </c>
      <c r="R126" s="9" t="s">
        <v>27</v>
      </c>
      <c r="S126" s="9" t="s">
        <v>36</v>
      </c>
      <c r="T126" s="9" t="s">
        <v>137</v>
      </c>
    </row>
    <row r="127" spans="1:20" ht="36" customHeight="1">
      <c r="A127" s="6">
        <f t="shared" si="11"/>
        <v>126</v>
      </c>
      <c r="B127" s="7" t="s">
        <v>478</v>
      </c>
      <c r="C127" s="8" t="s">
        <v>479</v>
      </c>
      <c r="D127" s="9" t="s">
        <v>26</v>
      </c>
      <c r="E127" s="10">
        <v>28095</v>
      </c>
      <c r="F127" s="11">
        <f t="shared" ca="1" si="6"/>
        <v>47.057534246575344</v>
      </c>
      <c r="G127" s="11">
        <f t="shared" si="7"/>
        <v>12</v>
      </c>
      <c r="H127" s="11">
        <f t="shared" si="8"/>
        <v>1</v>
      </c>
      <c r="I127" s="10">
        <v>39575</v>
      </c>
      <c r="J127" s="9" t="s">
        <v>110</v>
      </c>
      <c r="K127" s="9" t="s">
        <v>480</v>
      </c>
      <c r="L127" s="9" t="s">
        <v>52</v>
      </c>
      <c r="M127" s="9" t="s">
        <v>134</v>
      </c>
      <c r="N127" s="11">
        <v>11</v>
      </c>
      <c r="O127" s="12">
        <f t="shared" ca="1" si="9"/>
        <v>15.605479452054794</v>
      </c>
      <c r="P127" s="12">
        <f t="shared" ca="1" si="10"/>
        <v>26.605479452054794</v>
      </c>
      <c r="Q127" s="12" t="s">
        <v>26</v>
      </c>
      <c r="R127" s="9" t="s">
        <v>27</v>
      </c>
      <c r="S127" s="9" t="s">
        <v>28</v>
      </c>
      <c r="T127" s="9" t="s">
        <v>29</v>
      </c>
    </row>
    <row r="128" spans="1:20" ht="36" customHeight="1">
      <c r="A128" s="6">
        <f t="shared" si="11"/>
        <v>127</v>
      </c>
      <c r="B128" s="7" t="s">
        <v>481</v>
      </c>
      <c r="C128" s="8" t="s">
        <v>482</v>
      </c>
      <c r="D128" s="9" t="s">
        <v>26</v>
      </c>
      <c r="E128" s="10">
        <v>29696</v>
      </c>
      <c r="F128" s="11">
        <f t="shared" ca="1" si="6"/>
        <v>42.671232876712331</v>
      </c>
      <c r="G128" s="11">
        <f t="shared" si="7"/>
        <v>4</v>
      </c>
      <c r="H128" s="11">
        <f t="shared" si="8"/>
        <v>20</v>
      </c>
      <c r="I128" s="10">
        <v>39580</v>
      </c>
      <c r="J128" s="9" t="s">
        <v>58</v>
      </c>
      <c r="K128" s="9" t="s">
        <v>129</v>
      </c>
      <c r="L128" s="9" t="s">
        <v>471</v>
      </c>
      <c r="M128" s="9" t="s">
        <v>472</v>
      </c>
      <c r="N128" s="11">
        <v>4</v>
      </c>
      <c r="O128" s="12">
        <f t="shared" ca="1" si="9"/>
        <v>15.591780821917808</v>
      </c>
      <c r="P128" s="12">
        <f t="shared" ca="1" si="10"/>
        <v>19.591780821917808</v>
      </c>
      <c r="Q128" s="12" t="s">
        <v>26</v>
      </c>
      <c r="R128" s="9" t="s">
        <v>27</v>
      </c>
      <c r="S128" s="9" t="s">
        <v>28</v>
      </c>
      <c r="T128" s="9" t="s">
        <v>29</v>
      </c>
    </row>
    <row r="129" spans="1:20" ht="36" customHeight="1">
      <c r="A129" s="6">
        <f t="shared" si="11"/>
        <v>128</v>
      </c>
      <c r="B129" s="7" t="s">
        <v>483</v>
      </c>
      <c r="C129" s="8" t="s">
        <v>484</v>
      </c>
      <c r="D129" s="9" t="s">
        <v>26</v>
      </c>
      <c r="E129" s="10">
        <v>30579</v>
      </c>
      <c r="F129" s="11">
        <f t="shared" ca="1" si="6"/>
        <v>40.252054794520546</v>
      </c>
      <c r="G129" s="11">
        <f t="shared" si="7"/>
        <v>9</v>
      </c>
      <c r="H129" s="11">
        <f t="shared" si="8"/>
        <v>20</v>
      </c>
      <c r="I129" s="10">
        <v>39580</v>
      </c>
      <c r="J129" s="9" t="s">
        <v>32</v>
      </c>
      <c r="K129" s="9" t="s">
        <v>485</v>
      </c>
      <c r="L129" s="9" t="s">
        <v>486</v>
      </c>
      <c r="M129" s="9" t="s">
        <v>25</v>
      </c>
      <c r="N129" s="11">
        <v>2</v>
      </c>
      <c r="O129" s="12">
        <f t="shared" ca="1" si="9"/>
        <v>15.591780821917808</v>
      </c>
      <c r="P129" s="12">
        <f t="shared" ca="1" si="10"/>
        <v>17.591780821917808</v>
      </c>
      <c r="Q129" s="12" t="s">
        <v>26</v>
      </c>
      <c r="R129" s="9" t="s">
        <v>27</v>
      </c>
      <c r="S129" s="9" t="s">
        <v>28</v>
      </c>
      <c r="T129" s="9" t="s">
        <v>29</v>
      </c>
    </row>
    <row r="130" spans="1:20" ht="36" customHeight="1">
      <c r="A130" s="6">
        <f t="shared" si="11"/>
        <v>129</v>
      </c>
      <c r="B130" s="7" t="s">
        <v>487</v>
      </c>
      <c r="C130" s="17" t="s">
        <v>488</v>
      </c>
      <c r="D130" s="6" t="s">
        <v>26</v>
      </c>
      <c r="E130" s="18">
        <v>27765</v>
      </c>
      <c r="F130" s="11">
        <f t="shared" ref="F130:F193" ca="1" si="12">(TODAY()-E130)/365</f>
        <v>47.961643835616435</v>
      </c>
      <c r="G130" s="19">
        <f t="shared" ref="G130:G193" si="13">MONTH(E130)</f>
        <v>1</v>
      </c>
      <c r="H130" s="19">
        <f t="shared" ref="H130:H193" si="14">DAY(E130)</f>
        <v>6</v>
      </c>
      <c r="I130" s="18">
        <v>39596</v>
      </c>
      <c r="J130" s="9" t="s">
        <v>66</v>
      </c>
      <c r="K130" s="9" t="s">
        <v>489</v>
      </c>
      <c r="L130" s="9" t="s">
        <v>490</v>
      </c>
      <c r="M130" s="9" t="s">
        <v>491</v>
      </c>
      <c r="N130" s="19">
        <v>5</v>
      </c>
      <c r="O130" s="12">
        <f t="shared" ref="O130:O193" ca="1" si="15">(TODAY()-I130)/365</f>
        <v>15.547945205479452</v>
      </c>
      <c r="P130" s="12">
        <f t="shared" ref="P130:P193" ca="1" si="16">SUM(N130+O130)</f>
        <v>20.547945205479451</v>
      </c>
      <c r="Q130" s="20" t="s">
        <v>26</v>
      </c>
      <c r="R130" s="6" t="s">
        <v>347</v>
      </c>
      <c r="S130" s="6" t="s">
        <v>28</v>
      </c>
      <c r="T130" s="9" t="s">
        <v>492</v>
      </c>
    </row>
    <row r="131" spans="1:20" ht="36" customHeight="1">
      <c r="A131" s="6">
        <f t="shared" si="11"/>
        <v>130</v>
      </c>
      <c r="B131" s="7" t="s">
        <v>493</v>
      </c>
      <c r="C131" s="8" t="s">
        <v>494</v>
      </c>
      <c r="D131" s="6" t="s">
        <v>26</v>
      </c>
      <c r="E131" s="18">
        <v>29071</v>
      </c>
      <c r="F131" s="11">
        <f t="shared" ca="1" si="12"/>
        <v>44.38356164383562</v>
      </c>
      <c r="G131" s="11">
        <f t="shared" si="13"/>
        <v>8</v>
      </c>
      <c r="H131" s="11">
        <f t="shared" si="14"/>
        <v>4</v>
      </c>
      <c r="I131" s="18">
        <v>39597</v>
      </c>
      <c r="J131" s="9" t="s">
        <v>110</v>
      </c>
      <c r="K131" s="9" t="s">
        <v>495</v>
      </c>
      <c r="L131" s="9" t="s">
        <v>220</v>
      </c>
      <c r="M131" s="9" t="s">
        <v>25</v>
      </c>
      <c r="N131" s="11">
        <v>1</v>
      </c>
      <c r="O131" s="12">
        <f t="shared" ca="1" si="15"/>
        <v>15.545205479452054</v>
      </c>
      <c r="P131" s="12">
        <f t="shared" ca="1" si="16"/>
        <v>16.545205479452054</v>
      </c>
      <c r="Q131" s="12" t="s">
        <v>68</v>
      </c>
      <c r="R131" s="9" t="s">
        <v>95</v>
      </c>
      <c r="S131" s="9" t="s">
        <v>28</v>
      </c>
      <c r="T131" s="9" t="s">
        <v>29</v>
      </c>
    </row>
    <row r="132" spans="1:20" ht="36" customHeight="1">
      <c r="A132" s="6">
        <f t="shared" ref="A132:A195" si="17">+A131+1</f>
        <v>131</v>
      </c>
      <c r="B132" s="7" t="s">
        <v>496</v>
      </c>
      <c r="C132" s="17" t="s">
        <v>497</v>
      </c>
      <c r="D132" s="6" t="s">
        <v>26</v>
      </c>
      <c r="E132" s="18">
        <v>31997</v>
      </c>
      <c r="F132" s="11">
        <f t="shared" ca="1" si="12"/>
        <v>36.367123287671234</v>
      </c>
      <c r="G132" s="11">
        <f t="shared" si="13"/>
        <v>8</v>
      </c>
      <c r="H132" s="11">
        <f t="shared" si="14"/>
        <v>8</v>
      </c>
      <c r="I132" s="18">
        <v>39601</v>
      </c>
      <c r="J132" s="9" t="s">
        <v>87</v>
      </c>
      <c r="K132" s="9" t="s">
        <v>332</v>
      </c>
      <c r="L132" s="9" t="s">
        <v>329</v>
      </c>
      <c r="M132" s="9" t="s">
        <v>134</v>
      </c>
      <c r="N132" s="19">
        <v>0</v>
      </c>
      <c r="O132" s="12">
        <f t="shared" ca="1" si="15"/>
        <v>15.534246575342467</v>
      </c>
      <c r="P132" s="12">
        <f t="shared" ca="1" si="16"/>
        <v>15.534246575342467</v>
      </c>
      <c r="Q132" s="20" t="s">
        <v>68</v>
      </c>
      <c r="R132" s="6" t="s">
        <v>27</v>
      </c>
      <c r="S132" s="6" t="s">
        <v>28</v>
      </c>
      <c r="T132" s="9" t="s">
        <v>29</v>
      </c>
    </row>
    <row r="133" spans="1:20" ht="36" customHeight="1">
      <c r="A133" s="6">
        <f t="shared" si="17"/>
        <v>132</v>
      </c>
      <c r="B133" s="7" t="s">
        <v>498</v>
      </c>
      <c r="C133" s="17" t="s">
        <v>499</v>
      </c>
      <c r="D133" s="6" t="s">
        <v>21</v>
      </c>
      <c r="E133" s="18">
        <v>31418</v>
      </c>
      <c r="F133" s="11">
        <f t="shared" ca="1" si="12"/>
        <v>37.953424657534249</v>
      </c>
      <c r="G133" s="11">
        <f t="shared" si="13"/>
        <v>1</v>
      </c>
      <c r="H133" s="11">
        <f t="shared" si="14"/>
        <v>6</v>
      </c>
      <c r="I133" s="18">
        <v>39601</v>
      </c>
      <c r="J133" s="9" t="s">
        <v>45</v>
      </c>
      <c r="K133" s="9" t="s">
        <v>477</v>
      </c>
      <c r="L133" s="9" t="s">
        <v>34</v>
      </c>
      <c r="M133" s="9" t="s">
        <v>35</v>
      </c>
      <c r="N133" s="19">
        <v>0</v>
      </c>
      <c r="O133" s="12">
        <f t="shared" ca="1" si="15"/>
        <v>15.534246575342467</v>
      </c>
      <c r="P133" s="12">
        <f t="shared" ca="1" si="16"/>
        <v>15.534246575342467</v>
      </c>
      <c r="Q133" s="20" t="s">
        <v>26</v>
      </c>
      <c r="R133" s="9" t="s">
        <v>442</v>
      </c>
      <c r="S133" s="6" t="s">
        <v>36</v>
      </c>
      <c r="T133" s="9" t="s">
        <v>137</v>
      </c>
    </row>
    <row r="134" spans="1:20" ht="36" customHeight="1">
      <c r="A134" s="6">
        <f t="shared" si="17"/>
        <v>133</v>
      </c>
      <c r="B134" s="22" t="s">
        <v>500</v>
      </c>
      <c r="C134" s="23" t="s">
        <v>501</v>
      </c>
      <c r="D134" s="21" t="s">
        <v>21</v>
      </c>
      <c r="E134" s="25">
        <v>30373</v>
      </c>
      <c r="F134" s="11">
        <f t="shared" ca="1" si="12"/>
        <v>40.816438356164383</v>
      </c>
      <c r="G134" s="11">
        <f t="shared" si="13"/>
        <v>2</v>
      </c>
      <c r="H134" s="11">
        <f t="shared" si="14"/>
        <v>26</v>
      </c>
      <c r="I134" s="25">
        <v>39602</v>
      </c>
      <c r="J134" s="9" t="s">
        <v>110</v>
      </c>
      <c r="K134" s="9" t="s">
        <v>209</v>
      </c>
      <c r="L134" s="9" t="s">
        <v>471</v>
      </c>
      <c r="M134" s="9" t="s">
        <v>472</v>
      </c>
      <c r="N134" s="26">
        <v>0.8</v>
      </c>
      <c r="O134" s="12">
        <f t="shared" ca="1" si="15"/>
        <v>15.531506849315068</v>
      </c>
      <c r="P134" s="12">
        <f t="shared" ca="1" si="16"/>
        <v>16.331506849315069</v>
      </c>
      <c r="Q134" s="27" t="s">
        <v>68</v>
      </c>
      <c r="R134" s="21" t="s">
        <v>27</v>
      </c>
      <c r="S134" s="21" t="s">
        <v>28</v>
      </c>
      <c r="T134" s="9" t="s">
        <v>29</v>
      </c>
    </row>
    <row r="135" spans="1:20" ht="36" customHeight="1">
      <c r="A135" s="6">
        <f t="shared" si="17"/>
        <v>134</v>
      </c>
      <c r="B135" s="7" t="s">
        <v>502</v>
      </c>
      <c r="C135" s="17" t="s">
        <v>503</v>
      </c>
      <c r="D135" s="6" t="s">
        <v>26</v>
      </c>
      <c r="E135" s="18">
        <v>27803</v>
      </c>
      <c r="F135" s="11">
        <f t="shared" ca="1" si="12"/>
        <v>47.857534246575341</v>
      </c>
      <c r="G135" s="11">
        <f t="shared" si="13"/>
        <v>2</v>
      </c>
      <c r="H135" s="11">
        <f t="shared" si="14"/>
        <v>13</v>
      </c>
      <c r="I135" s="18">
        <v>39603</v>
      </c>
      <c r="J135" s="9" t="s">
        <v>50</v>
      </c>
      <c r="K135" s="9" t="s">
        <v>146</v>
      </c>
      <c r="L135" s="6" t="s">
        <v>220</v>
      </c>
      <c r="M135" s="9" t="s">
        <v>25</v>
      </c>
      <c r="N135" s="19">
        <v>9</v>
      </c>
      <c r="O135" s="12">
        <f t="shared" ca="1" si="15"/>
        <v>15.528767123287672</v>
      </c>
      <c r="P135" s="12">
        <f t="shared" ca="1" si="16"/>
        <v>24.528767123287672</v>
      </c>
      <c r="Q135" s="20" t="s">
        <v>26</v>
      </c>
      <c r="R135" s="6" t="s">
        <v>27</v>
      </c>
      <c r="S135" s="6" t="s">
        <v>28</v>
      </c>
      <c r="T135" s="9" t="s">
        <v>29</v>
      </c>
    </row>
    <row r="136" spans="1:20" ht="36" customHeight="1">
      <c r="A136" s="6">
        <f t="shared" si="17"/>
        <v>135</v>
      </c>
      <c r="B136" s="7" t="s">
        <v>504</v>
      </c>
      <c r="C136" s="17" t="s">
        <v>505</v>
      </c>
      <c r="D136" s="6" t="s">
        <v>26</v>
      </c>
      <c r="E136" s="18">
        <v>24940</v>
      </c>
      <c r="F136" s="11">
        <f t="shared" ca="1" si="12"/>
        <v>55.701369863013696</v>
      </c>
      <c r="G136" s="11">
        <f t="shared" si="13"/>
        <v>4</v>
      </c>
      <c r="H136" s="11">
        <f t="shared" si="14"/>
        <v>12</v>
      </c>
      <c r="I136" s="18">
        <v>39603</v>
      </c>
      <c r="J136" s="6" t="s">
        <v>132</v>
      </c>
      <c r="K136" s="6" t="s">
        <v>103</v>
      </c>
      <c r="L136" s="9" t="s">
        <v>257</v>
      </c>
      <c r="M136" s="9" t="s">
        <v>257</v>
      </c>
      <c r="N136" s="19">
        <v>11</v>
      </c>
      <c r="O136" s="12">
        <f t="shared" ca="1" si="15"/>
        <v>15.528767123287672</v>
      </c>
      <c r="P136" s="12">
        <f t="shared" ca="1" si="16"/>
        <v>26.528767123287672</v>
      </c>
      <c r="Q136" s="20" t="s">
        <v>26</v>
      </c>
      <c r="R136" s="6" t="s">
        <v>27</v>
      </c>
      <c r="S136" s="6" t="s">
        <v>28</v>
      </c>
      <c r="T136" s="9" t="s">
        <v>259</v>
      </c>
    </row>
    <row r="137" spans="1:20" ht="36" customHeight="1">
      <c r="A137" s="6">
        <f t="shared" si="17"/>
        <v>136</v>
      </c>
      <c r="B137" s="7" t="s">
        <v>506</v>
      </c>
      <c r="C137" s="17" t="s">
        <v>507</v>
      </c>
      <c r="D137" s="6" t="s">
        <v>21</v>
      </c>
      <c r="E137" s="18">
        <v>27482</v>
      </c>
      <c r="F137" s="11">
        <f t="shared" ca="1" si="12"/>
        <v>48.736986301369861</v>
      </c>
      <c r="G137" s="11">
        <f t="shared" si="13"/>
        <v>3</v>
      </c>
      <c r="H137" s="11">
        <f t="shared" si="14"/>
        <v>29</v>
      </c>
      <c r="I137" s="18">
        <v>39608</v>
      </c>
      <c r="J137" s="9" t="s">
        <v>58</v>
      </c>
      <c r="K137" s="9" t="s">
        <v>508</v>
      </c>
      <c r="L137" s="9" t="s">
        <v>471</v>
      </c>
      <c r="M137" s="9" t="s">
        <v>472</v>
      </c>
      <c r="N137" s="19">
        <v>9</v>
      </c>
      <c r="O137" s="12">
        <f t="shared" ca="1" si="15"/>
        <v>15.515068493150684</v>
      </c>
      <c r="P137" s="12">
        <f t="shared" ca="1" si="16"/>
        <v>24.515068493150686</v>
      </c>
      <c r="Q137" s="20" t="s">
        <v>26</v>
      </c>
      <c r="R137" s="6" t="s">
        <v>27</v>
      </c>
      <c r="S137" s="6" t="s">
        <v>28</v>
      </c>
      <c r="T137" s="9" t="s">
        <v>29</v>
      </c>
    </row>
    <row r="138" spans="1:20" ht="36" customHeight="1">
      <c r="A138" s="6">
        <f t="shared" si="17"/>
        <v>137</v>
      </c>
      <c r="B138" s="7" t="s">
        <v>509</v>
      </c>
      <c r="C138" s="17" t="s">
        <v>510</v>
      </c>
      <c r="D138" s="6" t="s">
        <v>26</v>
      </c>
      <c r="E138" s="18">
        <v>30040</v>
      </c>
      <c r="F138" s="11">
        <f t="shared" ca="1" si="12"/>
        <v>41.728767123287675</v>
      </c>
      <c r="G138" s="11">
        <f t="shared" si="13"/>
        <v>3</v>
      </c>
      <c r="H138" s="11">
        <f t="shared" si="14"/>
        <v>30</v>
      </c>
      <c r="I138" s="18">
        <v>39611</v>
      </c>
      <c r="J138" s="9" t="s">
        <v>22</v>
      </c>
      <c r="K138" s="9" t="s">
        <v>425</v>
      </c>
      <c r="L138" s="9" t="s">
        <v>511</v>
      </c>
      <c r="M138" s="9" t="s">
        <v>61</v>
      </c>
      <c r="N138" s="19">
        <v>1</v>
      </c>
      <c r="O138" s="12">
        <f t="shared" ca="1" si="15"/>
        <v>15.506849315068493</v>
      </c>
      <c r="P138" s="12">
        <f t="shared" ca="1" si="16"/>
        <v>16.506849315068493</v>
      </c>
      <c r="Q138" s="20" t="s">
        <v>68</v>
      </c>
      <c r="R138" s="6" t="s">
        <v>512</v>
      </c>
      <c r="S138" s="6" t="s">
        <v>28</v>
      </c>
      <c r="T138" s="9" t="s">
        <v>29</v>
      </c>
    </row>
    <row r="139" spans="1:20" ht="36" customHeight="1">
      <c r="A139" s="6">
        <f t="shared" si="17"/>
        <v>138</v>
      </c>
      <c r="B139" s="7" t="s">
        <v>513</v>
      </c>
      <c r="C139" s="17" t="s">
        <v>514</v>
      </c>
      <c r="D139" s="9" t="s">
        <v>21</v>
      </c>
      <c r="E139" s="10">
        <v>30845</v>
      </c>
      <c r="F139" s="11">
        <f t="shared" ca="1" si="12"/>
        <v>39.523287671232879</v>
      </c>
      <c r="G139" s="11">
        <f t="shared" si="13"/>
        <v>6</v>
      </c>
      <c r="H139" s="11">
        <f t="shared" si="14"/>
        <v>12</v>
      </c>
      <c r="I139" s="10">
        <v>39612</v>
      </c>
      <c r="J139" s="9" t="s">
        <v>22</v>
      </c>
      <c r="K139" s="9" t="s">
        <v>515</v>
      </c>
      <c r="L139" s="6" t="s">
        <v>147</v>
      </c>
      <c r="M139" s="9" t="s">
        <v>25</v>
      </c>
      <c r="N139" s="19">
        <v>1.5</v>
      </c>
      <c r="O139" s="12">
        <f t="shared" ca="1" si="15"/>
        <v>15.504109589041096</v>
      </c>
      <c r="P139" s="12">
        <f t="shared" ca="1" si="16"/>
        <v>17.004109589041096</v>
      </c>
      <c r="Q139" s="20" t="s">
        <v>68</v>
      </c>
      <c r="R139" s="6" t="s">
        <v>27</v>
      </c>
      <c r="S139" s="6" t="s">
        <v>28</v>
      </c>
      <c r="T139" s="9" t="s">
        <v>29</v>
      </c>
    </row>
    <row r="140" spans="1:20" ht="36" customHeight="1">
      <c r="A140" s="6">
        <f t="shared" si="17"/>
        <v>139</v>
      </c>
      <c r="B140" s="7" t="s">
        <v>516</v>
      </c>
      <c r="C140" s="17" t="s">
        <v>517</v>
      </c>
      <c r="D140" s="9" t="s">
        <v>21</v>
      </c>
      <c r="E140" s="10">
        <v>30583</v>
      </c>
      <c r="F140" s="11">
        <f t="shared" ca="1" si="12"/>
        <v>40.241095890410961</v>
      </c>
      <c r="G140" s="11">
        <f t="shared" si="13"/>
        <v>9</v>
      </c>
      <c r="H140" s="11">
        <f t="shared" si="14"/>
        <v>24</v>
      </c>
      <c r="I140" s="10">
        <v>39615</v>
      </c>
      <c r="J140" s="9" t="s">
        <v>50</v>
      </c>
      <c r="K140" s="9" t="s">
        <v>159</v>
      </c>
      <c r="L140" s="9" t="s">
        <v>471</v>
      </c>
      <c r="M140" s="9" t="s">
        <v>472</v>
      </c>
      <c r="N140" s="19">
        <v>0.8</v>
      </c>
      <c r="O140" s="12">
        <f t="shared" ca="1" si="15"/>
        <v>15.495890410958904</v>
      </c>
      <c r="P140" s="12">
        <f t="shared" ca="1" si="16"/>
        <v>16.295890410958904</v>
      </c>
      <c r="Q140" s="20" t="s">
        <v>68</v>
      </c>
      <c r="R140" s="6" t="s">
        <v>27</v>
      </c>
      <c r="S140" s="6" t="s">
        <v>28</v>
      </c>
      <c r="T140" s="9" t="s">
        <v>29</v>
      </c>
    </row>
    <row r="141" spans="1:20" ht="36" customHeight="1">
      <c r="A141" s="6">
        <f t="shared" si="17"/>
        <v>140</v>
      </c>
      <c r="B141" s="7" t="s">
        <v>518</v>
      </c>
      <c r="C141" s="17" t="s">
        <v>519</v>
      </c>
      <c r="D141" s="9" t="s">
        <v>26</v>
      </c>
      <c r="E141" s="10">
        <v>27712</v>
      </c>
      <c r="F141" s="11">
        <f t="shared" ca="1" si="12"/>
        <v>48.106849315068494</v>
      </c>
      <c r="G141" s="11">
        <f t="shared" si="13"/>
        <v>11</v>
      </c>
      <c r="H141" s="11">
        <f t="shared" si="14"/>
        <v>14</v>
      </c>
      <c r="I141" s="10">
        <v>39616</v>
      </c>
      <c r="J141" s="9" t="s">
        <v>87</v>
      </c>
      <c r="K141" s="9" t="s">
        <v>332</v>
      </c>
      <c r="L141" s="9" t="s">
        <v>34</v>
      </c>
      <c r="M141" s="9" t="s">
        <v>35</v>
      </c>
      <c r="N141" s="19">
        <v>8</v>
      </c>
      <c r="O141" s="12">
        <f t="shared" ca="1" si="15"/>
        <v>15.493150684931507</v>
      </c>
      <c r="P141" s="12">
        <f t="shared" ca="1" si="16"/>
        <v>23.493150684931507</v>
      </c>
      <c r="Q141" s="20" t="s">
        <v>26</v>
      </c>
      <c r="R141" s="6" t="s">
        <v>27</v>
      </c>
      <c r="S141" s="6" t="s">
        <v>36</v>
      </c>
      <c r="T141" s="9" t="s">
        <v>37</v>
      </c>
    </row>
    <row r="142" spans="1:20" ht="36" customHeight="1">
      <c r="A142" s="6">
        <f t="shared" si="17"/>
        <v>141</v>
      </c>
      <c r="B142" s="7" t="s">
        <v>521</v>
      </c>
      <c r="C142" s="8" t="s">
        <v>522</v>
      </c>
      <c r="D142" s="9" t="s">
        <v>26</v>
      </c>
      <c r="E142" s="10">
        <v>29432</v>
      </c>
      <c r="F142" s="11">
        <f t="shared" ca="1" si="12"/>
        <v>43.394520547945206</v>
      </c>
      <c r="G142" s="11">
        <f t="shared" si="13"/>
        <v>7</v>
      </c>
      <c r="H142" s="11">
        <f t="shared" si="14"/>
        <v>30</v>
      </c>
      <c r="I142" s="10">
        <v>39624</v>
      </c>
      <c r="J142" s="9" t="s">
        <v>87</v>
      </c>
      <c r="K142" s="9" t="s">
        <v>523</v>
      </c>
      <c r="L142" s="9" t="s">
        <v>524</v>
      </c>
      <c r="M142" s="9" t="s">
        <v>25</v>
      </c>
      <c r="N142" s="11">
        <v>4</v>
      </c>
      <c r="O142" s="12">
        <f t="shared" ca="1" si="15"/>
        <v>15.471232876712328</v>
      </c>
      <c r="P142" s="12">
        <f t="shared" ca="1" si="16"/>
        <v>19.471232876712328</v>
      </c>
      <c r="Q142" s="12" t="s">
        <v>26</v>
      </c>
      <c r="R142" s="9" t="s">
        <v>27</v>
      </c>
      <c r="S142" s="9" t="s">
        <v>28</v>
      </c>
      <c r="T142" s="9" t="s">
        <v>259</v>
      </c>
    </row>
    <row r="143" spans="1:20" ht="36" customHeight="1">
      <c r="A143" s="6">
        <f t="shared" si="17"/>
        <v>142</v>
      </c>
      <c r="B143" s="7" t="s">
        <v>525</v>
      </c>
      <c r="C143" s="8" t="s">
        <v>526</v>
      </c>
      <c r="D143" s="9" t="s">
        <v>26</v>
      </c>
      <c r="E143" s="10">
        <v>27304</v>
      </c>
      <c r="F143" s="11">
        <f t="shared" ca="1" si="12"/>
        <v>49.224657534246575</v>
      </c>
      <c r="G143" s="11">
        <f t="shared" si="13"/>
        <v>10</v>
      </c>
      <c r="H143" s="11">
        <f t="shared" si="14"/>
        <v>2</v>
      </c>
      <c r="I143" s="10">
        <v>39630</v>
      </c>
      <c r="J143" s="9" t="s">
        <v>41</v>
      </c>
      <c r="K143" s="9" t="s">
        <v>527</v>
      </c>
      <c r="L143" s="9" t="s">
        <v>490</v>
      </c>
      <c r="M143" s="9" t="s">
        <v>491</v>
      </c>
      <c r="N143" s="19">
        <v>13</v>
      </c>
      <c r="O143" s="12">
        <f t="shared" ca="1" si="15"/>
        <v>15.454794520547946</v>
      </c>
      <c r="P143" s="12">
        <f t="shared" ca="1" si="16"/>
        <v>28.454794520547946</v>
      </c>
      <c r="Q143" s="12" t="s">
        <v>26</v>
      </c>
      <c r="R143" s="9" t="s">
        <v>347</v>
      </c>
      <c r="S143" s="9" t="s">
        <v>28</v>
      </c>
      <c r="T143" s="9" t="s">
        <v>492</v>
      </c>
    </row>
    <row r="144" spans="1:20" ht="36" customHeight="1">
      <c r="A144" s="6">
        <f t="shared" si="17"/>
        <v>143</v>
      </c>
      <c r="B144" s="7" t="s">
        <v>528</v>
      </c>
      <c r="C144" s="8" t="s">
        <v>529</v>
      </c>
      <c r="D144" s="9" t="s">
        <v>26</v>
      </c>
      <c r="E144" s="10">
        <v>29752</v>
      </c>
      <c r="F144" s="11">
        <f t="shared" ca="1" si="12"/>
        <v>42.517808219178079</v>
      </c>
      <c r="G144" s="11">
        <f t="shared" si="13"/>
        <v>6</v>
      </c>
      <c r="H144" s="11">
        <f t="shared" si="14"/>
        <v>15</v>
      </c>
      <c r="I144" s="10">
        <v>39630</v>
      </c>
      <c r="J144" s="9" t="s">
        <v>318</v>
      </c>
      <c r="K144" s="9" t="s">
        <v>530</v>
      </c>
      <c r="L144" s="9" t="s">
        <v>490</v>
      </c>
      <c r="M144" s="9" t="s">
        <v>491</v>
      </c>
      <c r="N144" s="19">
        <v>5</v>
      </c>
      <c r="O144" s="12">
        <f t="shared" ca="1" si="15"/>
        <v>15.454794520547946</v>
      </c>
      <c r="P144" s="12">
        <f t="shared" ca="1" si="16"/>
        <v>20.454794520547946</v>
      </c>
      <c r="Q144" s="12" t="s">
        <v>68</v>
      </c>
      <c r="R144" s="9" t="s">
        <v>27</v>
      </c>
      <c r="S144" s="9" t="s">
        <v>28</v>
      </c>
      <c r="T144" s="9" t="s">
        <v>492</v>
      </c>
    </row>
    <row r="145" spans="1:20" ht="36" customHeight="1">
      <c r="A145" s="6">
        <f t="shared" si="17"/>
        <v>144</v>
      </c>
      <c r="B145" s="7" t="s">
        <v>531</v>
      </c>
      <c r="C145" s="8" t="s">
        <v>532</v>
      </c>
      <c r="D145" s="9" t="s">
        <v>26</v>
      </c>
      <c r="E145" s="10">
        <v>29418</v>
      </c>
      <c r="F145" s="11">
        <f t="shared" ca="1" si="12"/>
        <v>43.43287671232877</v>
      </c>
      <c r="G145" s="11">
        <f t="shared" si="13"/>
        <v>7</v>
      </c>
      <c r="H145" s="11">
        <f t="shared" si="14"/>
        <v>16</v>
      </c>
      <c r="I145" s="10">
        <v>39630</v>
      </c>
      <c r="J145" s="9" t="s">
        <v>66</v>
      </c>
      <c r="K145" s="9" t="s">
        <v>285</v>
      </c>
      <c r="L145" s="9" t="s">
        <v>147</v>
      </c>
      <c r="M145" s="9" t="s">
        <v>25</v>
      </c>
      <c r="N145" s="11">
        <v>7</v>
      </c>
      <c r="O145" s="12">
        <f t="shared" ca="1" si="15"/>
        <v>15.454794520547946</v>
      </c>
      <c r="P145" s="12">
        <f t="shared" ca="1" si="16"/>
        <v>22.454794520547946</v>
      </c>
      <c r="Q145" s="12" t="s">
        <v>68</v>
      </c>
      <c r="R145" s="9" t="s">
        <v>197</v>
      </c>
      <c r="S145" s="9" t="s">
        <v>28</v>
      </c>
      <c r="T145" s="9" t="s">
        <v>29</v>
      </c>
    </row>
    <row r="146" spans="1:20" ht="36" customHeight="1">
      <c r="A146" s="6">
        <f t="shared" si="17"/>
        <v>145</v>
      </c>
      <c r="B146" s="7" t="s">
        <v>533</v>
      </c>
      <c r="C146" s="8" t="s">
        <v>534</v>
      </c>
      <c r="D146" s="9" t="s">
        <v>21</v>
      </c>
      <c r="E146" s="10">
        <v>25577</v>
      </c>
      <c r="F146" s="11">
        <f t="shared" ca="1" si="12"/>
        <v>53.956164383561642</v>
      </c>
      <c r="G146" s="11">
        <f t="shared" si="13"/>
        <v>1</v>
      </c>
      <c r="H146" s="11">
        <f t="shared" si="14"/>
        <v>9</v>
      </c>
      <c r="I146" s="10">
        <v>39631</v>
      </c>
      <c r="J146" s="9" t="s">
        <v>110</v>
      </c>
      <c r="K146" s="9" t="s">
        <v>63</v>
      </c>
      <c r="L146" s="9" t="s">
        <v>127</v>
      </c>
      <c r="M146" s="9" t="s">
        <v>25</v>
      </c>
      <c r="N146" s="11">
        <v>15</v>
      </c>
      <c r="O146" s="12">
        <f t="shared" ca="1" si="15"/>
        <v>15.452054794520548</v>
      </c>
      <c r="P146" s="12">
        <f t="shared" ca="1" si="16"/>
        <v>30.452054794520549</v>
      </c>
      <c r="Q146" s="12" t="s">
        <v>26</v>
      </c>
      <c r="R146" s="9" t="s">
        <v>27</v>
      </c>
      <c r="S146" s="9" t="s">
        <v>28</v>
      </c>
      <c r="T146" s="9" t="s">
        <v>29</v>
      </c>
    </row>
    <row r="147" spans="1:20" ht="36" customHeight="1">
      <c r="A147" s="6">
        <f t="shared" si="17"/>
        <v>146</v>
      </c>
      <c r="B147" s="7" t="s">
        <v>535</v>
      </c>
      <c r="C147" s="8" t="s">
        <v>536</v>
      </c>
      <c r="D147" s="9" t="s">
        <v>26</v>
      </c>
      <c r="E147" s="10">
        <v>29330</v>
      </c>
      <c r="F147" s="11">
        <f t="shared" ca="1" si="12"/>
        <v>43.673972602739724</v>
      </c>
      <c r="G147" s="11">
        <f t="shared" si="13"/>
        <v>4</v>
      </c>
      <c r="H147" s="11">
        <f t="shared" si="14"/>
        <v>19</v>
      </c>
      <c r="I147" s="10">
        <v>39640</v>
      </c>
      <c r="J147" s="9" t="s">
        <v>226</v>
      </c>
      <c r="K147" s="9" t="s">
        <v>537</v>
      </c>
      <c r="L147" s="9" t="s">
        <v>34</v>
      </c>
      <c r="M147" s="9" t="s">
        <v>35</v>
      </c>
      <c r="N147" s="11">
        <v>4.5</v>
      </c>
      <c r="O147" s="12">
        <f t="shared" ca="1" si="15"/>
        <v>15.427397260273972</v>
      </c>
      <c r="P147" s="12">
        <f t="shared" ca="1" si="16"/>
        <v>19.92739726027397</v>
      </c>
      <c r="Q147" s="12" t="s">
        <v>26</v>
      </c>
      <c r="R147" s="9" t="s">
        <v>27</v>
      </c>
      <c r="S147" s="9" t="s">
        <v>36</v>
      </c>
      <c r="T147" s="9" t="s">
        <v>72</v>
      </c>
    </row>
    <row r="148" spans="1:20" ht="36" customHeight="1">
      <c r="A148" s="6">
        <f t="shared" si="17"/>
        <v>147</v>
      </c>
      <c r="B148" s="7" t="s">
        <v>538</v>
      </c>
      <c r="C148" s="8" t="s">
        <v>539</v>
      </c>
      <c r="D148" s="9" t="s">
        <v>26</v>
      </c>
      <c r="E148" s="10">
        <v>27896</v>
      </c>
      <c r="F148" s="11">
        <f t="shared" ca="1" si="12"/>
        <v>47.602739726027394</v>
      </c>
      <c r="G148" s="11">
        <f t="shared" si="13"/>
        <v>5</v>
      </c>
      <c r="H148" s="11">
        <f t="shared" si="14"/>
        <v>16</v>
      </c>
      <c r="I148" s="10">
        <v>39644</v>
      </c>
      <c r="J148" s="9" t="s">
        <v>22</v>
      </c>
      <c r="K148" s="9" t="s">
        <v>540</v>
      </c>
      <c r="L148" s="9" t="s">
        <v>34</v>
      </c>
      <c r="M148" s="9" t="s">
        <v>134</v>
      </c>
      <c r="N148" s="11">
        <v>10</v>
      </c>
      <c r="O148" s="12">
        <f t="shared" ca="1" si="15"/>
        <v>15.416438356164383</v>
      </c>
      <c r="P148" s="12">
        <f t="shared" ca="1" si="16"/>
        <v>25.416438356164385</v>
      </c>
      <c r="Q148" s="12" t="s">
        <v>26</v>
      </c>
      <c r="R148" s="9" t="s">
        <v>27</v>
      </c>
      <c r="S148" s="9" t="s">
        <v>36</v>
      </c>
      <c r="T148" s="9" t="s">
        <v>137</v>
      </c>
    </row>
    <row r="149" spans="1:20" ht="36" customHeight="1">
      <c r="A149" s="6">
        <f t="shared" si="17"/>
        <v>148</v>
      </c>
      <c r="B149" s="7" t="s">
        <v>541</v>
      </c>
      <c r="C149" s="8" t="s">
        <v>542</v>
      </c>
      <c r="D149" s="9" t="s">
        <v>26</v>
      </c>
      <c r="E149" s="10">
        <v>29723</v>
      </c>
      <c r="F149" s="11">
        <f t="shared" ca="1" si="12"/>
        <v>42.597260273972601</v>
      </c>
      <c r="G149" s="11">
        <f t="shared" si="13"/>
        <v>5</v>
      </c>
      <c r="H149" s="11">
        <f t="shared" si="14"/>
        <v>17</v>
      </c>
      <c r="I149" s="10">
        <v>39645</v>
      </c>
      <c r="J149" s="9" t="s">
        <v>50</v>
      </c>
      <c r="K149" s="9" t="s">
        <v>543</v>
      </c>
      <c r="L149" s="9" t="s">
        <v>60</v>
      </c>
      <c r="M149" s="9" t="s">
        <v>134</v>
      </c>
      <c r="N149" s="11">
        <v>7</v>
      </c>
      <c r="O149" s="12">
        <f t="shared" ca="1" si="15"/>
        <v>15.413698630136986</v>
      </c>
      <c r="P149" s="12">
        <f t="shared" ca="1" si="16"/>
        <v>22.413698630136984</v>
      </c>
      <c r="Q149" s="12" t="s">
        <v>26</v>
      </c>
      <c r="R149" s="9" t="s">
        <v>27</v>
      </c>
      <c r="S149" s="9" t="s">
        <v>28</v>
      </c>
      <c r="T149" s="9" t="s">
        <v>29</v>
      </c>
    </row>
    <row r="150" spans="1:20" ht="36" customHeight="1">
      <c r="A150" s="6">
        <f t="shared" si="17"/>
        <v>149</v>
      </c>
      <c r="B150" s="7" t="s">
        <v>545</v>
      </c>
      <c r="C150" s="8" t="s">
        <v>546</v>
      </c>
      <c r="D150" s="9" t="s">
        <v>26</v>
      </c>
      <c r="E150" s="10">
        <v>29045</v>
      </c>
      <c r="F150" s="11">
        <f t="shared" ca="1" si="12"/>
        <v>44.454794520547942</v>
      </c>
      <c r="G150" s="11">
        <f t="shared" si="13"/>
        <v>7</v>
      </c>
      <c r="H150" s="11">
        <f t="shared" si="14"/>
        <v>9</v>
      </c>
      <c r="I150" s="10">
        <v>39646</v>
      </c>
      <c r="J150" s="9" t="s">
        <v>50</v>
      </c>
      <c r="K150" s="9" t="s">
        <v>543</v>
      </c>
      <c r="L150" s="9" t="s">
        <v>34</v>
      </c>
      <c r="M150" s="9" t="s">
        <v>35</v>
      </c>
      <c r="N150" s="11">
        <v>8.6999999999999993</v>
      </c>
      <c r="O150" s="12">
        <f t="shared" ca="1" si="15"/>
        <v>15.41095890410959</v>
      </c>
      <c r="P150" s="12">
        <f t="shared" ca="1" si="16"/>
        <v>24.110958904109587</v>
      </c>
      <c r="Q150" s="12" t="s">
        <v>26</v>
      </c>
      <c r="R150" s="9" t="s">
        <v>27</v>
      </c>
      <c r="S150" s="9" t="s">
        <v>36</v>
      </c>
      <c r="T150" s="9" t="s">
        <v>186</v>
      </c>
    </row>
    <row r="151" spans="1:20" ht="36" customHeight="1">
      <c r="A151" s="6">
        <f t="shared" si="17"/>
        <v>150</v>
      </c>
      <c r="B151" s="7" t="s">
        <v>547</v>
      </c>
      <c r="C151" s="8" t="s">
        <v>548</v>
      </c>
      <c r="D151" s="9" t="s">
        <v>26</v>
      </c>
      <c r="E151" s="10">
        <v>26606</v>
      </c>
      <c r="F151" s="11">
        <f t="shared" ca="1" si="12"/>
        <v>51.136986301369866</v>
      </c>
      <c r="G151" s="11">
        <f t="shared" si="13"/>
        <v>11</v>
      </c>
      <c r="H151" s="11">
        <f t="shared" si="14"/>
        <v>3</v>
      </c>
      <c r="I151" s="10">
        <v>39653</v>
      </c>
      <c r="J151" s="9" t="s">
        <v>132</v>
      </c>
      <c r="K151" s="9" t="s">
        <v>549</v>
      </c>
      <c r="L151" s="9" t="s">
        <v>161</v>
      </c>
      <c r="M151" s="9" t="s">
        <v>161</v>
      </c>
      <c r="N151" s="11">
        <v>11</v>
      </c>
      <c r="O151" s="12">
        <f t="shared" ca="1" si="15"/>
        <v>15.391780821917807</v>
      </c>
      <c r="P151" s="12">
        <f t="shared" ca="1" si="16"/>
        <v>26.391780821917806</v>
      </c>
      <c r="Q151" s="12" t="s">
        <v>26</v>
      </c>
      <c r="R151" s="9" t="s">
        <v>27</v>
      </c>
      <c r="S151" s="9" t="s">
        <v>28</v>
      </c>
      <c r="T151" s="9" t="s">
        <v>114</v>
      </c>
    </row>
    <row r="152" spans="1:20" ht="36" customHeight="1">
      <c r="A152" s="6">
        <f t="shared" si="17"/>
        <v>151</v>
      </c>
      <c r="B152" s="7" t="s">
        <v>550</v>
      </c>
      <c r="C152" s="8" t="s">
        <v>551</v>
      </c>
      <c r="D152" s="9" t="s">
        <v>26</v>
      </c>
      <c r="E152" s="10">
        <v>25610</v>
      </c>
      <c r="F152" s="11">
        <f t="shared" ca="1" si="12"/>
        <v>53.865753424657534</v>
      </c>
      <c r="G152" s="11">
        <f t="shared" si="13"/>
        <v>2</v>
      </c>
      <c r="H152" s="11">
        <f t="shared" si="14"/>
        <v>11</v>
      </c>
      <c r="I152" s="10">
        <v>39630</v>
      </c>
      <c r="J152" s="9" t="s">
        <v>87</v>
      </c>
      <c r="K152" s="9" t="s">
        <v>552</v>
      </c>
      <c r="L152" s="9" t="s">
        <v>377</v>
      </c>
      <c r="M152" s="9" t="s">
        <v>134</v>
      </c>
      <c r="N152" s="11">
        <v>9</v>
      </c>
      <c r="O152" s="12">
        <f t="shared" ca="1" si="15"/>
        <v>15.454794520547946</v>
      </c>
      <c r="P152" s="12">
        <f t="shared" ca="1" si="16"/>
        <v>24.454794520547946</v>
      </c>
      <c r="Q152" s="12" t="s">
        <v>26</v>
      </c>
      <c r="R152" s="9" t="s">
        <v>27</v>
      </c>
      <c r="S152" s="9" t="s">
        <v>36</v>
      </c>
      <c r="T152" s="9" t="s">
        <v>137</v>
      </c>
    </row>
    <row r="153" spans="1:20" ht="36" customHeight="1">
      <c r="A153" s="6">
        <f t="shared" si="17"/>
        <v>152</v>
      </c>
      <c r="B153" s="7" t="s">
        <v>553</v>
      </c>
      <c r="C153" s="8" t="s">
        <v>554</v>
      </c>
      <c r="D153" s="9" t="s">
        <v>26</v>
      </c>
      <c r="E153" s="10">
        <v>26281</v>
      </c>
      <c r="F153" s="11">
        <f t="shared" ca="1" si="12"/>
        <v>52.027397260273972</v>
      </c>
      <c r="G153" s="11">
        <f t="shared" si="13"/>
        <v>12</v>
      </c>
      <c r="H153" s="11">
        <f t="shared" si="14"/>
        <v>14</v>
      </c>
      <c r="I153" s="10">
        <v>39630</v>
      </c>
      <c r="J153" s="9" t="s">
        <v>87</v>
      </c>
      <c r="K153" s="9" t="s">
        <v>332</v>
      </c>
      <c r="L153" s="9" t="s">
        <v>34</v>
      </c>
      <c r="M153" s="9" t="s">
        <v>35</v>
      </c>
      <c r="N153" s="11">
        <v>17</v>
      </c>
      <c r="O153" s="12">
        <f t="shared" ca="1" si="15"/>
        <v>15.454794520547946</v>
      </c>
      <c r="P153" s="12">
        <f t="shared" ca="1" si="16"/>
        <v>32.454794520547949</v>
      </c>
      <c r="Q153" s="12" t="s">
        <v>26</v>
      </c>
      <c r="R153" s="9" t="s">
        <v>27</v>
      </c>
      <c r="S153" s="9" t="s">
        <v>36</v>
      </c>
      <c r="T153" s="9" t="s">
        <v>137</v>
      </c>
    </row>
    <row r="154" spans="1:20" ht="36" customHeight="1">
      <c r="A154" s="6">
        <f t="shared" si="17"/>
        <v>153</v>
      </c>
      <c r="B154" s="7" t="s">
        <v>555</v>
      </c>
      <c r="C154" s="8" t="s">
        <v>556</v>
      </c>
      <c r="D154" s="9" t="s">
        <v>26</v>
      </c>
      <c r="E154" s="10">
        <v>26473</v>
      </c>
      <c r="F154" s="11">
        <f t="shared" ca="1" si="12"/>
        <v>51.5013698630137</v>
      </c>
      <c r="G154" s="11">
        <f t="shared" si="13"/>
        <v>6</v>
      </c>
      <c r="H154" s="11">
        <f t="shared" si="14"/>
        <v>23</v>
      </c>
      <c r="I154" s="10">
        <v>39203</v>
      </c>
      <c r="J154" s="9" t="s">
        <v>87</v>
      </c>
      <c r="K154" s="9" t="s">
        <v>332</v>
      </c>
      <c r="L154" s="9" t="s">
        <v>34</v>
      </c>
      <c r="M154" s="9" t="s">
        <v>35</v>
      </c>
      <c r="N154" s="11">
        <v>12</v>
      </c>
      <c r="O154" s="12">
        <f t="shared" ca="1" si="15"/>
        <v>16.624657534246577</v>
      </c>
      <c r="P154" s="12">
        <f t="shared" ca="1" si="16"/>
        <v>28.624657534246577</v>
      </c>
      <c r="Q154" s="12" t="s">
        <v>26</v>
      </c>
      <c r="R154" s="9" t="s">
        <v>27</v>
      </c>
      <c r="S154" s="9" t="s">
        <v>36</v>
      </c>
      <c r="T154" s="9" t="s">
        <v>137</v>
      </c>
    </row>
    <row r="155" spans="1:20" ht="36" customHeight="1">
      <c r="A155" s="6">
        <f t="shared" si="17"/>
        <v>154</v>
      </c>
      <c r="B155" s="7" t="s">
        <v>557</v>
      </c>
      <c r="C155" s="8" t="s">
        <v>558</v>
      </c>
      <c r="D155" s="9" t="s">
        <v>26</v>
      </c>
      <c r="E155" s="10">
        <v>25037</v>
      </c>
      <c r="F155" s="11">
        <f t="shared" ca="1" si="12"/>
        <v>55.435616438356163</v>
      </c>
      <c r="G155" s="11">
        <f t="shared" si="13"/>
        <v>7</v>
      </c>
      <c r="H155" s="11">
        <f t="shared" si="14"/>
        <v>18</v>
      </c>
      <c r="I155" s="10">
        <v>39036</v>
      </c>
      <c r="J155" s="9" t="s">
        <v>93</v>
      </c>
      <c r="K155" s="9" t="s">
        <v>559</v>
      </c>
      <c r="L155" s="9" t="s">
        <v>147</v>
      </c>
      <c r="M155" s="9" t="s">
        <v>35</v>
      </c>
      <c r="N155" s="11">
        <v>12</v>
      </c>
      <c r="O155" s="12">
        <f t="shared" ca="1" si="15"/>
        <v>17.082191780821919</v>
      </c>
      <c r="P155" s="12">
        <f t="shared" ca="1" si="16"/>
        <v>29.082191780821919</v>
      </c>
      <c r="Q155" s="12" t="s">
        <v>26</v>
      </c>
      <c r="R155" s="9" t="s">
        <v>560</v>
      </c>
      <c r="S155" s="9" t="s">
        <v>28</v>
      </c>
      <c r="T155" s="9" t="s">
        <v>29</v>
      </c>
    </row>
    <row r="156" spans="1:20" ht="36" customHeight="1">
      <c r="A156" s="6">
        <f t="shared" si="17"/>
        <v>155</v>
      </c>
      <c r="B156" s="7" t="s">
        <v>561</v>
      </c>
      <c r="C156" s="8" t="s">
        <v>562</v>
      </c>
      <c r="D156" s="9" t="s">
        <v>26</v>
      </c>
      <c r="E156" s="10">
        <v>25058</v>
      </c>
      <c r="F156" s="11">
        <f t="shared" ca="1" si="12"/>
        <v>55.37808219178082</v>
      </c>
      <c r="G156" s="11">
        <f t="shared" si="13"/>
        <v>8</v>
      </c>
      <c r="H156" s="11">
        <f t="shared" si="14"/>
        <v>8</v>
      </c>
      <c r="I156" s="10">
        <v>39600</v>
      </c>
      <c r="J156" s="9" t="s">
        <v>32</v>
      </c>
      <c r="K156" s="9" t="s">
        <v>313</v>
      </c>
      <c r="L156" s="9" t="s">
        <v>563</v>
      </c>
      <c r="M156" s="9" t="s">
        <v>134</v>
      </c>
      <c r="N156" s="11">
        <v>15</v>
      </c>
      <c r="O156" s="12">
        <f t="shared" ca="1" si="15"/>
        <v>15.536986301369863</v>
      </c>
      <c r="P156" s="12">
        <f t="shared" ca="1" si="16"/>
        <v>30.536986301369865</v>
      </c>
      <c r="Q156" s="12" t="s">
        <v>26</v>
      </c>
      <c r="R156" s="9" t="s">
        <v>197</v>
      </c>
      <c r="S156" s="9" t="s">
        <v>36</v>
      </c>
      <c r="T156" s="9" t="s">
        <v>137</v>
      </c>
    </row>
    <row r="157" spans="1:20" ht="36" customHeight="1">
      <c r="A157" s="6">
        <f t="shared" si="17"/>
        <v>156</v>
      </c>
      <c r="B157" s="7" t="s">
        <v>564</v>
      </c>
      <c r="C157" s="8" t="s">
        <v>565</v>
      </c>
      <c r="D157" s="9" t="s">
        <v>26</v>
      </c>
      <c r="E157" s="10">
        <v>29397</v>
      </c>
      <c r="F157" s="11">
        <f t="shared" ca="1" si="12"/>
        <v>43.490410958904107</v>
      </c>
      <c r="G157" s="11">
        <f t="shared" si="13"/>
        <v>6</v>
      </c>
      <c r="H157" s="11">
        <f t="shared" si="14"/>
        <v>25</v>
      </c>
      <c r="I157" s="10">
        <v>39661</v>
      </c>
      <c r="J157" s="9" t="s">
        <v>22</v>
      </c>
      <c r="K157" s="9" t="s">
        <v>566</v>
      </c>
      <c r="L157" s="9" t="s">
        <v>369</v>
      </c>
      <c r="M157" s="9" t="s">
        <v>25</v>
      </c>
      <c r="N157" s="11">
        <v>3</v>
      </c>
      <c r="O157" s="12">
        <f t="shared" ca="1" si="15"/>
        <v>15.36986301369863</v>
      </c>
      <c r="P157" s="12">
        <f t="shared" ca="1" si="16"/>
        <v>18.36986301369863</v>
      </c>
      <c r="Q157" s="12" t="s">
        <v>68</v>
      </c>
      <c r="R157" s="9" t="s">
        <v>27</v>
      </c>
      <c r="S157" s="9" t="s">
        <v>36</v>
      </c>
      <c r="T157" s="9" t="s">
        <v>72</v>
      </c>
    </row>
    <row r="158" spans="1:20" ht="36" customHeight="1">
      <c r="A158" s="6">
        <f t="shared" si="17"/>
        <v>157</v>
      </c>
      <c r="B158" s="7" t="s">
        <v>567</v>
      </c>
      <c r="C158" s="8" t="s">
        <v>568</v>
      </c>
      <c r="D158" s="9" t="s">
        <v>26</v>
      </c>
      <c r="E158" s="10">
        <v>29123</v>
      </c>
      <c r="F158" s="11">
        <f t="shared" ca="1" si="12"/>
        <v>44.241095890410961</v>
      </c>
      <c r="G158" s="11">
        <f t="shared" si="13"/>
        <v>9</v>
      </c>
      <c r="H158" s="11">
        <f t="shared" si="14"/>
        <v>25</v>
      </c>
      <c r="I158" s="10">
        <v>39664</v>
      </c>
      <c r="J158" s="9" t="s">
        <v>22</v>
      </c>
      <c r="K158" s="9" t="s">
        <v>266</v>
      </c>
      <c r="L158" s="9" t="s">
        <v>34</v>
      </c>
      <c r="M158" s="9" t="s">
        <v>35</v>
      </c>
      <c r="N158" s="11">
        <v>9.1917808219178081</v>
      </c>
      <c r="O158" s="12">
        <f t="shared" ca="1" si="15"/>
        <v>15.361643835616439</v>
      </c>
      <c r="P158" s="12">
        <f t="shared" ca="1" si="16"/>
        <v>24.553424657534247</v>
      </c>
      <c r="Q158" s="12" t="s">
        <v>26</v>
      </c>
      <c r="R158" s="9" t="s">
        <v>27</v>
      </c>
      <c r="S158" s="9" t="s">
        <v>36</v>
      </c>
      <c r="T158" s="9" t="s">
        <v>186</v>
      </c>
    </row>
    <row r="159" spans="1:20" ht="36" customHeight="1">
      <c r="A159" s="6">
        <f t="shared" si="17"/>
        <v>158</v>
      </c>
      <c r="B159" s="7" t="s">
        <v>569</v>
      </c>
      <c r="C159" s="8" t="s">
        <v>570</v>
      </c>
      <c r="D159" s="9" t="s">
        <v>26</v>
      </c>
      <c r="E159" s="10">
        <v>26073</v>
      </c>
      <c r="F159" s="11">
        <f t="shared" ca="1" si="12"/>
        <v>52.597260273972601</v>
      </c>
      <c r="G159" s="11">
        <f t="shared" si="13"/>
        <v>5</v>
      </c>
      <c r="H159" s="11">
        <f t="shared" si="14"/>
        <v>20</v>
      </c>
      <c r="I159" s="10">
        <v>39664</v>
      </c>
      <c r="J159" s="9" t="s">
        <v>58</v>
      </c>
      <c r="K159" s="9" t="s">
        <v>79</v>
      </c>
      <c r="L159" s="9" t="s">
        <v>34</v>
      </c>
      <c r="M159" s="9" t="s">
        <v>35</v>
      </c>
      <c r="N159" s="11">
        <v>7</v>
      </c>
      <c r="O159" s="12">
        <f t="shared" ca="1" si="15"/>
        <v>15.361643835616439</v>
      </c>
      <c r="P159" s="12">
        <f t="shared" ca="1" si="16"/>
        <v>22.361643835616441</v>
      </c>
      <c r="Q159" s="12" t="s">
        <v>26</v>
      </c>
      <c r="R159" s="9" t="s">
        <v>27</v>
      </c>
      <c r="S159" s="9" t="s">
        <v>36</v>
      </c>
      <c r="T159" s="9" t="s">
        <v>186</v>
      </c>
    </row>
    <row r="160" spans="1:20" ht="36" customHeight="1">
      <c r="A160" s="6">
        <f t="shared" si="17"/>
        <v>159</v>
      </c>
      <c r="B160" s="7" t="s">
        <v>571</v>
      </c>
      <c r="C160" s="8" t="s">
        <v>572</v>
      </c>
      <c r="D160" s="9" t="s">
        <v>26</v>
      </c>
      <c r="E160" s="10">
        <v>29599</v>
      </c>
      <c r="F160" s="11">
        <f t="shared" ca="1" si="12"/>
        <v>42.936986301369863</v>
      </c>
      <c r="G160" s="11">
        <f t="shared" si="13"/>
        <v>1</v>
      </c>
      <c r="H160" s="11">
        <f t="shared" si="14"/>
        <v>13</v>
      </c>
      <c r="I160" s="10">
        <v>39664</v>
      </c>
      <c r="J160" s="9" t="s">
        <v>50</v>
      </c>
      <c r="K160" s="9" t="s">
        <v>573</v>
      </c>
      <c r="L160" s="9" t="s">
        <v>257</v>
      </c>
      <c r="M160" s="9" t="s">
        <v>257</v>
      </c>
      <c r="N160" s="11">
        <v>0</v>
      </c>
      <c r="O160" s="12">
        <f t="shared" ca="1" si="15"/>
        <v>15.361643835616439</v>
      </c>
      <c r="P160" s="12">
        <f t="shared" ca="1" si="16"/>
        <v>15.361643835616439</v>
      </c>
      <c r="Q160" s="12" t="s">
        <v>26</v>
      </c>
      <c r="R160" s="9" t="s">
        <v>27</v>
      </c>
      <c r="S160" s="9" t="s">
        <v>28</v>
      </c>
      <c r="T160" s="9" t="s">
        <v>259</v>
      </c>
    </row>
    <row r="161" spans="1:20" ht="36" customHeight="1">
      <c r="A161" s="6">
        <f t="shared" si="17"/>
        <v>160</v>
      </c>
      <c r="B161" s="7" t="s">
        <v>574</v>
      </c>
      <c r="C161" s="8" t="s">
        <v>575</v>
      </c>
      <c r="D161" s="9" t="s">
        <v>26</v>
      </c>
      <c r="E161" s="10">
        <v>29445</v>
      </c>
      <c r="F161" s="11">
        <f t="shared" ca="1" si="12"/>
        <v>43.358904109589041</v>
      </c>
      <c r="G161" s="11">
        <f t="shared" si="13"/>
        <v>8</v>
      </c>
      <c r="H161" s="11">
        <f t="shared" si="14"/>
        <v>12</v>
      </c>
      <c r="I161" s="10">
        <v>39650</v>
      </c>
      <c r="J161" s="9" t="s">
        <v>87</v>
      </c>
      <c r="K161" s="9" t="s">
        <v>576</v>
      </c>
      <c r="L161" s="9" t="s">
        <v>490</v>
      </c>
      <c r="M161" s="9" t="s">
        <v>491</v>
      </c>
      <c r="N161" s="19">
        <v>2</v>
      </c>
      <c r="O161" s="12">
        <f t="shared" ca="1" si="15"/>
        <v>15.4</v>
      </c>
      <c r="P161" s="12">
        <f t="shared" ca="1" si="16"/>
        <v>17.399999999999999</v>
      </c>
      <c r="Q161" s="12" t="s">
        <v>26</v>
      </c>
      <c r="R161" s="9" t="s">
        <v>577</v>
      </c>
      <c r="S161" s="9" t="s">
        <v>28</v>
      </c>
      <c r="T161" s="9" t="s">
        <v>492</v>
      </c>
    </row>
    <row r="162" spans="1:20" ht="36" customHeight="1">
      <c r="A162" s="6">
        <f t="shared" si="17"/>
        <v>161</v>
      </c>
      <c r="B162" s="7" t="s">
        <v>578</v>
      </c>
      <c r="C162" s="8" t="s">
        <v>579</v>
      </c>
      <c r="D162" s="9" t="s">
        <v>26</v>
      </c>
      <c r="E162" s="10">
        <v>24930</v>
      </c>
      <c r="F162" s="11">
        <f t="shared" ca="1" si="12"/>
        <v>55.728767123287675</v>
      </c>
      <c r="G162" s="11">
        <f t="shared" si="13"/>
        <v>4</v>
      </c>
      <c r="H162" s="11">
        <f t="shared" si="14"/>
        <v>2</v>
      </c>
      <c r="I162" s="10">
        <v>39666</v>
      </c>
      <c r="J162" s="9" t="s">
        <v>50</v>
      </c>
      <c r="K162" s="9" t="s">
        <v>580</v>
      </c>
      <c r="L162" s="9" t="s">
        <v>60</v>
      </c>
      <c r="M162" s="9" t="s">
        <v>35</v>
      </c>
      <c r="N162" s="11">
        <v>17</v>
      </c>
      <c r="O162" s="12">
        <f t="shared" ca="1" si="15"/>
        <v>15.356164383561644</v>
      </c>
      <c r="P162" s="12">
        <f t="shared" ca="1" si="16"/>
        <v>32.356164383561648</v>
      </c>
      <c r="Q162" s="12" t="s">
        <v>26</v>
      </c>
      <c r="R162" s="9" t="s">
        <v>27</v>
      </c>
      <c r="S162" s="9" t="s">
        <v>36</v>
      </c>
      <c r="T162" s="9" t="s">
        <v>72</v>
      </c>
    </row>
    <row r="163" spans="1:20" ht="36" customHeight="1">
      <c r="A163" s="6">
        <f t="shared" si="17"/>
        <v>162</v>
      </c>
      <c r="B163" s="7" t="s">
        <v>581</v>
      </c>
      <c r="C163" s="8" t="s">
        <v>582</v>
      </c>
      <c r="D163" s="9" t="s">
        <v>26</v>
      </c>
      <c r="E163" s="10">
        <v>30027</v>
      </c>
      <c r="F163" s="11">
        <f t="shared" ca="1" si="12"/>
        <v>41.764383561643832</v>
      </c>
      <c r="G163" s="11">
        <f t="shared" si="13"/>
        <v>3</v>
      </c>
      <c r="H163" s="11">
        <f t="shared" si="14"/>
        <v>17</v>
      </c>
      <c r="I163" s="10">
        <v>39667</v>
      </c>
      <c r="J163" s="9" t="s">
        <v>132</v>
      </c>
      <c r="K163" s="9" t="s">
        <v>583</v>
      </c>
      <c r="L163" s="9" t="s">
        <v>471</v>
      </c>
      <c r="M163" s="9" t="s">
        <v>472</v>
      </c>
      <c r="N163" s="11">
        <v>1</v>
      </c>
      <c r="O163" s="12">
        <f t="shared" ca="1" si="15"/>
        <v>15.353424657534246</v>
      </c>
      <c r="P163" s="12">
        <f t="shared" ca="1" si="16"/>
        <v>16.353424657534248</v>
      </c>
      <c r="Q163" s="12" t="s">
        <v>68</v>
      </c>
      <c r="R163" s="9" t="s">
        <v>27</v>
      </c>
      <c r="S163" s="9" t="s">
        <v>28</v>
      </c>
      <c r="T163" s="9" t="s">
        <v>29</v>
      </c>
    </row>
    <row r="164" spans="1:20" ht="36" customHeight="1">
      <c r="A164" s="6">
        <f t="shared" si="17"/>
        <v>163</v>
      </c>
      <c r="B164" s="7" t="s">
        <v>584</v>
      </c>
      <c r="C164" s="8" t="s">
        <v>585</v>
      </c>
      <c r="D164" s="9" t="s">
        <v>26</v>
      </c>
      <c r="E164" s="10">
        <v>31971</v>
      </c>
      <c r="F164" s="11">
        <f t="shared" ca="1" si="12"/>
        <v>36.438356164383563</v>
      </c>
      <c r="G164" s="11">
        <f t="shared" si="13"/>
        <v>7</v>
      </c>
      <c r="H164" s="11">
        <f t="shared" si="14"/>
        <v>13</v>
      </c>
      <c r="I164" s="10">
        <v>39673</v>
      </c>
      <c r="J164" s="9" t="s">
        <v>110</v>
      </c>
      <c r="K164" s="9" t="s">
        <v>495</v>
      </c>
      <c r="L164" s="9" t="s">
        <v>147</v>
      </c>
      <c r="M164" s="9" t="s">
        <v>134</v>
      </c>
      <c r="N164" s="11">
        <v>2</v>
      </c>
      <c r="O164" s="12">
        <f t="shared" ca="1" si="15"/>
        <v>15.336986301369864</v>
      </c>
      <c r="P164" s="12">
        <f t="shared" ca="1" si="16"/>
        <v>17.336986301369862</v>
      </c>
      <c r="Q164" s="12" t="s">
        <v>68</v>
      </c>
      <c r="R164" s="9" t="s">
        <v>27</v>
      </c>
      <c r="S164" s="9" t="s">
        <v>36</v>
      </c>
      <c r="T164" s="9" t="s">
        <v>137</v>
      </c>
    </row>
    <row r="165" spans="1:20" ht="36" customHeight="1">
      <c r="A165" s="6">
        <f t="shared" si="17"/>
        <v>164</v>
      </c>
      <c r="B165" s="7" t="s">
        <v>586</v>
      </c>
      <c r="C165" s="8" t="s">
        <v>587</v>
      </c>
      <c r="D165" s="9" t="s">
        <v>26</v>
      </c>
      <c r="E165" s="10">
        <v>29021</v>
      </c>
      <c r="F165" s="11">
        <f t="shared" ca="1" si="12"/>
        <v>44.520547945205479</v>
      </c>
      <c r="G165" s="11">
        <f t="shared" si="13"/>
        <v>6</v>
      </c>
      <c r="H165" s="11">
        <f t="shared" si="14"/>
        <v>15</v>
      </c>
      <c r="I165" s="10">
        <v>39678</v>
      </c>
      <c r="J165" s="9" t="s">
        <v>50</v>
      </c>
      <c r="K165" s="9" t="s">
        <v>159</v>
      </c>
      <c r="L165" s="9" t="s">
        <v>369</v>
      </c>
      <c r="M165" s="9" t="s">
        <v>25</v>
      </c>
      <c r="N165" s="11">
        <v>5</v>
      </c>
      <c r="O165" s="12">
        <f t="shared" ca="1" si="15"/>
        <v>15.323287671232876</v>
      </c>
      <c r="P165" s="12">
        <f t="shared" ca="1" si="16"/>
        <v>20.323287671232876</v>
      </c>
      <c r="Q165" s="12" t="s">
        <v>26</v>
      </c>
      <c r="R165" s="9" t="s">
        <v>27</v>
      </c>
      <c r="S165" s="9" t="s">
        <v>36</v>
      </c>
      <c r="T165" s="9" t="s">
        <v>72</v>
      </c>
    </row>
    <row r="166" spans="1:20" ht="36" customHeight="1">
      <c r="A166" s="6">
        <f t="shared" si="17"/>
        <v>165</v>
      </c>
      <c r="B166" s="7" t="s">
        <v>588</v>
      </c>
      <c r="C166" s="8" t="s">
        <v>589</v>
      </c>
      <c r="D166" s="9" t="s">
        <v>26</v>
      </c>
      <c r="E166" s="10">
        <v>17472</v>
      </c>
      <c r="F166" s="11">
        <f t="shared" ca="1" si="12"/>
        <v>76.161643835616445</v>
      </c>
      <c r="G166" s="11">
        <f t="shared" si="13"/>
        <v>11</v>
      </c>
      <c r="H166" s="11">
        <f t="shared" si="14"/>
        <v>1</v>
      </c>
      <c r="I166" s="10">
        <v>39680</v>
      </c>
      <c r="J166" s="9" t="s">
        <v>192</v>
      </c>
      <c r="K166" s="9" t="s">
        <v>590</v>
      </c>
      <c r="L166" s="9" t="s">
        <v>591</v>
      </c>
      <c r="M166" s="9" t="s">
        <v>591</v>
      </c>
      <c r="N166" s="11">
        <v>27</v>
      </c>
      <c r="O166" s="12">
        <f t="shared" ca="1" si="15"/>
        <v>15.317808219178081</v>
      </c>
      <c r="P166" s="12">
        <f t="shared" ca="1" si="16"/>
        <v>42.317808219178083</v>
      </c>
      <c r="Q166" s="12" t="s">
        <v>26</v>
      </c>
      <c r="R166" s="9" t="s">
        <v>27</v>
      </c>
      <c r="S166" s="9" t="s">
        <v>28</v>
      </c>
      <c r="T166" s="9" t="s">
        <v>29</v>
      </c>
    </row>
    <row r="167" spans="1:20" ht="36" customHeight="1">
      <c r="A167" s="6">
        <f t="shared" si="17"/>
        <v>166</v>
      </c>
      <c r="B167" s="7" t="s">
        <v>592</v>
      </c>
      <c r="C167" s="8" t="s">
        <v>593</v>
      </c>
      <c r="D167" s="9" t="s">
        <v>26</v>
      </c>
      <c r="E167" s="10">
        <v>31174</v>
      </c>
      <c r="F167" s="11">
        <f t="shared" ca="1" si="12"/>
        <v>38.62191780821918</v>
      </c>
      <c r="G167" s="11">
        <f t="shared" si="13"/>
        <v>5</v>
      </c>
      <c r="H167" s="11">
        <f t="shared" si="14"/>
        <v>7</v>
      </c>
      <c r="I167" s="10">
        <v>39685</v>
      </c>
      <c r="J167" s="9" t="s">
        <v>45</v>
      </c>
      <c r="K167" s="9" t="s">
        <v>477</v>
      </c>
      <c r="L167" s="9" t="s">
        <v>34</v>
      </c>
      <c r="M167" s="9" t="s">
        <v>35</v>
      </c>
      <c r="N167" s="11">
        <v>1</v>
      </c>
      <c r="O167" s="12">
        <f t="shared" ca="1" si="15"/>
        <v>15.304109589041095</v>
      </c>
      <c r="P167" s="12">
        <f t="shared" ca="1" si="16"/>
        <v>16.304109589041097</v>
      </c>
      <c r="Q167" s="12" t="s">
        <v>26</v>
      </c>
      <c r="R167" s="9" t="s">
        <v>95</v>
      </c>
      <c r="S167" s="9" t="s">
        <v>36</v>
      </c>
      <c r="T167" s="9" t="s">
        <v>72</v>
      </c>
    </row>
    <row r="168" spans="1:20" ht="36" customHeight="1">
      <c r="A168" s="6">
        <f t="shared" si="17"/>
        <v>167</v>
      </c>
      <c r="B168" s="7" t="s">
        <v>594</v>
      </c>
      <c r="C168" s="8" t="s">
        <v>595</v>
      </c>
      <c r="D168" s="9" t="s">
        <v>26</v>
      </c>
      <c r="E168" s="10">
        <v>19263</v>
      </c>
      <c r="F168" s="11">
        <f t="shared" ca="1" si="12"/>
        <v>71.254794520547946</v>
      </c>
      <c r="G168" s="11">
        <f t="shared" si="13"/>
        <v>9</v>
      </c>
      <c r="H168" s="11">
        <f t="shared" si="14"/>
        <v>26</v>
      </c>
      <c r="I168" s="10">
        <v>39692</v>
      </c>
      <c r="J168" s="9" t="s">
        <v>125</v>
      </c>
      <c r="K168" s="9" t="s">
        <v>126</v>
      </c>
      <c r="L168" s="9" t="s">
        <v>127</v>
      </c>
      <c r="M168" s="9" t="s">
        <v>165</v>
      </c>
      <c r="N168" s="11">
        <v>35.299999999999997</v>
      </c>
      <c r="O168" s="12">
        <f t="shared" ca="1" si="15"/>
        <v>15.284931506849315</v>
      </c>
      <c r="P168" s="12">
        <f t="shared" ca="1" si="16"/>
        <v>50.584931506849315</v>
      </c>
      <c r="Q168" s="12" t="s">
        <v>26</v>
      </c>
      <c r="R168" s="9" t="s">
        <v>27</v>
      </c>
      <c r="S168" s="9" t="s">
        <v>28</v>
      </c>
      <c r="T168" s="9" t="s">
        <v>29</v>
      </c>
    </row>
    <row r="169" spans="1:20" ht="36" customHeight="1">
      <c r="A169" s="6">
        <f t="shared" si="17"/>
        <v>168</v>
      </c>
      <c r="B169" s="7" t="s">
        <v>596</v>
      </c>
      <c r="C169" s="8" t="s">
        <v>597</v>
      </c>
      <c r="D169" s="9" t="s">
        <v>21</v>
      </c>
      <c r="E169" s="10">
        <v>28949</v>
      </c>
      <c r="F169" s="11">
        <f t="shared" ca="1" si="12"/>
        <v>44.717808219178082</v>
      </c>
      <c r="G169" s="11">
        <f t="shared" si="13"/>
        <v>4</v>
      </c>
      <c r="H169" s="11">
        <f t="shared" si="14"/>
        <v>4</v>
      </c>
      <c r="I169" s="10">
        <v>39692</v>
      </c>
      <c r="J169" s="9" t="s">
        <v>226</v>
      </c>
      <c r="K169" s="9" t="s">
        <v>227</v>
      </c>
      <c r="L169" s="9" t="s">
        <v>100</v>
      </c>
      <c r="M169" s="9" t="s">
        <v>25</v>
      </c>
      <c r="N169" s="11">
        <v>5</v>
      </c>
      <c r="O169" s="12">
        <f t="shared" ca="1" si="15"/>
        <v>15.284931506849315</v>
      </c>
      <c r="P169" s="12">
        <f t="shared" ca="1" si="16"/>
        <v>20.284931506849315</v>
      </c>
      <c r="Q169" s="12" t="s">
        <v>68</v>
      </c>
      <c r="R169" s="9" t="s">
        <v>27</v>
      </c>
      <c r="S169" s="9" t="s">
        <v>28</v>
      </c>
      <c r="T169" s="9" t="s">
        <v>29</v>
      </c>
    </row>
    <row r="170" spans="1:20" ht="36" customHeight="1">
      <c r="A170" s="6">
        <f t="shared" si="17"/>
        <v>169</v>
      </c>
      <c r="B170" s="7" t="s">
        <v>598</v>
      </c>
      <c r="C170" s="8" t="s">
        <v>599</v>
      </c>
      <c r="D170" s="9" t="s">
        <v>21</v>
      </c>
      <c r="E170" s="10">
        <v>31333</v>
      </c>
      <c r="F170" s="11">
        <f t="shared" ca="1" si="12"/>
        <v>38.186301369863017</v>
      </c>
      <c r="G170" s="11">
        <f t="shared" si="13"/>
        <v>10</v>
      </c>
      <c r="H170" s="11">
        <f t="shared" si="14"/>
        <v>13</v>
      </c>
      <c r="I170" s="10">
        <v>39692</v>
      </c>
      <c r="J170" s="9" t="s">
        <v>226</v>
      </c>
      <c r="K170" s="9" t="s">
        <v>600</v>
      </c>
      <c r="L170" s="9" t="s">
        <v>213</v>
      </c>
      <c r="M170" s="9" t="s">
        <v>35</v>
      </c>
      <c r="N170" s="11">
        <v>0</v>
      </c>
      <c r="O170" s="12">
        <f t="shared" ca="1" si="15"/>
        <v>15.284931506849315</v>
      </c>
      <c r="P170" s="12">
        <f t="shared" ca="1" si="16"/>
        <v>15.284931506849315</v>
      </c>
      <c r="Q170" s="12" t="s">
        <v>68</v>
      </c>
      <c r="R170" s="9" t="s">
        <v>27</v>
      </c>
      <c r="S170" s="9" t="s">
        <v>28</v>
      </c>
      <c r="T170" s="9" t="s">
        <v>29</v>
      </c>
    </row>
    <row r="171" spans="1:20" ht="36" customHeight="1">
      <c r="A171" s="6">
        <f t="shared" si="17"/>
        <v>170</v>
      </c>
      <c r="B171" s="7" t="s">
        <v>601</v>
      </c>
      <c r="C171" s="8" t="s">
        <v>602</v>
      </c>
      <c r="D171" s="9" t="s">
        <v>26</v>
      </c>
      <c r="E171" s="10">
        <v>23087</v>
      </c>
      <c r="F171" s="11">
        <f t="shared" ca="1" si="12"/>
        <v>60.778082191780825</v>
      </c>
      <c r="G171" s="11">
        <f t="shared" si="13"/>
        <v>3</v>
      </c>
      <c r="H171" s="11">
        <f t="shared" si="14"/>
        <v>17</v>
      </c>
      <c r="I171" s="10">
        <v>39692</v>
      </c>
      <c r="J171" s="9" t="s">
        <v>93</v>
      </c>
      <c r="K171" s="9" t="s">
        <v>603</v>
      </c>
      <c r="L171" s="9" t="s">
        <v>604</v>
      </c>
      <c r="M171" s="9" t="s">
        <v>25</v>
      </c>
      <c r="N171" s="11">
        <v>20</v>
      </c>
      <c r="O171" s="12">
        <f t="shared" ca="1" si="15"/>
        <v>15.284931506849315</v>
      </c>
      <c r="P171" s="12">
        <f t="shared" ca="1" si="16"/>
        <v>35.284931506849318</v>
      </c>
      <c r="Q171" s="12" t="s">
        <v>26</v>
      </c>
      <c r="R171" s="9" t="s">
        <v>27</v>
      </c>
      <c r="S171" s="9" t="s">
        <v>28</v>
      </c>
      <c r="T171" s="9" t="s">
        <v>114</v>
      </c>
    </row>
    <row r="172" spans="1:20" ht="36" customHeight="1">
      <c r="A172" s="6">
        <f t="shared" si="17"/>
        <v>171</v>
      </c>
      <c r="B172" s="7" t="s">
        <v>605</v>
      </c>
      <c r="C172" s="8" t="s">
        <v>606</v>
      </c>
      <c r="D172" s="9" t="s">
        <v>26</v>
      </c>
      <c r="E172" s="10">
        <v>28585</v>
      </c>
      <c r="F172" s="11">
        <f t="shared" ca="1" si="12"/>
        <v>45.715068493150682</v>
      </c>
      <c r="G172" s="11">
        <f t="shared" si="13"/>
        <v>4</v>
      </c>
      <c r="H172" s="11">
        <f t="shared" si="14"/>
        <v>5</v>
      </c>
      <c r="I172" s="10">
        <v>39699</v>
      </c>
      <c r="J172" s="9" t="s">
        <v>50</v>
      </c>
      <c r="K172" s="9" t="s">
        <v>607</v>
      </c>
      <c r="L172" s="9" t="s">
        <v>34</v>
      </c>
      <c r="M172" s="9" t="s">
        <v>35</v>
      </c>
      <c r="N172" s="11">
        <v>6</v>
      </c>
      <c r="O172" s="12">
        <f t="shared" ca="1" si="15"/>
        <v>15.265753424657534</v>
      </c>
      <c r="P172" s="12">
        <f t="shared" ca="1" si="16"/>
        <v>21.265753424657532</v>
      </c>
      <c r="Q172" s="12" t="s">
        <v>68</v>
      </c>
      <c r="R172" s="9" t="s">
        <v>27</v>
      </c>
      <c r="S172" s="9" t="s">
        <v>36</v>
      </c>
      <c r="T172" s="9" t="s">
        <v>37</v>
      </c>
    </row>
    <row r="173" spans="1:20" ht="36" customHeight="1">
      <c r="A173" s="6">
        <f t="shared" si="17"/>
        <v>172</v>
      </c>
      <c r="B173" s="7" t="s">
        <v>608</v>
      </c>
      <c r="C173" s="8" t="s">
        <v>609</v>
      </c>
      <c r="D173" s="9" t="s">
        <v>26</v>
      </c>
      <c r="E173" s="10">
        <v>20862</v>
      </c>
      <c r="F173" s="11">
        <f t="shared" ca="1" si="12"/>
        <v>66.873972602739727</v>
      </c>
      <c r="G173" s="11">
        <f t="shared" si="13"/>
        <v>2</v>
      </c>
      <c r="H173" s="11">
        <f t="shared" si="14"/>
        <v>11</v>
      </c>
      <c r="I173" s="10">
        <v>39702</v>
      </c>
      <c r="J173" s="9" t="s">
        <v>140</v>
      </c>
      <c r="K173" s="9" t="s">
        <v>610</v>
      </c>
      <c r="L173" s="9" t="s">
        <v>34</v>
      </c>
      <c r="M173" s="9" t="s">
        <v>134</v>
      </c>
      <c r="N173" s="11">
        <v>28</v>
      </c>
      <c r="O173" s="12">
        <f t="shared" ca="1" si="15"/>
        <v>15.257534246575343</v>
      </c>
      <c r="P173" s="12">
        <f t="shared" ca="1" si="16"/>
        <v>43.257534246575347</v>
      </c>
      <c r="Q173" s="12" t="s">
        <v>26</v>
      </c>
      <c r="R173" s="9" t="s">
        <v>27</v>
      </c>
      <c r="S173" s="9" t="s">
        <v>36</v>
      </c>
      <c r="T173" s="9" t="s">
        <v>137</v>
      </c>
    </row>
    <row r="174" spans="1:20" ht="36" customHeight="1">
      <c r="A174" s="6">
        <f t="shared" si="17"/>
        <v>173</v>
      </c>
      <c r="B174" s="7" t="s">
        <v>611</v>
      </c>
      <c r="C174" s="8" t="s">
        <v>612</v>
      </c>
      <c r="D174" s="9" t="s">
        <v>26</v>
      </c>
      <c r="E174" s="10">
        <v>27469</v>
      </c>
      <c r="F174" s="11">
        <f t="shared" ca="1" si="12"/>
        <v>48.772602739726025</v>
      </c>
      <c r="G174" s="11">
        <f t="shared" si="13"/>
        <v>3</v>
      </c>
      <c r="H174" s="11">
        <f t="shared" si="14"/>
        <v>16</v>
      </c>
      <c r="I174" s="10">
        <v>39706</v>
      </c>
      <c r="J174" s="9" t="s">
        <v>50</v>
      </c>
      <c r="K174" s="9" t="s">
        <v>613</v>
      </c>
      <c r="L174" s="9" t="s">
        <v>34</v>
      </c>
      <c r="M174" s="9" t="s">
        <v>165</v>
      </c>
      <c r="N174" s="11">
        <v>12</v>
      </c>
      <c r="O174" s="12">
        <f t="shared" ca="1" si="15"/>
        <v>15.246575342465754</v>
      </c>
      <c r="P174" s="12">
        <f t="shared" ca="1" si="16"/>
        <v>27.246575342465754</v>
      </c>
      <c r="Q174" s="12" t="s">
        <v>26</v>
      </c>
      <c r="R174" s="9" t="s">
        <v>27</v>
      </c>
      <c r="S174" s="9" t="s">
        <v>36</v>
      </c>
      <c r="T174" s="9" t="s">
        <v>37</v>
      </c>
    </row>
    <row r="175" spans="1:20" ht="36" customHeight="1">
      <c r="A175" s="6">
        <f t="shared" si="17"/>
        <v>174</v>
      </c>
      <c r="B175" s="7" t="s">
        <v>614</v>
      </c>
      <c r="C175" s="8" t="s">
        <v>615</v>
      </c>
      <c r="D175" s="9" t="s">
        <v>21</v>
      </c>
      <c r="E175" s="10">
        <v>27336</v>
      </c>
      <c r="F175" s="11">
        <f t="shared" ca="1" si="12"/>
        <v>49.136986301369866</v>
      </c>
      <c r="G175" s="11">
        <f t="shared" si="13"/>
        <v>11</v>
      </c>
      <c r="H175" s="11">
        <f t="shared" si="14"/>
        <v>3</v>
      </c>
      <c r="I175" s="10">
        <v>39708</v>
      </c>
      <c r="J175" s="9" t="s">
        <v>50</v>
      </c>
      <c r="K175" s="9" t="s">
        <v>159</v>
      </c>
      <c r="L175" s="9" t="s">
        <v>231</v>
      </c>
      <c r="M175" s="9" t="s">
        <v>156</v>
      </c>
      <c r="N175" s="11">
        <v>13</v>
      </c>
      <c r="O175" s="12">
        <f t="shared" ca="1" si="15"/>
        <v>15.241095890410959</v>
      </c>
      <c r="P175" s="12">
        <f t="shared" ca="1" si="16"/>
        <v>28.241095890410961</v>
      </c>
      <c r="Q175" s="12" t="s">
        <v>26</v>
      </c>
      <c r="R175" s="9" t="s">
        <v>27</v>
      </c>
      <c r="S175" s="9" t="s">
        <v>28</v>
      </c>
      <c r="T175" s="9" t="s">
        <v>616</v>
      </c>
    </row>
    <row r="176" spans="1:20" ht="36" customHeight="1">
      <c r="A176" s="6">
        <f t="shared" si="17"/>
        <v>175</v>
      </c>
      <c r="B176" s="7" t="s">
        <v>617</v>
      </c>
      <c r="C176" s="8" t="s">
        <v>618</v>
      </c>
      <c r="D176" s="9" t="s">
        <v>26</v>
      </c>
      <c r="E176" s="10">
        <v>29350</v>
      </c>
      <c r="F176" s="11">
        <f t="shared" ca="1" si="12"/>
        <v>43.61917808219178</v>
      </c>
      <c r="G176" s="11">
        <f t="shared" si="13"/>
        <v>5</v>
      </c>
      <c r="H176" s="11">
        <f t="shared" si="14"/>
        <v>9</v>
      </c>
      <c r="I176" s="10">
        <v>39715</v>
      </c>
      <c r="J176" s="9" t="s">
        <v>32</v>
      </c>
      <c r="K176" s="9" t="s">
        <v>583</v>
      </c>
      <c r="L176" s="9" t="s">
        <v>471</v>
      </c>
      <c r="M176" s="9" t="s">
        <v>472</v>
      </c>
      <c r="N176" s="11">
        <v>10</v>
      </c>
      <c r="O176" s="12">
        <f t="shared" ca="1" si="15"/>
        <v>15.221917808219178</v>
      </c>
      <c r="P176" s="12">
        <f t="shared" ca="1" si="16"/>
        <v>25.221917808219178</v>
      </c>
      <c r="Q176" s="12" t="s">
        <v>26</v>
      </c>
      <c r="R176" s="9" t="s">
        <v>27</v>
      </c>
      <c r="S176" s="9" t="s">
        <v>28</v>
      </c>
      <c r="T176" s="9" t="s">
        <v>29</v>
      </c>
    </row>
    <row r="177" spans="1:20" ht="36" customHeight="1">
      <c r="A177" s="6">
        <f t="shared" si="17"/>
        <v>176</v>
      </c>
      <c r="B177" s="7" t="s">
        <v>619</v>
      </c>
      <c r="C177" s="8" t="s">
        <v>620</v>
      </c>
      <c r="D177" s="9" t="s">
        <v>26</v>
      </c>
      <c r="E177" s="10">
        <v>30820</v>
      </c>
      <c r="F177" s="11">
        <f t="shared" ca="1" si="12"/>
        <v>39.591780821917808</v>
      </c>
      <c r="G177" s="11">
        <f t="shared" si="13"/>
        <v>5</v>
      </c>
      <c r="H177" s="11">
        <f t="shared" si="14"/>
        <v>18</v>
      </c>
      <c r="I177" s="10">
        <v>39720</v>
      </c>
      <c r="J177" s="9" t="s">
        <v>226</v>
      </c>
      <c r="K177" s="9" t="s">
        <v>341</v>
      </c>
      <c r="L177" s="9" t="s">
        <v>34</v>
      </c>
      <c r="M177" s="9" t="s">
        <v>35</v>
      </c>
      <c r="N177" s="11">
        <v>4.2</v>
      </c>
      <c r="O177" s="12">
        <f t="shared" ca="1" si="15"/>
        <v>15.208219178082192</v>
      </c>
      <c r="P177" s="12">
        <f t="shared" ca="1" si="16"/>
        <v>19.408219178082192</v>
      </c>
      <c r="Q177" s="12" t="s">
        <v>26</v>
      </c>
      <c r="R177" s="9" t="s">
        <v>27</v>
      </c>
      <c r="S177" s="9" t="s">
        <v>36</v>
      </c>
      <c r="T177" s="9" t="s">
        <v>37</v>
      </c>
    </row>
    <row r="178" spans="1:20" ht="36" customHeight="1">
      <c r="A178" s="6">
        <f t="shared" si="17"/>
        <v>177</v>
      </c>
      <c r="B178" s="7" t="s">
        <v>621</v>
      </c>
      <c r="C178" s="8" t="s">
        <v>622</v>
      </c>
      <c r="D178" s="9" t="s">
        <v>26</v>
      </c>
      <c r="E178" s="10">
        <v>25564</v>
      </c>
      <c r="F178" s="11">
        <f t="shared" ca="1" si="12"/>
        <v>53.991780821917807</v>
      </c>
      <c r="G178" s="11">
        <f t="shared" si="13"/>
        <v>12</v>
      </c>
      <c r="H178" s="11">
        <f t="shared" si="14"/>
        <v>27</v>
      </c>
      <c r="I178" s="10">
        <v>39721</v>
      </c>
      <c r="J178" s="9" t="s">
        <v>140</v>
      </c>
      <c r="K178" s="9" t="s">
        <v>623</v>
      </c>
      <c r="L178" s="9" t="s">
        <v>325</v>
      </c>
      <c r="M178" s="9" t="s">
        <v>134</v>
      </c>
      <c r="N178" s="11">
        <v>15</v>
      </c>
      <c r="O178" s="12">
        <f t="shared" ca="1" si="15"/>
        <v>15.205479452054794</v>
      </c>
      <c r="P178" s="12">
        <f t="shared" ca="1" si="16"/>
        <v>30.205479452054796</v>
      </c>
      <c r="Q178" s="12" t="s">
        <v>26</v>
      </c>
      <c r="R178" s="9" t="s">
        <v>95</v>
      </c>
      <c r="S178" s="9" t="s">
        <v>28</v>
      </c>
      <c r="T178" s="9" t="s">
        <v>29</v>
      </c>
    </row>
    <row r="179" spans="1:20" ht="36" customHeight="1">
      <c r="A179" s="6">
        <f t="shared" si="17"/>
        <v>178</v>
      </c>
      <c r="B179" s="7" t="s">
        <v>624</v>
      </c>
      <c r="C179" s="8" t="s">
        <v>625</v>
      </c>
      <c r="D179" s="9" t="s">
        <v>26</v>
      </c>
      <c r="E179" s="10">
        <v>24364</v>
      </c>
      <c r="F179" s="11">
        <f t="shared" ca="1" si="12"/>
        <v>57.279452054794518</v>
      </c>
      <c r="G179" s="11">
        <f t="shared" si="13"/>
        <v>9</v>
      </c>
      <c r="H179" s="11">
        <f t="shared" si="14"/>
        <v>14</v>
      </c>
      <c r="I179" s="10">
        <v>39722</v>
      </c>
      <c r="J179" s="9" t="s">
        <v>132</v>
      </c>
      <c r="K179" s="9" t="s">
        <v>626</v>
      </c>
      <c r="L179" s="9" t="s">
        <v>34</v>
      </c>
      <c r="M179" s="9" t="s">
        <v>165</v>
      </c>
      <c r="N179" s="11">
        <v>19</v>
      </c>
      <c r="O179" s="12">
        <f t="shared" ca="1" si="15"/>
        <v>15.202739726027398</v>
      </c>
      <c r="P179" s="12">
        <f t="shared" ca="1" si="16"/>
        <v>34.202739726027396</v>
      </c>
      <c r="Q179" s="12" t="s">
        <v>26</v>
      </c>
      <c r="R179" s="9" t="s">
        <v>627</v>
      </c>
      <c r="S179" s="9" t="s">
        <v>36</v>
      </c>
      <c r="T179" s="9" t="s">
        <v>37</v>
      </c>
    </row>
    <row r="180" spans="1:20" ht="36" customHeight="1">
      <c r="A180" s="6">
        <f t="shared" si="17"/>
        <v>179</v>
      </c>
      <c r="B180" s="7" t="s">
        <v>628</v>
      </c>
      <c r="C180" s="8" t="s">
        <v>629</v>
      </c>
      <c r="D180" s="9" t="s">
        <v>26</v>
      </c>
      <c r="E180" s="10">
        <v>22682</v>
      </c>
      <c r="F180" s="11">
        <f t="shared" ca="1" si="12"/>
        <v>61.887671232876713</v>
      </c>
      <c r="G180" s="11">
        <f t="shared" si="13"/>
        <v>2</v>
      </c>
      <c r="H180" s="11">
        <f t="shared" si="14"/>
        <v>5</v>
      </c>
      <c r="I180" s="10">
        <v>39722</v>
      </c>
      <c r="J180" s="9" t="s">
        <v>22</v>
      </c>
      <c r="K180" s="9" t="s">
        <v>266</v>
      </c>
      <c r="L180" s="9" t="s">
        <v>34</v>
      </c>
      <c r="M180" s="9" t="s">
        <v>35</v>
      </c>
      <c r="N180" s="11">
        <v>21.2</v>
      </c>
      <c r="O180" s="12">
        <f t="shared" ca="1" si="15"/>
        <v>15.202739726027398</v>
      </c>
      <c r="P180" s="12">
        <f t="shared" ca="1" si="16"/>
        <v>36.402739726027399</v>
      </c>
      <c r="Q180" s="12" t="s">
        <v>26</v>
      </c>
      <c r="R180" s="9" t="s">
        <v>27</v>
      </c>
      <c r="S180" s="9" t="s">
        <v>28</v>
      </c>
      <c r="T180" s="9" t="s">
        <v>29</v>
      </c>
    </row>
    <row r="181" spans="1:20" ht="36" customHeight="1">
      <c r="A181" s="6">
        <f t="shared" si="17"/>
        <v>180</v>
      </c>
      <c r="B181" s="7" t="s">
        <v>630</v>
      </c>
      <c r="C181" s="8" t="s">
        <v>631</v>
      </c>
      <c r="D181" s="9" t="s">
        <v>26</v>
      </c>
      <c r="E181" s="10">
        <v>25464</v>
      </c>
      <c r="F181" s="11">
        <f t="shared" ca="1" si="12"/>
        <v>54.265753424657532</v>
      </c>
      <c r="G181" s="11">
        <f t="shared" si="13"/>
        <v>9</v>
      </c>
      <c r="H181" s="11">
        <f t="shared" si="14"/>
        <v>18</v>
      </c>
      <c r="I181" s="10">
        <v>39722</v>
      </c>
      <c r="J181" s="9" t="s">
        <v>22</v>
      </c>
      <c r="K181" s="9" t="s">
        <v>632</v>
      </c>
      <c r="L181" s="9" t="s">
        <v>231</v>
      </c>
      <c r="M181" s="9" t="s">
        <v>61</v>
      </c>
      <c r="N181" s="11">
        <v>16</v>
      </c>
      <c r="O181" s="12">
        <f t="shared" ca="1" si="15"/>
        <v>15.202739726027398</v>
      </c>
      <c r="P181" s="12">
        <f t="shared" ca="1" si="16"/>
        <v>31.202739726027396</v>
      </c>
      <c r="Q181" s="12" t="s">
        <v>26</v>
      </c>
      <c r="R181" s="9" t="s">
        <v>27</v>
      </c>
      <c r="S181" s="9" t="s">
        <v>28</v>
      </c>
      <c r="T181" s="9" t="s">
        <v>114</v>
      </c>
    </row>
    <row r="182" spans="1:20" ht="36" customHeight="1">
      <c r="A182" s="6">
        <f t="shared" si="17"/>
        <v>181</v>
      </c>
      <c r="B182" s="7" t="s">
        <v>633</v>
      </c>
      <c r="C182" s="8" t="s">
        <v>634</v>
      </c>
      <c r="D182" s="9" t="s">
        <v>26</v>
      </c>
      <c r="E182" s="10">
        <v>32157</v>
      </c>
      <c r="F182" s="11">
        <f t="shared" ca="1" si="12"/>
        <v>35.92876712328767</v>
      </c>
      <c r="G182" s="11">
        <f t="shared" si="13"/>
        <v>1</v>
      </c>
      <c r="H182" s="11">
        <f t="shared" si="14"/>
        <v>15</v>
      </c>
      <c r="I182" s="10">
        <v>39722</v>
      </c>
      <c r="J182" s="9" t="s">
        <v>87</v>
      </c>
      <c r="K182" s="9" t="s">
        <v>635</v>
      </c>
      <c r="L182" s="9" t="s">
        <v>636</v>
      </c>
      <c r="M182" s="9" t="s">
        <v>25</v>
      </c>
      <c r="N182" s="11">
        <v>4</v>
      </c>
      <c r="O182" s="12">
        <f t="shared" ca="1" si="15"/>
        <v>15.202739726027398</v>
      </c>
      <c r="P182" s="12">
        <f t="shared" ca="1" si="16"/>
        <v>19.202739726027396</v>
      </c>
      <c r="Q182" s="12" t="s">
        <v>68</v>
      </c>
      <c r="R182" s="9" t="s">
        <v>27</v>
      </c>
      <c r="S182" s="9" t="s">
        <v>28</v>
      </c>
      <c r="T182" s="9" t="s">
        <v>29</v>
      </c>
    </row>
    <row r="183" spans="1:20" ht="36" customHeight="1">
      <c r="A183" s="6">
        <f t="shared" si="17"/>
        <v>182</v>
      </c>
      <c r="B183" s="7" t="s">
        <v>637</v>
      </c>
      <c r="C183" s="8" t="s">
        <v>638</v>
      </c>
      <c r="D183" s="9" t="s">
        <v>21</v>
      </c>
      <c r="E183" s="10">
        <v>26164</v>
      </c>
      <c r="F183" s="11">
        <f t="shared" ca="1" si="12"/>
        <v>52.347945205479455</v>
      </c>
      <c r="G183" s="11">
        <f t="shared" si="13"/>
        <v>8</v>
      </c>
      <c r="H183" s="11">
        <f t="shared" si="14"/>
        <v>19</v>
      </c>
      <c r="I183" s="10">
        <v>39722</v>
      </c>
      <c r="J183" s="9" t="s">
        <v>110</v>
      </c>
      <c r="K183" s="9" t="s">
        <v>480</v>
      </c>
      <c r="L183" s="9" t="s">
        <v>52</v>
      </c>
      <c r="M183" s="9" t="s">
        <v>134</v>
      </c>
      <c r="N183" s="11">
        <v>7</v>
      </c>
      <c r="O183" s="12">
        <f t="shared" ca="1" si="15"/>
        <v>15.202739726027398</v>
      </c>
      <c r="P183" s="12">
        <f t="shared" ca="1" si="16"/>
        <v>22.202739726027396</v>
      </c>
      <c r="Q183" s="12" t="s">
        <v>26</v>
      </c>
      <c r="R183" s="9" t="s">
        <v>27</v>
      </c>
      <c r="S183" s="9" t="s">
        <v>28</v>
      </c>
      <c r="T183" s="9" t="s">
        <v>29</v>
      </c>
    </row>
    <row r="184" spans="1:20" ht="36" customHeight="1">
      <c r="A184" s="6">
        <f t="shared" si="17"/>
        <v>183</v>
      </c>
      <c r="B184" s="7" t="s">
        <v>639</v>
      </c>
      <c r="C184" s="8" t="s">
        <v>640</v>
      </c>
      <c r="D184" s="9" t="s">
        <v>26</v>
      </c>
      <c r="E184" s="10">
        <v>27855</v>
      </c>
      <c r="F184" s="11">
        <f t="shared" ca="1" si="12"/>
        <v>47.715068493150682</v>
      </c>
      <c r="G184" s="11">
        <f t="shared" si="13"/>
        <v>4</v>
      </c>
      <c r="H184" s="11">
        <f t="shared" si="14"/>
        <v>5</v>
      </c>
      <c r="I184" s="10">
        <v>39736</v>
      </c>
      <c r="J184" s="9" t="s">
        <v>110</v>
      </c>
      <c r="K184" s="9" t="s">
        <v>415</v>
      </c>
      <c r="L184" s="9" t="s">
        <v>122</v>
      </c>
      <c r="M184" s="9" t="s">
        <v>35</v>
      </c>
      <c r="N184" s="11">
        <v>11</v>
      </c>
      <c r="O184" s="12">
        <f t="shared" ca="1" si="15"/>
        <v>15.164383561643836</v>
      </c>
      <c r="P184" s="12">
        <f t="shared" ca="1" si="16"/>
        <v>26.164383561643838</v>
      </c>
      <c r="Q184" s="12" t="s">
        <v>26</v>
      </c>
      <c r="R184" s="9" t="s">
        <v>27</v>
      </c>
      <c r="S184" s="9" t="s">
        <v>36</v>
      </c>
      <c r="T184" s="9" t="s">
        <v>72</v>
      </c>
    </row>
    <row r="185" spans="1:20" ht="36" customHeight="1">
      <c r="A185" s="6">
        <f t="shared" si="17"/>
        <v>184</v>
      </c>
      <c r="B185" s="7" t="s">
        <v>641</v>
      </c>
      <c r="C185" s="8" t="s">
        <v>642</v>
      </c>
      <c r="D185" s="9" t="s">
        <v>26</v>
      </c>
      <c r="E185" s="10">
        <v>30298</v>
      </c>
      <c r="F185" s="11">
        <f t="shared" ca="1" si="12"/>
        <v>41.021917808219179</v>
      </c>
      <c r="G185" s="11">
        <f t="shared" si="13"/>
        <v>12</v>
      </c>
      <c r="H185" s="11">
        <f t="shared" si="14"/>
        <v>13</v>
      </c>
      <c r="I185" s="10">
        <v>39738</v>
      </c>
      <c r="J185" s="9" t="s">
        <v>58</v>
      </c>
      <c r="K185" s="9" t="s">
        <v>643</v>
      </c>
      <c r="L185" s="9" t="s">
        <v>204</v>
      </c>
      <c r="M185" s="9" t="s">
        <v>134</v>
      </c>
      <c r="N185" s="11">
        <v>5</v>
      </c>
      <c r="O185" s="12">
        <f t="shared" ca="1" si="15"/>
        <v>15.158904109589042</v>
      </c>
      <c r="P185" s="12">
        <f t="shared" ca="1" si="16"/>
        <v>20.158904109589042</v>
      </c>
      <c r="Q185" s="12" t="s">
        <v>68</v>
      </c>
      <c r="R185" s="9" t="s">
        <v>27</v>
      </c>
      <c r="S185" s="9" t="s">
        <v>28</v>
      </c>
      <c r="T185" s="9" t="s">
        <v>29</v>
      </c>
    </row>
    <row r="186" spans="1:20" ht="36" customHeight="1">
      <c r="A186" s="6">
        <f t="shared" si="17"/>
        <v>185</v>
      </c>
      <c r="B186" s="7" t="s">
        <v>644</v>
      </c>
      <c r="C186" s="8" t="s">
        <v>645</v>
      </c>
      <c r="D186" s="9" t="s">
        <v>26</v>
      </c>
      <c r="E186" s="10">
        <v>27100</v>
      </c>
      <c r="F186" s="11">
        <f t="shared" ca="1" si="12"/>
        <v>49.783561643835618</v>
      </c>
      <c r="G186" s="11">
        <f t="shared" si="13"/>
        <v>3</v>
      </c>
      <c r="H186" s="11">
        <f t="shared" si="14"/>
        <v>12</v>
      </c>
      <c r="I186" s="10">
        <v>39738</v>
      </c>
      <c r="J186" s="9" t="s">
        <v>110</v>
      </c>
      <c r="K186" s="9" t="s">
        <v>646</v>
      </c>
      <c r="L186" s="9" t="s">
        <v>147</v>
      </c>
      <c r="M186" s="9" t="s">
        <v>61</v>
      </c>
      <c r="N186" s="11">
        <v>11</v>
      </c>
      <c r="O186" s="12">
        <f t="shared" ca="1" si="15"/>
        <v>15.158904109589042</v>
      </c>
      <c r="P186" s="12">
        <f t="shared" ca="1" si="16"/>
        <v>26.158904109589042</v>
      </c>
      <c r="Q186" s="12" t="s">
        <v>26</v>
      </c>
      <c r="R186" s="9" t="s">
        <v>27</v>
      </c>
      <c r="S186" s="9" t="s">
        <v>28</v>
      </c>
      <c r="T186" s="9" t="s">
        <v>29</v>
      </c>
    </row>
    <row r="187" spans="1:20" ht="36" customHeight="1">
      <c r="A187" s="6">
        <f t="shared" si="17"/>
        <v>186</v>
      </c>
      <c r="B187" s="7" t="s">
        <v>647</v>
      </c>
      <c r="C187" s="8" t="s">
        <v>648</v>
      </c>
      <c r="D187" s="9" t="s">
        <v>26</v>
      </c>
      <c r="E187" s="10">
        <v>25236</v>
      </c>
      <c r="F187" s="11">
        <f t="shared" ca="1" si="12"/>
        <v>54.890410958904113</v>
      </c>
      <c r="G187" s="11">
        <f t="shared" si="13"/>
        <v>2</v>
      </c>
      <c r="H187" s="11">
        <f t="shared" si="14"/>
        <v>2</v>
      </c>
      <c r="I187" s="10">
        <v>39738</v>
      </c>
      <c r="J187" s="9" t="s">
        <v>50</v>
      </c>
      <c r="K187" s="9" t="s">
        <v>543</v>
      </c>
      <c r="L187" s="9" t="s">
        <v>34</v>
      </c>
      <c r="M187" s="9" t="s">
        <v>35</v>
      </c>
      <c r="N187" s="11">
        <v>13</v>
      </c>
      <c r="O187" s="12">
        <f t="shared" ca="1" si="15"/>
        <v>15.158904109589042</v>
      </c>
      <c r="P187" s="12">
        <f t="shared" ca="1" si="16"/>
        <v>28.158904109589042</v>
      </c>
      <c r="Q187" s="12" t="s">
        <v>26</v>
      </c>
      <c r="R187" s="9" t="s">
        <v>27</v>
      </c>
      <c r="S187" s="9" t="s">
        <v>36</v>
      </c>
      <c r="T187" s="9" t="s">
        <v>72</v>
      </c>
    </row>
    <row r="188" spans="1:20" ht="36" customHeight="1">
      <c r="A188" s="6">
        <f t="shared" si="17"/>
        <v>187</v>
      </c>
      <c r="B188" s="7" t="s">
        <v>649</v>
      </c>
      <c r="C188" s="17" t="s">
        <v>650</v>
      </c>
      <c r="D188" s="6" t="s">
        <v>26</v>
      </c>
      <c r="E188" s="18">
        <v>31508</v>
      </c>
      <c r="F188" s="19">
        <f t="shared" ca="1" si="12"/>
        <v>37.706849315068496</v>
      </c>
      <c r="G188" s="19">
        <f t="shared" si="13"/>
        <v>4</v>
      </c>
      <c r="H188" s="19">
        <f t="shared" si="14"/>
        <v>6</v>
      </c>
      <c r="I188" s="18">
        <v>39738</v>
      </c>
      <c r="J188" s="6" t="s">
        <v>226</v>
      </c>
      <c r="K188" s="6" t="s">
        <v>651</v>
      </c>
      <c r="L188" s="6" t="s">
        <v>652</v>
      </c>
      <c r="M188" s="6" t="s">
        <v>35</v>
      </c>
      <c r="N188" s="19">
        <v>3</v>
      </c>
      <c r="O188" s="20">
        <f t="shared" ca="1" si="15"/>
        <v>15.158904109589042</v>
      </c>
      <c r="P188" s="20">
        <f t="shared" ca="1" si="16"/>
        <v>18.158904109589042</v>
      </c>
      <c r="Q188" s="20" t="s">
        <v>68</v>
      </c>
      <c r="R188" s="6" t="s">
        <v>95</v>
      </c>
      <c r="S188" s="6" t="s">
        <v>36</v>
      </c>
      <c r="T188" s="6" t="s">
        <v>72</v>
      </c>
    </row>
    <row r="189" spans="1:20" ht="36" customHeight="1">
      <c r="A189" s="6">
        <f t="shared" si="17"/>
        <v>188</v>
      </c>
      <c r="B189" s="7" t="s">
        <v>653</v>
      </c>
      <c r="C189" s="8" t="s">
        <v>654</v>
      </c>
      <c r="D189" s="9" t="s">
        <v>26</v>
      </c>
      <c r="E189" s="10">
        <v>30413</v>
      </c>
      <c r="F189" s="11">
        <f t="shared" ca="1" si="12"/>
        <v>40.706849315068496</v>
      </c>
      <c r="G189" s="11">
        <f t="shared" si="13"/>
        <v>4</v>
      </c>
      <c r="H189" s="11">
        <f t="shared" si="14"/>
        <v>7</v>
      </c>
      <c r="I189" s="10">
        <v>39738</v>
      </c>
      <c r="J189" s="9" t="s">
        <v>226</v>
      </c>
      <c r="K189" s="9" t="s">
        <v>651</v>
      </c>
      <c r="L189" s="9" t="s">
        <v>652</v>
      </c>
      <c r="M189" s="9" t="s">
        <v>35</v>
      </c>
      <c r="N189" s="11">
        <v>3</v>
      </c>
      <c r="O189" s="12">
        <f t="shared" ca="1" si="15"/>
        <v>15.158904109589042</v>
      </c>
      <c r="P189" s="12">
        <f t="shared" ca="1" si="16"/>
        <v>18.158904109589042</v>
      </c>
      <c r="Q189" s="12" t="s">
        <v>68</v>
      </c>
      <c r="R189" s="9" t="s">
        <v>95</v>
      </c>
      <c r="S189" s="9" t="s">
        <v>36</v>
      </c>
      <c r="T189" s="9" t="s">
        <v>90</v>
      </c>
    </row>
    <row r="190" spans="1:20" ht="36" customHeight="1">
      <c r="A190" s="6">
        <f t="shared" si="17"/>
        <v>189</v>
      </c>
      <c r="B190" s="7" t="s">
        <v>655</v>
      </c>
      <c r="C190" s="8" t="s">
        <v>656</v>
      </c>
      <c r="D190" s="9" t="s">
        <v>26</v>
      </c>
      <c r="E190" s="10">
        <v>29921</v>
      </c>
      <c r="F190" s="11">
        <f t="shared" ca="1" si="12"/>
        <v>42.054794520547944</v>
      </c>
      <c r="G190" s="11">
        <f t="shared" si="13"/>
        <v>12</v>
      </c>
      <c r="H190" s="11">
        <f t="shared" si="14"/>
        <v>1</v>
      </c>
      <c r="I190" s="10">
        <v>39741</v>
      </c>
      <c r="J190" s="9" t="s">
        <v>58</v>
      </c>
      <c r="K190" s="9" t="s">
        <v>253</v>
      </c>
      <c r="L190" s="9" t="s">
        <v>128</v>
      </c>
      <c r="M190" s="9" t="s">
        <v>134</v>
      </c>
      <c r="N190" s="11">
        <v>6</v>
      </c>
      <c r="O190" s="12">
        <f t="shared" ca="1" si="15"/>
        <v>15.150684931506849</v>
      </c>
      <c r="P190" s="12">
        <f t="shared" ca="1" si="16"/>
        <v>21.150684931506849</v>
      </c>
      <c r="Q190" s="12" t="s">
        <v>68</v>
      </c>
      <c r="R190" s="9" t="s">
        <v>27</v>
      </c>
      <c r="S190" s="9" t="s">
        <v>28</v>
      </c>
      <c r="T190" s="9" t="s">
        <v>29</v>
      </c>
    </row>
    <row r="191" spans="1:20" ht="36" customHeight="1">
      <c r="A191" s="6">
        <f t="shared" si="17"/>
        <v>190</v>
      </c>
      <c r="B191" s="7" t="s">
        <v>657</v>
      </c>
      <c r="C191" s="8" t="s">
        <v>658</v>
      </c>
      <c r="D191" s="9" t="s">
        <v>26</v>
      </c>
      <c r="E191" s="10">
        <v>26510</v>
      </c>
      <c r="F191" s="11">
        <f t="shared" ca="1" si="12"/>
        <v>51.4</v>
      </c>
      <c r="G191" s="11">
        <f t="shared" si="13"/>
        <v>7</v>
      </c>
      <c r="H191" s="11">
        <f t="shared" si="14"/>
        <v>30</v>
      </c>
      <c r="I191" s="10">
        <v>39752</v>
      </c>
      <c r="J191" s="9" t="s">
        <v>140</v>
      </c>
      <c r="K191" s="9" t="s">
        <v>659</v>
      </c>
      <c r="L191" s="9" t="s">
        <v>563</v>
      </c>
      <c r="M191" s="9" t="s">
        <v>134</v>
      </c>
      <c r="N191" s="11">
        <v>15</v>
      </c>
      <c r="O191" s="12">
        <f t="shared" ca="1" si="15"/>
        <v>15.12054794520548</v>
      </c>
      <c r="P191" s="12">
        <f t="shared" ca="1" si="16"/>
        <v>30.12054794520548</v>
      </c>
      <c r="Q191" s="12" t="s">
        <v>26</v>
      </c>
      <c r="R191" s="9" t="s">
        <v>27</v>
      </c>
      <c r="S191" s="9" t="s">
        <v>36</v>
      </c>
      <c r="T191" s="9" t="s">
        <v>137</v>
      </c>
    </row>
    <row r="192" spans="1:20" ht="36" customHeight="1">
      <c r="A192" s="6">
        <f t="shared" si="17"/>
        <v>191</v>
      </c>
      <c r="B192" s="7" t="s">
        <v>660</v>
      </c>
      <c r="C192" s="8" t="s">
        <v>661</v>
      </c>
      <c r="D192" s="9" t="s">
        <v>26</v>
      </c>
      <c r="E192" s="10">
        <v>28459</v>
      </c>
      <c r="F192" s="11">
        <f t="shared" ca="1" si="12"/>
        <v>46.060273972602737</v>
      </c>
      <c r="G192" s="11">
        <f t="shared" si="13"/>
        <v>11</v>
      </c>
      <c r="H192" s="11">
        <f t="shared" si="14"/>
        <v>30</v>
      </c>
      <c r="I192" s="10">
        <v>39755</v>
      </c>
      <c r="J192" s="9" t="s">
        <v>110</v>
      </c>
      <c r="K192" s="9" t="s">
        <v>278</v>
      </c>
      <c r="L192" s="9" t="s">
        <v>34</v>
      </c>
      <c r="M192" s="9" t="s">
        <v>35</v>
      </c>
      <c r="N192" s="11">
        <v>11</v>
      </c>
      <c r="O192" s="12">
        <f t="shared" ca="1" si="15"/>
        <v>15.112328767123287</v>
      </c>
      <c r="P192" s="12">
        <f t="shared" ca="1" si="16"/>
        <v>26.112328767123287</v>
      </c>
      <c r="Q192" s="12" t="s">
        <v>26</v>
      </c>
      <c r="R192" s="9" t="s">
        <v>662</v>
      </c>
      <c r="S192" s="9" t="s">
        <v>36</v>
      </c>
      <c r="T192" s="9" t="s">
        <v>72</v>
      </c>
    </row>
    <row r="193" spans="1:21" ht="36" customHeight="1">
      <c r="A193" s="6">
        <f t="shared" si="17"/>
        <v>192</v>
      </c>
      <c r="B193" s="7" t="s">
        <v>663</v>
      </c>
      <c r="C193" s="8" t="s">
        <v>664</v>
      </c>
      <c r="D193" s="9" t="s">
        <v>26</v>
      </c>
      <c r="E193" s="10">
        <v>27525</v>
      </c>
      <c r="F193" s="11">
        <f t="shared" ca="1" si="12"/>
        <v>48.61917808219178</v>
      </c>
      <c r="G193" s="11">
        <f t="shared" si="13"/>
        <v>5</v>
      </c>
      <c r="H193" s="11">
        <f t="shared" si="14"/>
        <v>11</v>
      </c>
      <c r="I193" s="10">
        <v>39769</v>
      </c>
      <c r="J193" s="9" t="s">
        <v>32</v>
      </c>
      <c r="K193" s="9" t="s">
        <v>665</v>
      </c>
      <c r="L193" s="9" t="s">
        <v>34</v>
      </c>
      <c r="M193" s="9" t="s">
        <v>35</v>
      </c>
      <c r="N193" s="11">
        <v>10</v>
      </c>
      <c r="O193" s="12">
        <f t="shared" ca="1" si="15"/>
        <v>15.073972602739726</v>
      </c>
      <c r="P193" s="12">
        <f t="shared" ca="1" si="16"/>
        <v>25.073972602739726</v>
      </c>
      <c r="Q193" s="12" t="s">
        <v>26</v>
      </c>
      <c r="R193" s="9" t="s">
        <v>442</v>
      </c>
      <c r="S193" s="9" t="s">
        <v>36</v>
      </c>
      <c r="T193" s="9" t="s">
        <v>137</v>
      </c>
    </row>
    <row r="194" spans="1:21" ht="36" customHeight="1">
      <c r="A194" s="6">
        <f t="shared" si="17"/>
        <v>193</v>
      </c>
      <c r="B194" s="7" t="s">
        <v>666</v>
      </c>
      <c r="C194" s="8" t="s">
        <v>667</v>
      </c>
      <c r="D194" s="9" t="s">
        <v>26</v>
      </c>
      <c r="E194" s="10">
        <v>27216</v>
      </c>
      <c r="F194" s="11">
        <f t="shared" ref="F194:F235" ca="1" si="18">(TODAY()-E194)/365</f>
        <v>49.465753424657535</v>
      </c>
      <c r="G194" s="11">
        <f t="shared" ref="G194:G200" si="19">MONTH(E194)</f>
        <v>7</v>
      </c>
      <c r="H194" s="11">
        <f t="shared" ref="H194:H200" si="20">DAY(E194)</f>
        <v>6</v>
      </c>
      <c r="I194" s="10">
        <v>39783</v>
      </c>
      <c r="J194" s="9" t="s">
        <v>22</v>
      </c>
      <c r="K194" s="9" t="s">
        <v>266</v>
      </c>
      <c r="L194" s="9" t="s">
        <v>34</v>
      </c>
      <c r="M194" s="9" t="s">
        <v>165</v>
      </c>
      <c r="N194" s="11">
        <v>13</v>
      </c>
      <c r="O194" s="12">
        <f t="shared" ref="O194:O257" ca="1" si="21">(TODAY()-I194)/365</f>
        <v>15.035616438356165</v>
      </c>
      <c r="P194" s="12">
        <f t="shared" ref="P194:P257" ca="1" si="22">SUM(N194+O194)</f>
        <v>28.035616438356165</v>
      </c>
      <c r="Q194" s="12" t="s">
        <v>26</v>
      </c>
      <c r="R194" s="9" t="s">
        <v>662</v>
      </c>
      <c r="S194" s="9" t="s">
        <v>36</v>
      </c>
      <c r="T194" s="9" t="s">
        <v>37</v>
      </c>
    </row>
    <row r="195" spans="1:21" ht="36" customHeight="1">
      <c r="A195" s="6">
        <f t="shared" si="17"/>
        <v>194</v>
      </c>
      <c r="B195" s="7" t="s">
        <v>668</v>
      </c>
      <c r="C195" s="8" t="s">
        <v>669</v>
      </c>
      <c r="D195" s="9" t="s">
        <v>26</v>
      </c>
      <c r="E195" s="10">
        <v>30050</v>
      </c>
      <c r="F195" s="11">
        <f t="shared" ca="1" si="18"/>
        <v>41.701369863013696</v>
      </c>
      <c r="G195" s="11">
        <f t="shared" si="19"/>
        <v>4</v>
      </c>
      <c r="H195" s="11">
        <f t="shared" si="20"/>
        <v>9</v>
      </c>
      <c r="I195" s="10">
        <v>39783</v>
      </c>
      <c r="J195" s="9" t="s">
        <v>87</v>
      </c>
      <c r="K195" s="9" t="s">
        <v>670</v>
      </c>
      <c r="L195" s="9" t="s">
        <v>122</v>
      </c>
      <c r="M195" s="9" t="s">
        <v>156</v>
      </c>
      <c r="N195" s="11">
        <v>8</v>
      </c>
      <c r="O195" s="12">
        <f t="shared" ca="1" si="21"/>
        <v>15.035616438356165</v>
      </c>
      <c r="P195" s="12">
        <f t="shared" ca="1" si="22"/>
        <v>23.035616438356165</v>
      </c>
      <c r="Q195" s="12" t="s">
        <v>68</v>
      </c>
      <c r="R195" s="9" t="s">
        <v>27</v>
      </c>
      <c r="S195" s="9" t="s">
        <v>36</v>
      </c>
      <c r="T195" s="9" t="s">
        <v>671</v>
      </c>
    </row>
    <row r="196" spans="1:21" ht="36" customHeight="1">
      <c r="A196" s="6">
        <f t="shared" ref="A196:A259" si="23">+A195+1</f>
        <v>195</v>
      </c>
      <c r="B196" s="7" t="s">
        <v>672</v>
      </c>
      <c r="C196" s="8" t="s">
        <v>673</v>
      </c>
      <c r="D196" s="9" t="s">
        <v>26</v>
      </c>
      <c r="E196" s="10">
        <v>19543</v>
      </c>
      <c r="F196" s="11">
        <f t="shared" ca="1" si="18"/>
        <v>70.487671232876707</v>
      </c>
      <c r="G196" s="11">
        <f t="shared" si="19"/>
        <v>7</v>
      </c>
      <c r="H196" s="11">
        <f t="shared" si="20"/>
        <v>3</v>
      </c>
      <c r="I196" s="10">
        <v>39814</v>
      </c>
      <c r="J196" s="9" t="s">
        <v>318</v>
      </c>
      <c r="K196" s="9" t="s">
        <v>674</v>
      </c>
      <c r="L196" s="9" t="s">
        <v>675</v>
      </c>
      <c r="M196" s="9" t="s">
        <v>134</v>
      </c>
      <c r="N196" s="11">
        <v>27</v>
      </c>
      <c r="O196" s="12">
        <f t="shared" ca="1" si="21"/>
        <v>14.950684931506849</v>
      </c>
      <c r="P196" s="12">
        <f t="shared" ca="1" si="22"/>
        <v>41.950684931506849</v>
      </c>
      <c r="Q196" s="12" t="s">
        <v>26</v>
      </c>
      <c r="R196" s="9" t="s">
        <v>662</v>
      </c>
      <c r="S196" s="9" t="s">
        <v>36</v>
      </c>
      <c r="T196" s="9" t="s">
        <v>137</v>
      </c>
    </row>
    <row r="197" spans="1:21" ht="36" customHeight="1">
      <c r="A197" s="6">
        <f t="shared" si="23"/>
        <v>196</v>
      </c>
      <c r="B197" s="7" t="s">
        <v>676</v>
      </c>
      <c r="C197" s="8" t="s">
        <v>677</v>
      </c>
      <c r="D197" s="9" t="s">
        <v>26</v>
      </c>
      <c r="E197" s="10">
        <v>25189</v>
      </c>
      <c r="F197" s="11">
        <f t="shared" ca="1" si="18"/>
        <v>55.019178082191779</v>
      </c>
      <c r="G197" s="11">
        <f t="shared" si="19"/>
        <v>12</v>
      </c>
      <c r="H197" s="11">
        <f t="shared" si="20"/>
        <v>17</v>
      </c>
      <c r="I197" s="10">
        <v>39834</v>
      </c>
      <c r="J197" s="9" t="s">
        <v>192</v>
      </c>
      <c r="K197" s="9" t="s">
        <v>678</v>
      </c>
      <c r="L197" s="9" t="s">
        <v>679</v>
      </c>
      <c r="M197" s="9" t="s">
        <v>134</v>
      </c>
      <c r="N197" s="11">
        <v>18</v>
      </c>
      <c r="O197" s="12">
        <f t="shared" ca="1" si="21"/>
        <v>14.895890410958904</v>
      </c>
      <c r="P197" s="12">
        <f t="shared" ca="1" si="22"/>
        <v>32.895890410958906</v>
      </c>
      <c r="Q197" s="12" t="s">
        <v>26</v>
      </c>
      <c r="R197" s="9" t="s">
        <v>27</v>
      </c>
      <c r="S197" s="9" t="s">
        <v>28</v>
      </c>
      <c r="T197" s="9" t="s">
        <v>29</v>
      </c>
    </row>
    <row r="198" spans="1:21" ht="36" customHeight="1">
      <c r="A198" s="6">
        <f t="shared" si="23"/>
        <v>197</v>
      </c>
      <c r="B198" s="7" t="s">
        <v>681</v>
      </c>
      <c r="C198" s="8" t="s">
        <v>682</v>
      </c>
      <c r="D198" s="9" t="s">
        <v>26</v>
      </c>
      <c r="E198" s="10">
        <v>27737</v>
      </c>
      <c r="F198" s="11">
        <f t="shared" ca="1" si="18"/>
        <v>48.038356164383565</v>
      </c>
      <c r="G198" s="11">
        <f t="shared" si="19"/>
        <v>12</v>
      </c>
      <c r="H198" s="11">
        <f t="shared" si="20"/>
        <v>9</v>
      </c>
      <c r="I198" s="10">
        <v>39834</v>
      </c>
      <c r="J198" s="9" t="s">
        <v>32</v>
      </c>
      <c r="K198" s="9" t="s">
        <v>683</v>
      </c>
      <c r="L198" s="9" t="s">
        <v>563</v>
      </c>
      <c r="M198" s="9" t="s">
        <v>134</v>
      </c>
      <c r="N198" s="11">
        <v>10</v>
      </c>
      <c r="O198" s="12">
        <f t="shared" ca="1" si="21"/>
        <v>14.895890410958904</v>
      </c>
      <c r="P198" s="12">
        <f t="shared" ca="1" si="22"/>
        <v>24.895890410958906</v>
      </c>
      <c r="Q198" s="12" t="s">
        <v>26</v>
      </c>
      <c r="R198" s="9" t="s">
        <v>662</v>
      </c>
      <c r="S198" s="9" t="s">
        <v>36</v>
      </c>
      <c r="T198" s="9" t="s">
        <v>137</v>
      </c>
    </row>
    <row r="199" spans="1:21" ht="36" customHeight="1">
      <c r="A199" s="6">
        <f t="shared" si="23"/>
        <v>198</v>
      </c>
      <c r="B199" s="7" t="s">
        <v>685</v>
      </c>
      <c r="C199" s="8" t="s">
        <v>686</v>
      </c>
      <c r="D199" s="9" t="s">
        <v>26</v>
      </c>
      <c r="E199" s="10">
        <v>25725</v>
      </c>
      <c r="F199" s="11">
        <f t="shared" ca="1" si="18"/>
        <v>53.550684931506851</v>
      </c>
      <c r="G199" s="11">
        <f t="shared" si="19"/>
        <v>6</v>
      </c>
      <c r="H199" s="11">
        <f t="shared" si="20"/>
        <v>6</v>
      </c>
      <c r="I199" s="10">
        <v>39836</v>
      </c>
      <c r="J199" s="9" t="s">
        <v>132</v>
      </c>
      <c r="K199" s="9" t="s">
        <v>687</v>
      </c>
      <c r="L199" s="9" t="s">
        <v>34</v>
      </c>
      <c r="M199" s="9" t="s">
        <v>165</v>
      </c>
      <c r="N199" s="11">
        <v>15</v>
      </c>
      <c r="O199" s="12">
        <f t="shared" ca="1" si="21"/>
        <v>14.890410958904109</v>
      </c>
      <c r="P199" s="12">
        <f t="shared" ca="1" si="22"/>
        <v>29.890410958904109</v>
      </c>
      <c r="Q199" s="12" t="s">
        <v>26</v>
      </c>
      <c r="R199" s="9" t="s">
        <v>662</v>
      </c>
      <c r="S199" s="9" t="s">
        <v>36</v>
      </c>
      <c r="T199" s="9" t="s">
        <v>37</v>
      </c>
    </row>
    <row r="200" spans="1:21" ht="36" customHeight="1">
      <c r="A200" s="6">
        <f t="shared" si="23"/>
        <v>199</v>
      </c>
      <c r="B200" s="7" t="s">
        <v>688</v>
      </c>
      <c r="C200" s="8" t="s">
        <v>689</v>
      </c>
      <c r="D200" s="9" t="s">
        <v>26</v>
      </c>
      <c r="E200" s="10">
        <v>29266</v>
      </c>
      <c r="F200" s="11">
        <f t="shared" ca="1" si="18"/>
        <v>43.849315068493148</v>
      </c>
      <c r="G200" s="11">
        <f t="shared" si="19"/>
        <v>2</v>
      </c>
      <c r="H200" s="11">
        <f t="shared" si="20"/>
        <v>15</v>
      </c>
      <c r="I200" s="10">
        <v>39734</v>
      </c>
      <c r="J200" s="9" t="s">
        <v>110</v>
      </c>
      <c r="K200" s="9" t="s">
        <v>690</v>
      </c>
      <c r="L200" s="9" t="s">
        <v>490</v>
      </c>
      <c r="M200" s="9" t="s">
        <v>491</v>
      </c>
      <c r="N200" s="19">
        <v>2.2000000000000002</v>
      </c>
      <c r="O200" s="12">
        <f t="shared" ca="1" si="21"/>
        <v>15.169863013698631</v>
      </c>
      <c r="P200" s="12">
        <f t="shared" ca="1" si="22"/>
        <v>17.36986301369863</v>
      </c>
      <c r="Q200" s="12" t="s">
        <v>68</v>
      </c>
      <c r="R200" s="9"/>
      <c r="S200" s="9" t="s">
        <v>28</v>
      </c>
      <c r="T200" s="9" t="s">
        <v>492</v>
      </c>
    </row>
    <row r="201" spans="1:21" ht="36" customHeight="1">
      <c r="A201" s="6">
        <f t="shared" si="23"/>
        <v>200</v>
      </c>
      <c r="B201" s="7" t="s">
        <v>691</v>
      </c>
      <c r="C201" s="8" t="s">
        <v>692</v>
      </c>
      <c r="D201" s="9" t="s">
        <v>26</v>
      </c>
      <c r="E201" s="10">
        <v>30439</v>
      </c>
      <c r="F201" s="11">
        <f t="shared" ca="1" si="18"/>
        <v>40.635616438356166</v>
      </c>
      <c r="G201" s="11">
        <v>5</v>
      </c>
      <c r="H201" s="11">
        <v>3</v>
      </c>
      <c r="I201" s="10">
        <v>39846</v>
      </c>
      <c r="J201" s="9" t="s">
        <v>22</v>
      </c>
      <c r="K201" s="9" t="s">
        <v>540</v>
      </c>
      <c r="L201" s="9" t="s">
        <v>34</v>
      </c>
      <c r="M201" s="9" t="s">
        <v>156</v>
      </c>
      <c r="N201" s="11">
        <v>1.5</v>
      </c>
      <c r="O201" s="12">
        <f t="shared" ca="1" si="21"/>
        <v>14.863013698630137</v>
      </c>
      <c r="P201" s="12">
        <f t="shared" ca="1" si="22"/>
        <v>16.363013698630137</v>
      </c>
      <c r="Q201" s="12" t="s">
        <v>68</v>
      </c>
      <c r="R201" s="9" t="s">
        <v>232</v>
      </c>
      <c r="S201" s="9" t="s">
        <v>28</v>
      </c>
      <c r="T201" s="9" t="s">
        <v>29</v>
      </c>
    </row>
    <row r="202" spans="1:21" ht="36" customHeight="1">
      <c r="A202" s="6">
        <f t="shared" si="23"/>
        <v>201</v>
      </c>
      <c r="B202" s="7" t="s">
        <v>693</v>
      </c>
      <c r="C202" s="17" t="s">
        <v>694</v>
      </c>
      <c r="D202" s="6" t="s">
        <v>26</v>
      </c>
      <c r="E202" s="18">
        <v>30073</v>
      </c>
      <c r="F202" s="11">
        <f t="shared" ca="1" si="18"/>
        <v>41.638356164383559</v>
      </c>
      <c r="G202" s="11">
        <f t="shared" ref="G202:G231" si="24">MONTH(E202)</f>
        <v>5</v>
      </c>
      <c r="H202" s="11">
        <f t="shared" ref="H202:H231" si="25">DAY(E202)</f>
        <v>2</v>
      </c>
      <c r="I202" s="18">
        <v>39853</v>
      </c>
      <c r="J202" s="9" t="s">
        <v>50</v>
      </c>
      <c r="K202" s="9" t="s">
        <v>695</v>
      </c>
      <c r="L202" s="9" t="s">
        <v>208</v>
      </c>
      <c r="M202" s="9" t="s">
        <v>156</v>
      </c>
      <c r="N202" s="19">
        <v>8.5</v>
      </c>
      <c r="O202" s="12">
        <f t="shared" ca="1" si="21"/>
        <v>14.843835616438357</v>
      </c>
      <c r="P202" s="12">
        <f t="shared" ca="1" si="22"/>
        <v>23.343835616438355</v>
      </c>
      <c r="Q202" s="12" t="s">
        <v>68</v>
      </c>
      <c r="R202" s="6" t="s">
        <v>27</v>
      </c>
      <c r="S202" s="6" t="s">
        <v>28</v>
      </c>
      <c r="T202" s="9" t="s">
        <v>29</v>
      </c>
    </row>
    <row r="203" spans="1:21" ht="36" customHeight="1">
      <c r="A203" s="6">
        <f t="shared" si="23"/>
        <v>202</v>
      </c>
      <c r="B203" s="7" t="s">
        <v>696</v>
      </c>
      <c r="C203" s="17" t="s">
        <v>697</v>
      </c>
      <c r="D203" s="6" t="s">
        <v>26</v>
      </c>
      <c r="E203" s="18">
        <v>24257</v>
      </c>
      <c r="F203" s="11">
        <f t="shared" ca="1" si="18"/>
        <v>57.57260273972603</v>
      </c>
      <c r="G203" s="11">
        <f t="shared" si="24"/>
        <v>5</v>
      </c>
      <c r="H203" s="11">
        <f t="shared" si="25"/>
        <v>30</v>
      </c>
      <c r="I203" s="18">
        <v>39853</v>
      </c>
      <c r="J203" s="9" t="s">
        <v>58</v>
      </c>
      <c r="K203" s="9" t="s">
        <v>698</v>
      </c>
      <c r="L203" s="6" t="s">
        <v>34</v>
      </c>
      <c r="M203" s="9" t="s">
        <v>35</v>
      </c>
      <c r="N203" s="19">
        <v>23</v>
      </c>
      <c r="O203" s="12">
        <f t="shared" ca="1" si="21"/>
        <v>14.843835616438357</v>
      </c>
      <c r="P203" s="12">
        <f t="shared" ca="1" si="22"/>
        <v>37.843835616438355</v>
      </c>
      <c r="Q203" s="20" t="s">
        <v>26</v>
      </c>
      <c r="R203" s="6" t="s">
        <v>27</v>
      </c>
      <c r="S203" s="6" t="s">
        <v>28</v>
      </c>
      <c r="T203" s="9" t="s">
        <v>29</v>
      </c>
    </row>
    <row r="204" spans="1:21" s="30" customFormat="1" ht="36" customHeight="1">
      <c r="A204" s="6">
        <f t="shared" si="23"/>
        <v>203</v>
      </c>
      <c r="B204" s="7" t="s">
        <v>699</v>
      </c>
      <c r="C204" s="17" t="s">
        <v>700</v>
      </c>
      <c r="D204" s="6" t="s">
        <v>21</v>
      </c>
      <c r="E204" s="18">
        <v>30811</v>
      </c>
      <c r="F204" s="11">
        <f t="shared" ca="1" si="18"/>
        <v>39.61643835616438</v>
      </c>
      <c r="G204" s="11">
        <f t="shared" si="24"/>
        <v>5</v>
      </c>
      <c r="H204" s="11">
        <f t="shared" si="25"/>
        <v>9</v>
      </c>
      <c r="I204" s="18">
        <v>39853</v>
      </c>
      <c r="J204" s="9" t="s">
        <v>50</v>
      </c>
      <c r="K204" s="9" t="s">
        <v>701</v>
      </c>
      <c r="L204" s="9" t="s">
        <v>34</v>
      </c>
      <c r="M204" s="9" t="s">
        <v>156</v>
      </c>
      <c r="N204" s="19">
        <v>1</v>
      </c>
      <c r="O204" s="12">
        <f t="shared" ca="1" si="21"/>
        <v>14.843835616438357</v>
      </c>
      <c r="P204" s="12">
        <f t="shared" ca="1" si="22"/>
        <v>15.843835616438357</v>
      </c>
      <c r="Q204" s="20" t="s">
        <v>26</v>
      </c>
      <c r="R204" s="6" t="s">
        <v>27</v>
      </c>
      <c r="S204" s="6" t="s">
        <v>28</v>
      </c>
      <c r="T204" s="9" t="s">
        <v>29</v>
      </c>
      <c r="U204" s="29"/>
    </row>
    <row r="205" spans="1:21" ht="36" customHeight="1">
      <c r="A205" s="6">
        <f t="shared" si="23"/>
        <v>204</v>
      </c>
      <c r="B205" s="7" t="s">
        <v>702</v>
      </c>
      <c r="C205" s="17" t="s">
        <v>703</v>
      </c>
      <c r="D205" s="6" t="s">
        <v>26</v>
      </c>
      <c r="E205" s="18">
        <v>28185</v>
      </c>
      <c r="F205" s="11">
        <f t="shared" ca="1" si="18"/>
        <v>46.81095890410959</v>
      </c>
      <c r="G205" s="11">
        <f t="shared" si="24"/>
        <v>3</v>
      </c>
      <c r="H205" s="11">
        <f t="shared" si="25"/>
        <v>1</v>
      </c>
      <c r="I205" s="18">
        <v>39853</v>
      </c>
      <c r="J205" s="9" t="s">
        <v>50</v>
      </c>
      <c r="K205" s="9" t="s">
        <v>543</v>
      </c>
      <c r="L205" s="9" t="s">
        <v>704</v>
      </c>
      <c r="M205" s="9" t="s">
        <v>356</v>
      </c>
      <c r="N205" s="19">
        <v>5</v>
      </c>
      <c r="O205" s="12">
        <f t="shared" ca="1" si="21"/>
        <v>14.843835616438357</v>
      </c>
      <c r="P205" s="12">
        <f t="shared" ca="1" si="22"/>
        <v>19.843835616438355</v>
      </c>
      <c r="Q205" s="20" t="s">
        <v>26</v>
      </c>
      <c r="R205" s="6"/>
      <c r="S205" s="6" t="s">
        <v>28</v>
      </c>
      <c r="T205" s="9" t="s">
        <v>29</v>
      </c>
    </row>
    <row r="206" spans="1:21" ht="36" customHeight="1">
      <c r="A206" s="6">
        <f t="shared" si="23"/>
        <v>205</v>
      </c>
      <c r="B206" s="7" t="s">
        <v>706</v>
      </c>
      <c r="C206" s="8" t="s">
        <v>707</v>
      </c>
      <c r="D206" s="9" t="s">
        <v>26</v>
      </c>
      <c r="E206" s="10">
        <v>21017</v>
      </c>
      <c r="F206" s="11">
        <f t="shared" ca="1" si="18"/>
        <v>66.449315068493149</v>
      </c>
      <c r="G206" s="11">
        <f t="shared" si="24"/>
        <v>7</v>
      </c>
      <c r="H206" s="11">
        <f t="shared" si="25"/>
        <v>16</v>
      </c>
      <c r="I206" s="10">
        <v>39582</v>
      </c>
      <c r="J206" s="9" t="s">
        <v>125</v>
      </c>
      <c r="K206" s="9" t="s">
        <v>126</v>
      </c>
      <c r="L206" s="9" t="s">
        <v>490</v>
      </c>
      <c r="M206" s="9" t="s">
        <v>491</v>
      </c>
      <c r="N206" s="19">
        <v>30</v>
      </c>
      <c r="O206" s="12">
        <f t="shared" ca="1" si="21"/>
        <v>15.586301369863014</v>
      </c>
      <c r="P206" s="12">
        <f t="shared" ca="1" si="22"/>
        <v>45.586301369863016</v>
      </c>
      <c r="Q206" s="12" t="s">
        <v>26</v>
      </c>
      <c r="R206" s="9" t="s">
        <v>347</v>
      </c>
      <c r="S206" s="9" t="s">
        <v>28</v>
      </c>
      <c r="T206" s="9" t="s">
        <v>492</v>
      </c>
    </row>
    <row r="207" spans="1:21" ht="36" customHeight="1">
      <c r="A207" s="6">
        <f t="shared" si="23"/>
        <v>206</v>
      </c>
      <c r="B207" s="7" t="s">
        <v>708</v>
      </c>
      <c r="C207" s="17" t="s">
        <v>709</v>
      </c>
      <c r="D207" s="6" t="s">
        <v>26</v>
      </c>
      <c r="E207" s="18">
        <v>30356</v>
      </c>
      <c r="F207" s="11">
        <f t="shared" ca="1" si="18"/>
        <v>40.863013698630134</v>
      </c>
      <c r="G207" s="11">
        <f>MONTH(E207)</f>
        <v>2</v>
      </c>
      <c r="H207" s="11">
        <f>DAY(E207)</f>
        <v>9</v>
      </c>
      <c r="I207" s="18">
        <v>39881</v>
      </c>
      <c r="J207" s="9" t="s">
        <v>226</v>
      </c>
      <c r="K207" s="9" t="s">
        <v>710</v>
      </c>
      <c r="L207" s="9" t="s">
        <v>55</v>
      </c>
      <c r="M207" s="9" t="s">
        <v>156</v>
      </c>
      <c r="N207" s="19">
        <v>4</v>
      </c>
      <c r="O207" s="12">
        <f t="shared" ca="1" si="21"/>
        <v>14.767123287671232</v>
      </c>
      <c r="P207" s="12">
        <f t="shared" ca="1" si="22"/>
        <v>18.767123287671232</v>
      </c>
      <c r="Q207" s="20" t="s">
        <v>68</v>
      </c>
      <c r="R207" s="6" t="s">
        <v>27</v>
      </c>
      <c r="S207" s="6" t="s">
        <v>36</v>
      </c>
      <c r="T207" s="9" t="s">
        <v>671</v>
      </c>
    </row>
    <row r="208" spans="1:21" ht="36" customHeight="1">
      <c r="A208" s="6">
        <f t="shared" si="23"/>
        <v>207</v>
      </c>
      <c r="B208" s="7" t="s">
        <v>711</v>
      </c>
      <c r="C208" s="17" t="s">
        <v>712</v>
      </c>
      <c r="D208" s="6" t="s">
        <v>26</v>
      </c>
      <c r="E208" s="18">
        <v>27099</v>
      </c>
      <c r="F208" s="11">
        <f t="shared" ca="1" si="18"/>
        <v>49.786301369863011</v>
      </c>
      <c r="G208" s="11">
        <f t="shared" si="24"/>
        <v>3</v>
      </c>
      <c r="H208" s="11">
        <f t="shared" si="25"/>
        <v>11</v>
      </c>
      <c r="I208" s="18">
        <v>39890</v>
      </c>
      <c r="J208" s="9" t="s">
        <v>110</v>
      </c>
      <c r="K208" s="9" t="s">
        <v>713</v>
      </c>
      <c r="L208" s="9" t="s">
        <v>563</v>
      </c>
      <c r="M208" s="9" t="s">
        <v>134</v>
      </c>
      <c r="N208" s="19">
        <v>5</v>
      </c>
      <c r="O208" s="12">
        <f t="shared" ca="1" si="21"/>
        <v>14.742465753424657</v>
      </c>
      <c r="P208" s="12">
        <f t="shared" ca="1" si="22"/>
        <v>19.742465753424657</v>
      </c>
      <c r="Q208" s="20" t="s">
        <v>26</v>
      </c>
      <c r="R208" s="6" t="s">
        <v>27</v>
      </c>
      <c r="S208" s="6" t="s">
        <v>36</v>
      </c>
      <c r="T208" s="9" t="s">
        <v>137</v>
      </c>
    </row>
    <row r="209" spans="1:20" ht="36" customHeight="1">
      <c r="A209" s="6">
        <f t="shared" si="23"/>
        <v>208</v>
      </c>
      <c r="B209" s="7" t="s">
        <v>714</v>
      </c>
      <c r="C209" s="17" t="s">
        <v>715</v>
      </c>
      <c r="D209" s="6" t="s">
        <v>26</v>
      </c>
      <c r="E209" s="18">
        <v>27094</v>
      </c>
      <c r="F209" s="11">
        <f t="shared" ca="1" si="18"/>
        <v>49.8</v>
      </c>
      <c r="G209" s="11">
        <f t="shared" si="24"/>
        <v>3</v>
      </c>
      <c r="H209" s="11">
        <f t="shared" si="25"/>
        <v>6</v>
      </c>
      <c r="I209" s="18">
        <v>39895</v>
      </c>
      <c r="J209" s="9" t="s">
        <v>50</v>
      </c>
      <c r="K209" s="9" t="s">
        <v>716</v>
      </c>
      <c r="L209" s="9" t="s">
        <v>377</v>
      </c>
      <c r="M209" s="9" t="s">
        <v>134</v>
      </c>
      <c r="N209" s="19">
        <v>8</v>
      </c>
      <c r="O209" s="12">
        <f t="shared" ca="1" si="21"/>
        <v>14.728767123287671</v>
      </c>
      <c r="P209" s="12">
        <f t="shared" ca="1" si="22"/>
        <v>22.728767123287671</v>
      </c>
      <c r="Q209" s="20" t="s">
        <v>68</v>
      </c>
      <c r="R209" s="6" t="s">
        <v>27</v>
      </c>
      <c r="S209" s="6" t="s">
        <v>36</v>
      </c>
      <c r="T209" s="9" t="s">
        <v>137</v>
      </c>
    </row>
    <row r="210" spans="1:20" ht="36" customHeight="1">
      <c r="A210" s="6">
        <f t="shared" si="23"/>
        <v>209</v>
      </c>
      <c r="B210" s="7" t="s">
        <v>718</v>
      </c>
      <c r="C210" s="17" t="s">
        <v>719</v>
      </c>
      <c r="D210" s="6" t="s">
        <v>26</v>
      </c>
      <c r="E210" s="18">
        <v>30466</v>
      </c>
      <c r="F210" s="11">
        <f t="shared" ca="1" si="18"/>
        <v>40.561643835616437</v>
      </c>
      <c r="G210" s="11">
        <f t="shared" si="24"/>
        <v>5</v>
      </c>
      <c r="H210" s="11">
        <f t="shared" si="25"/>
        <v>30</v>
      </c>
      <c r="I210" s="18">
        <v>39895</v>
      </c>
      <c r="J210" s="9" t="s">
        <v>87</v>
      </c>
      <c r="K210" s="9" t="s">
        <v>720</v>
      </c>
      <c r="L210" s="9" t="s">
        <v>60</v>
      </c>
      <c r="M210" s="9" t="s">
        <v>134</v>
      </c>
      <c r="N210" s="19">
        <v>5</v>
      </c>
      <c r="O210" s="12">
        <f t="shared" ca="1" si="21"/>
        <v>14.728767123287671</v>
      </c>
      <c r="P210" s="12">
        <f t="shared" ca="1" si="22"/>
        <v>19.728767123287671</v>
      </c>
      <c r="Q210" s="20" t="s">
        <v>68</v>
      </c>
      <c r="R210" s="6" t="s">
        <v>27</v>
      </c>
      <c r="S210" s="6" t="s">
        <v>28</v>
      </c>
      <c r="T210" s="9" t="s">
        <v>29</v>
      </c>
    </row>
    <row r="211" spans="1:20" ht="36" customHeight="1">
      <c r="A211" s="6">
        <f t="shared" si="23"/>
        <v>210</v>
      </c>
      <c r="B211" s="7" t="s">
        <v>721</v>
      </c>
      <c r="C211" s="17" t="s">
        <v>722</v>
      </c>
      <c r="D211" s="6" t="s">
        <v>26</v>
      </c>
      <c r="E211" s="18">
        <v>28268</v>
      </c>
      <c r="F211" s="11">
        <f t="shared" ca="1" si="18"/>
        <v>46.583561643835615</v>
      </c>
      <c r="G211" s="11">
        <f t="shared" si="24"/>
        <v>5</v>
      </c>
      <c r="H211" s="11">
        <f t="shared" si="25"/>
        <v>23</v>
      </c>
      <c r="I211" s="18">
        <v>39895</v>
      </c>
      <c r="J211" s="9" t="s">
        <v>87</v>
      </c>
      <c r="K211" s="9" t="s">
        <v>723</v>
      </c>
      <c r="L211" s="9" t="s">
        <v>724</v>
      </c>
      <c r="M211" s="9" t="s">
        <v>134</v>
      </c>
      <c r="N211" s="19">
        <v>13</v>
      </c>
      <c r="O211" s="12">
        <f t="shared" ca="1" si="21"/>
        <v>14.728767123287671</v>
      </c>
      <c r="P211" s="12">
        <f t="shared" ca="1" si="22"/>
        <v>27.728767123287671</v>
      </c>
      <c r="Q211" s="20" t="s">
        <v>26</v>
      </c>
      <c r="R211" s="6" t="s">
        <v>27</v>
      </c>
      <c r="S211" s="6" t="s">
        <v>36</v>
      </c>
      <c r="T211" s="9" t="s">
        <v>137</v>
      </c>
    </row>
    <row r="212" spans="1:20" ht="36" customHeight="1">
      <c r="A212" s="6">
        <f t="shared" si="23"/>
        <v>211</v>
      </c>
      <c r="B212" s="7" t="s">
        <v>725</v>
      </c>
      <c r="C212" s="17" t="s">
        <v>726</v>
      </c>
      <c r="D212" s="6" t="s">
        <v>26</v>
      </c>
      <c r="E212" s="18">
        <v>27644</v>
      </c>
      <c r="F212" s="11">
        <f t="shared" ca="1" si="18"/>
        <v>48.293150684931504</v>
      </c>
      <c r="G212" s="11">
        <f t="shared" si="24"/>
        <v>9</v>
      </c>
      <c r="H212" s="11">
        <f t="shared" si="25"/>
        <v>7</v>
      </c>
      <c r="I212" s="18">
        <v>39897</v>
      </c>
      <c r="J212" s="9" t="s">
        <v>87</v>
      </c>
      <c r="K212" s="9" t="s">
        <v>723</v>
      </c>
      <c r="L212" s="9" t="s">
        <v>724</v>
      </c>
      <c r="M212" s="9" t="s">
        <v>134</v>
      </c>
      <c r="N212" s="19">
        <v>13</v>
      </c>
      <c r="O212" s="12">
        <f t="shared" ca="1" si="21"/>
        <v>14.723287671232876</v>
      </c>
      <c r="P212" s="12">
        <f t="shared" ca="1" si="22"/>
        <v>27.723287671232875</v>
      </c>
      <c r="Q212" s="20" t="s">
        <v>26</v>
      </c>
      <c r="R212" s="6"/>
      <c r="S212" s="6" t="s">
        <v>36</v>
      </c>
      <c r="T212" s="9" t="s">
        <v>137</v>
      </c>
    </row>
    <row r="213" spans="1:20" ht="36" customHeight="1">
      <c r="A213" s="6">
        <f t="shared" si="23"/>
        <v>212</v>
      </c>
      <c r="B213" s="7" t="s">
        <v>727</v>
      </c>
      <c r="C213" s="17" t="s">
        <v>728</v>
      </c>
      <c r="D213" s="6" t="s">
        <v>26</v>
      </c>
      <c r="E213" s="18">
        <v>24648</v>
      </c>
      <c r="F213" s="11">
        <f t="shared" ca="1" si="18"/>
        <v>56.5013698630137</v>
      </c>
      <c r="G213" s="11">
        <f t="shared" si="24"/>
        <v>6</v>
      </c>
      <c r="H213" s="11">
        <f t="shared" si="25"/>
        <v>25</v>
      </c>
      <c r="I213" s="18">
        <v>39898</v>
      </c>
      <c r="J213" s="9" t="s">
        <v>22</v>
      </c>
      <c r="K213" s="9" t="s">
        <v>729</v>
      </c>
      <c r="L213" s="9" t="s">
        <v>60</v>
      </c>
      <c r="M213" s="9" t="s">
        <v>134</v>
      </c>
      <c r="N213" s="19">
        <v>19</v>
      </c>
      <c r="O213" s="12">
        <f t="shared" ca="1" si="21"/>
        <v>14.72054794520548</v>
      </c>
      <c r="P213" s="12">
        <f t="shared" ca="1" si="22"/>
        <v>33.720547945205482</v>
      </c>
      <c r="Q213" s="20" t="s">
        <v>26</v>
      </c>
      <c r="R213" s="6" t="s">
        <v>27</v>
      </c>
      <c r="S213" s="6" t="s">
        <v>28</v>
      </c>
      <c r="T213" s="9" t="s">
        <v>29</v>
      </c>
    </row>
    <row r="214" spans="1:20" ht="36" customHeight="1">
      <c r="A214" s="6">
        <f t="shared" si="23"/>
        <v>213</v>
      </c>
      <c r="B214" s="7" t="s">
        <v>730</v>
      </c>
      <c r="C214" s="8" t="s">
        <v>731</v>
      </c>
      <c r="D214" s="9" t="s">
        <v>26</v>
      </c>
      <c r="E214" s="10">
        <v>25352</v>
      </c>
      <c r="F214" s="11">
        <f t="shared" ca="1" si="18"/>
        <v>54.57260273972603</v>
      </c>
      <c r="G214" s="11">
        <f t="shared" si="24"/>
        <v>5</v>
      </c>
      <c r="H214" s="11">
        <f t="shared" si="25"/>
        <v>29</v>
      </c>
      <c r="I214" s="10">
        <v>39904</v>
      </c>
      <c r="J214" s="9" t="s">
        <v>132</v>
      </c>
      <c r="K214" s="9" t="s">
        <v>732</v>
      </c>
      <c r="L214" s="9" t="s">
        <v>563</v>
      </c>
      <c r="M214" s="9" t="s">
        <v>134</v>
      </c>
      <c r="N214" s="11">
        <v>18</v>
      </c>
      <c r="O214" s="12">
        <f t="shared" ca="1" si="21"/>
        <v>14.704109589041096</v>
      </c>
      <c r="P214" s="12">
        <f t="shared" ca="1" si="22"/>
        <v>32.704109589041096</v>
      </c>
      <c r="Q214" s="12" t="s">
        <v>26</v>
      </c>
      <c r="R214" s="9"/>
      <c r="S214" s="9" t="s">
        <v>36</v>
      </c>
      <c r="T214" s="9" t="s">
        <v>137</v>
      </c>
    </row>
    <row r="215" spans="1:20" ht="36" customHeight="1">
      <c r="A215" s="6">
        <f t="shared" si="23"/>
        <v>214</v>
      </c>
      <c r="B215" s="7" t="s">
        <v>733</v>
      </c>
      <c r="C215" s="8" t="s">
        <v>734</v>
      </c>
      <c r="D215" s="9" t="s">
        <v>26</v>
      </c>
      <c r="E215" s="10">
        <v>29513</v>
      </c>
      <c r="F215" s="11">
        <f t="shared" ca="1" si="18"/>
        <v>43.172602739726024</v>
      </c>
      <c r="G215" s="11">
        <f t="shared" si="24"/>
        <v>10</v>
      </c>
      <c r="H215" s="11">
        <f t="shared" si="25"/>
        <v>19</v>
      </c>
      <c r="I215" s="10">
        <v>39904</v>
      </c>
      <c r="J215" s="9" t="s">
        <v>22</v>
      </c>
      <c r="K215" s="9" t="s">
        <v>392</v>
      </c>
      <c r="L215" s="9" t="s">
        <v>377</v>
      </c>
      <c r="M215" s="9" t="s">
        <v>134</v>
      </c>
      <c r="N215" s="11">
        <v>19</v>
      </c>
      <c r="O215" s="12">
        <f t="shared" ca="1" si="21"/>
        <v>14.704109589041096</v>
      </c>
      <c r="P215" s="12">
        <f t="shared" ca="1" si="22"/>
        <v>33.704109589041096</v>
      </c>
      <c r="Q215" s="12" t="s">
        <v>26</v>
      </c>
      <c r="R215" s="9" t="s">
        <v>27</v>
      </c>
      <c r="S215" s="9" t="s">
        <v>36</v>
      </c>
      <c r="T215" s="9" t="s">
        <v>137</v>
      </c>
    </row>
    <row r="216" spans="1:20" ht="36" customHeight="1">
      <c r="A216" s="6">
        <f t="shared" si="23"/>
        <v>215</v>
      </c>
      <c r="B216" s="7" t="s">
        <v>735</v>
      </c>
      <c r="C216" s="17" t="s">
        <v>736</v>
      </c>
      <c r="D216" s="6" t="s">
        <v>26</v>
      </c>
      <c r="E216" s="18">
        <v>25186</v>
      </c>
      <c r="F216" s="19">
        <f t="shared" ca="1" si="18"/>
        <v>55.027397260273972</v>
      </c>
      <c r="G216" s="19">
        <f t="shared" si="24"/>
        <v>12</v>
      </c>
      <c r="H216" s="19">
        <f t="shared" si="25"/>
        <v>14</v>
      </c>
      <c r="I216" s="18">
        <v>39905</v>
      </c>
      <c r="J216" s="6" t="s">
        <v>58</v>
      </c>
      <c r="K216" s="6" t="s">
        <v>79</v>
      </c>
      <c r="L216" s="6" t="s">
        <v>377</v>
      </c>
      <c r="M216" s="6" t="s">
        <v>134</v>
      </c>
      <c r="N216" s="19">
        <v>20</v>
      </c>
      <c r="O216" s="20">
        <f t="shared" ca="1" si="21"/>
        <v>14.701369863013699</v>
      </c>
      <c r="P216" s="20">
        <f t="shared" ca="1" si="22"/>
        <v>34.701369863013696</v>
      </c>
      <c r="Q216" s="20" t="s">
        <v>26</v>
      </c>
      <c r="R216" s="6" t="s">
        <v>27</v>
      </c>
      <c r="S216" s="6" t="s">
        <v>36</v>
      </c>
      <c r="T216" s="6" t="s">
        <v>137</v>
      </c>
    </row>
    <row r="217" spans="1:20" ht="36" customHeight="1">
      <c r="A217" s="6">
        <f t="shared" si="23"/>
        <v>216</v>
      </c>
      <c r="B217" s="7" t="s">
        <v>737</v>
      </c>
      <c r="C217" s="17" t="s">
        <v>738</v>
      </c>
      <c r="D217" s="6" t="s">
        <v>26</v>
      </c>
      <c r="E217" s="18">
        <v>29768</v>
      </c>
      <c r="F217" s="11">
        <f t="shared" ca="1" si="18"/>
        <v>42.473972602739728</v>
      </c>
      <c r="G217" s="19">
        <f t="shared" si="24"/>
        <v>7</v>
      </c>
      <c r="H217" s="19">
        <f t="shared" si="25"/>
        <v>1</v>
      </c>
      <c r="I217" s="18">
        <v>39904</v>
      </c>
      <c r="J217" s="9" t="s">
        <v>50</v>
      </c>
      <c r="K217" s="9" t="s">
        <v>543</v>
      </c>
      <c r="L217" s="9" t="s">
        <v>34</v>
      </c>
      <c r="M217" s="9" t="s">
        <v>35</v>
      </c>
      <c r="N217" s="19">
        <v>3</v>
      </c>
      <c r="O217" s="12">
        <f t="shared" ca="1" si="21"/>
        <v>14.704109589041096</v>
      </c>
      <c r="P217" s="12">
        <f t="shared" ca="1" si="22"/>
        <v>17.704109589041096</v>
      </c>
      <c r="Q217" s="20" t="s">
        <v>26</v>
      </c>
      <c r="R217" s="6" t="s">
        <v>27</v>
      </c>
      <c r="S217" s="6" t="s">
        <v>28</v>
      </c>
      <c r="T217" s="9" t="s">
        <v>29</v>
      </c>
    </row>
    <row r="218" spans="1:20" ht="36" customHeight="1">
      <c r="A218" s="6">
        <f t="shared" si="23"/>
        <v>217</v>
      </c>
      <c r="B218" s="7" t="s">
        <v>739</v>
      </c>
      <c r="C218" s="8" t="s">
        <v>740</v>
      </c>
      <c r="D218" s="9" t="s">
        <v>26</v>
      </c>
      <c r="E218" s="10">
        <v>31140</v>
      </c>
      <c r="F218" s="11">
        <f t="shared" ca="1" si="18"/>
        <v>38.715068493150682</v>
      </c>
      <c r="G218" s="11">
        <f t="shared" si="24"/>
        <v>4</v>
      </c>
      <c r="H218" s="11">
        <f t="shared" si="25"/>
        <v>3</v>
      </c>
      <c r="I218" s="10">
        <v>39904</v>
      </c>
      <c r="J218" s="9" t="s">
        <v>41</v>
      </c>
      <c r="K218" s="9" t="s">
        <v>47</v>
      </c>
      <c r="L218" s="9" t="s">
        <v>55</v>
      </c>
      <c r="M218" s="9" t="s">
        <v>35</v>
      </c>
      <c r="N218" s="11">
        <v>5</v>
      </c>
      <c r="O218" s="12">
        <f t="shared" ca="1" si="21"/>
        <v>14.704109589041096</v>
      </c>
      <c r="P218" s="12">
        <f t="shared" ca="1" si="22"/>
        <v>19.704109589041096</v>
      </c>
      <c r="Q218" s="9" t="s">
        <v>68</v>
      </c>
      <c r="R218" s="9" t="s">
        <v>27</v>
      </c>
      <c r="S218" s="9" t="s">
        <v>36</v>
      </c>
      <c r="T218" s="9" t="s">
        <v>72</v>
      </c>
    </row>
    <row r="219" spans="1:20" ht="36" customHeight="1">
      <c r="A219" s="6">
        <f t="shared" si="23"/>
        <v>218</v>
      </c>
      <c r="B219" s="7" t="s">
        <v>741</v>
      </c>
      <c r="C219" s="8" t="s">
        <v>742</v>
      </c>
      <c r="D219" s="9" t="s">
        <v>26</v>
      </c>
      <c r="E219" s="10">
        <v>32575</v>
      </c>
      <c r="F219" s="11">
        <f t="shared" ca="1" si="18"/>
        <v>34.783561643835618</v>
      </c>
      <c r="G219" s="11">
        <f t="shared" si="24"/>
        <v>3</v>
      </c>
      <c r="H219" s="11">
        <f t="shared" si="25"/>
        <v>8</v>
      </c>
      <c r="I219" s="10">
        <v>39904</v>
      </c>
      <c r="J219" s="9" t="s">
        <v>41</v>
      </c>
      <c r="K219" s="9" t="s">
        <v>47</v>
      </c>
      <c r="L219" s="9" t="s">
        <v>55</v>
      </c>
      <c r="M219" s="9" t="s">
        <v>35</v>
      </c>
      <c r="N219" s="11">
        <v>2</v>
      </c>
      <c r="O219" s="12">
        <f t="shared" ca="1" si="21"/>
        <v>14.704109589041096</v>
      </c>
      <c r="P219" s="12">
        <f t="shared" ca="1" si="22"/>
        <v>16.704109589041096</v>
      </c>
      <c r="Q219" s="12" t="s">
        <v>68</v>
      </c>
      <c r="R219" s="9" t="s">
        <v>743</v>
      </c>
      <c r="S219" s="9" t="s">
        <v>36</v>
      </c>
      <c r="T219" s="9" t="s">
        <v>72</v>
      </c>
    </row>
    <row r="220" spans="1:20" ht="36" customHeight="1">
      <c r="A220" s="6">
        <f t="shared" si="23"/>
        <v>219</v>
      </c>
      <c r="B220" s="7" t="s">
        <v>745</v>
      </c>
      <c r="C220" s="8" t="s">
        <v>746</v>
      </c>
      <c r="D220" s="9" t="s">
        <v>26</v>
      </c>
      <c r="E220" s="10">
        <v>25328</v>
      </c>
      <c r="F220" s="11">
        <f t="shared" ca="1" si="18"/>
        <v>54.638356164383559</v>
      </c>
      <c r="G220" s="11">
        <f t="shared" si="24"/>
        <v>5</v>
      </c>
      <c r="H220" s="11">
        <f t="shared" si="25"/>
        <v>5</v>
      </c>
      <c r="I220" s="10">
        <v>39907</v>
      </c>
      <c r="J220" s="9" t="s">
        <v>87</v>
      </c>
      <c r="K220" s="9" t="s">
        <v>332</v>
      </c>
      <c r="L220" s="9" t="s">
        <v>34</v>
      </c>
      <c r="M220" s="9" t="s">
        <v>35</v>
      </c>
      <c r="N220" s="11">
        <v>18</v>
      </c>
      <c r="O220" s="12">
        <f t="shared" ca="1" si="21"/>
        <v>14.695890410958905</v>
      </c>
      <c r="P220" s="12">
        <f t="shared" ca="1" si="22"/>
        <v>32.695890410958903</v>
      </c>
      <c r="Q220" s="12" t="s">
        <v>26</v>
      </c>
      <c r="R220" s="9" t="s">
        <v>27</v>
      </c>
      <c r="S220" s="9" t="s">
        <v>36</v>
      </c>
      <c r="T220" s="9" t="s">
        <v>72</v>
      </c>
    </row>
    <row r="221" spans="1:20" ht="36" customHeight="1">
      <c r="A221" s="6">
        <f t="shared" si="23"/>
        <v>220</v>
      </c>
      <c r="B221" s="7" t="s">
        <v>747</v>
      </c>
      <c r="C221" s="8" t="s">
        <v>748</v>
      </c>
      <c r="D221" s="9" t="s">
        <v>26</v>
      </c>
      <c r="E221" s="10">
        <v>27124</v>
      </c>
      <c r="F221" s="11">
        <f t="shared" ca="1" si="18"/>
        <v>49.717808219178082</v>
      </c>
      <c r="G221" s="11">
        <f t="shared" si="24"/>
        <v>4</v>
      </c>
      <c r="H221" s="11">
        <f t="shared" si="25"/>
        <v>5</v>
      </c>
      <c r="I221" s="10">
        <v>39909</v>
      </c>
      <c r="J221" s="9" t="s">
        <v>87</v>
      </c>
      <c r="K221" s="9" t="s">
        <v>723</v>
      </c>
      <c r="L221" s="9" t="s">
        <v>724</v>
      </c>
      <c r="M221" s="9" t="s">
        <v>134</v>
      </c>
      <c r="N221" s="11">
        <v>14</v>
      </c>
      <c r="O221" s="12">
        <f t="shared" ca="1" si="21"/>
        <v>14.69041095890411</v>
      </c>
      <c r="P221" s="12">
        <f t="shared" ca="1" si="22"/>
        <v>28.69041095890411</v>
      </c>
      <c r="Q221" s="12" t="s">
        <v>26</v>
      </c>
      <c r="R221" s="9" t="s">
        <v>27</v>
      </c>
      <c r="S221" s="9" t="s">
        <v>36</v>
      </c>
      <c r="T221" s="9" t="s">
        <v>137</v>
      </c>
    </row>
    <row r="222" spans="1:20" ht="36" customHeight="1">
      <c r="A222" s="6">
        <f t="shared" si="23"/>
        <v>221</v>
      </c>
      <c r="B222" s="7" t="s">
        <v>749</v>
      </c>
      <c r="C222" s="8" t="s">
        <v>750</v>
      </c>
      <c r="D222" s="9" t="s">
        <v>26</v>
      </c>
      <c r="E222" s="10">
        <v>23841</v>
      </c>
      <c r="F222" s="11">
        <f t="shared" ca="1" si="18"/>
        <v>58.712328767123289</v>
      </c>
      <c r="G222" s="11">
        <f t="shared" si="24"/>
        <v>4</v>
      </c>
      <c r="H222" s="11">
        <f t="shared" si="25"/>
        <v>9</v>
      </c>
      <c r="I222" s="10">
        <v>39910</v>
      </c>
      <c r="J222" s="9" t="s">
        <v>32</v>
      </c>
      <c r="K222" s="9" t="s">
        <v>751</v>
      </c>
      <c r="L222" s="9" t="s">
        <v>724</v>
      </c>
      <c r="M222" s="9" t="s">
        <v>134</v>
      </c>
      <c r="N222" s="11">
        <v>21</v>
      </c>
      <c r="O222" s="12">
        <f t="shared" ca="1" si="21"/>
        <v>14.687671232876712</v>
      </c>
      <c r="P222" s="12">
        <f t="shared" ca="1" si="22"/>
        <v>35.68767123287671</v>
      </c>
      <c r="Q222" s="12" t="s">
        <v>26</v>
      </c>
      <c r="R222" s="9" t="s">
        <v>27</v>
      </c>
      <c r="S222" s="9" t="s">
        <v>36</v>
      </c>
      <c r="T222" s="9" t="s">
        <v>137</v>
      </c>
    </row>
    <row r="223" spans="1:20" ht="36" customHeight="1">
      <c r="A223" s="6">
        <f t="shared" si="23"/>
        <v>222</v>
      </c>
      <c r="B223" s="7" t="s">
        <v>752</v>
      </c>
      <c r="C223" s="8" t="s">
        <v>753</v>
      </c>
      <c r="D223" s="9" t="s">
        <v>26</v>
      </c>
      <c r="E223" s="10">
        <v>20618</v>
      </c>
      <c r="F223" s="11">
        <f t="shared" ca="1" si="18"/>
        <v>67.542465753424651</v>
      </c>
      <c r="G223" s="11">
        <f t="shared" si="24"/>
        <v>6</v>
      </c>
      <c r="H223" s="11">
        <f t="shared" si="25"/>
        <v>12</v>
      </c>
      <c r="I223" s="10">
        <v>39910</v>
      </c>
      <c r="J223" s="9" t="s">
        <v>318</v>
      </c>
      <c r="K223" s="9" t="s">
        <v>754</v>
      </c>
      <c r="L223" s="9" t="s">
        <v>724</v>
      </c>
      <c r="M223" s="9" t="s">
        <v>134</v>
      </c>
      <c r="N223" s="11">
        <v>32</v>
      </c>
      <c r="O223" s="12">
        <f t="shared" ca="1" si="21"/>
        <v>14.687671232876712</v>
      </c>
      <c r="P223" s="12">
        <f t="shared" ca="1" si="22"/>
        <v>46.68767123287671</v>
      </c>
      <c r="Q223" s="12" t="s">
        <v>26</v>
      </c>
      <c r="R223" s="9" t="s">
        <v>27</v>
      </c>
      <c r="S223" s="9" t="s">
        <v>36</v>
      </c>
      <c r="T223" s="9" t="s">
        <v>137</v>
      </c>
    </row>
    <row r="224" spans="1:20" ht="36" customHeight="1">
      <c r="A224" s="6">
        <f t="shared" si="23"/>
        <v>223</v>
      </c>
      <c r="B224" s="7" t="s">
        <v>755</v>
      </c>
      <c r="C224" s="8" t="s">
        <v>756</v>
      </c>
      <c r="D224" s="9" t="s">
        <v>26</v>
      </c>
      <c r="E224" s="10">
        <v>27516</v>
      </c>
      <c r="F224" s="11">
        <f t="shared" ca="1" si="18"/>
        <v>48.643835616438359</v>
      </c>
      <c r="G224" s="11">
        <f t="shared" si="24"/>
        <v>5</v>
      </c>
      <c r="H224" s="11">
        <f t="shared" si="25"/>
        <v>2</v>
      </c>
      <c r="I224" s="10">
        <v>39918</v>
      </c>
      <c r="J224" s="9" t="s">
        <v>45</v>
      </c>
      <c r="K224" s="9" t="s">
        <v>757</v>
      </c>
      <c r="L224" s="9" t="s">
        <v>724</v>
      </c>
      <c r="M224" s="9" t="s">
        <v>134</v>
      </c>
      <c r="N224" s="11">
        <v>12</v>
      </c>
      <c r="O224" s="12">
        <f t="shared" ca="1" si="21"/>
        <v>14.665753424657535</v>
      </c>
      <c r="P224" s="12">
        <f t="shared" ca="1" si="22"/>
        <v>26.665753424657535</v>
      </c>
      <c r="Q224" s="12" t="s">
        <v>26</v>
      </c>
      <c r="R224" s="9" t="s">
        <v>27</v>
      </c>
      <c r="S224" s="9" t="s">
        <v>36</v>
      </c>
      <c r="T224" s="9" t="s">
        <v>137</v>
      </c>
    </row>
    <row r="225" spans="1:20" ht="36" customHeight="1">
      <c r="A225" s="6">
        <f t="shared" si="23"/>
        <v>224</v>
      </c>
      <c r="B225" s="7" t="s">
        <v>758</v>
      </c>
      <c r="C225" s="8" t="s">
        <v>759</v>
      </c>
      <c r="D225" s="9" t="s">
        <v>26</v>
      </c>
      <c r="E225" s="10">
        <v>27062</v>
      </c>
      <c r="F225" s="11">
        <f t="shared" ca="1" si="18"/>
        <v>49.887671232876713</v>
      </c>
      <c r="G225" s="11">
        <f t="shared" si="24"/>
        <v>2</v>
      </c>
      <c r="H225" s="11">
        <f t="shared" si="25"/>
        <v>2</v>
      </c>
      <c r="I225" s="10">
        <v>39918</v>
      </c>
      <c r="J225" s="9" t="s">
        <v>22</v>
      </c>
      <c r="K225" s="9" t="s">
        <v>121</v>
      </c>
      <c r="L225" s="9" t="s">
        <v>34</v>
      </c>
      <c r="M225" s="9" t="s">
        <v>61</v>
      </c>
      <c r="N225" s="11">
        <v>13</v>
      </c>
      <c r="O225" s="12">
        <f t="shared" ca="1" si="21"/>
        <v>14.665753424657535</v>
      </c>
      <c r="P225" s="12">
        <f t="shared" ca="1" si="22"/>
        <v>27.665753424657535</v>
      </c>
      <c r="Q225" s="12" t="s">
        <v>26</v>
      </c>
      <c r="R225" s="9" t="s">
        <v>27</v>
      </c>
      <c r="S225" s="9" t="s">
        <v>28</v>
      </c>
      <c r="T225" s="9" t="s">
        <v>29</v>
      </c>
    </row>
    <row r="226" spans="1:20" ht="36" customHeight="1">
      <c r="A226" s="6">
        <f t="shared" si="23"/>
        <v>225</v>
      </c>
      <c r="B226" s="7" t="s">
        <v>760</v>
      </c>
      <c r="C226" s="8" t="s">
        <v>761</v>
      </c>
      <c r="D226" s="9" t="s">
        <v>26</v>
      </c>
      <c r="E226" s="10">
        <v>28967</v>
      </c>
      <c r="F226" s="11">
        <f t="shared" ca="1" si="18"/>
        <v>44.668493150684931</v>
      </c>
      <c r="G226" s="11">
        <f t="shared" si="24"/>
        <v>4</v>
      </c>
      <c r="H226" s="11">
        <f t="shared" si="25"/>
        <v>22</v>
      </c>
      <c r="I226" s="10">
        <v>39921</v>
      </c>
      <c r="J226" s="9" t="s">
        <v>226</v>
      </c>
      <c r="K226" s="9" t="s">
        <v>762</v>
      </c>
      <c r="L226" s="9" t="s">
        <v>34</v>
      </c>
      <c r="M226" s="9" t="s">
        <v>61</v>
      </c>
      <c r="N226" s="11">
        <v>6</v>
      </c>
      <c r="O226" s="12">
        <f t="shared" ca="1" si="21"/>
        <v>14.657534246575343</v>
      </c>
      <c r="P226" s="12">
        <f t="shared" ca="1" si="22"/>
        <v>20.657534246575345</v>
      </c>
      <c r="Q226" s="12" t="s">
        <v>26</v>
      </c>
      <c r="R226" s="9" t="s">
        <v>27</v>
      </c>
      <c r="S226" s="9" t="s">
        <v>36</v>
      </c>
      <c r="T226" s="9" t="s">
        <v>72</v>
      </c>
    </row>
    <row r="227" spans="1:20" ht="36" customHeight="1">
      <c r="A227" s="6">
        <f t="shared" si="23"/>
        <v>226</v>
      </c>
      <c r="B227" s="7" t="s">
        <v>763</v>
      </c>
      <c r="C227" s="8" t="s">
        <v>764</v>
      </c>
      <c r="D227" s="9" t="s">
        <v>21</v>
      </c>
      <c r="E227" s="10">
        <v>31486</v>
      </c>
      <c r="F227" s="11">
        <f t="shared" ca="1" si="18"/>
        <v>37.767123287671232</v>
      </c>
      <c r="G227" s="11">
        <f t="shared" si="24"/>
        <v>3</v>
      </c>
      <c r="H227" s="11">
        <f t="shared" si="25"/>
        <v>15</v>
      </c>
      <c r="I227" s="10">
        <v>39923</v>
      </c>
      <c r="J227" s="9" t="s">
        <v>110</v>
      </c>
      <c r="K227" s="9" t="s">
        <v>495</v>
      </c>
      <c r="L227" s="9" t="s">
        <v>127</v>
      </c>
      <c r="M227" s="9" t="s">
        <v>25</v>
      </c>
      <c r="N227" s="11">
        <v>1.3</v>
      </c>
      <c r="O227" s="12">
        <f t="shared" ca="1" si="21"/>
        <v>14.652054794520549</v>
      </c>
      <c r="P227" s="12">
        <f t="shared" ca="1" si="22"/>
        <v>15.952054794520549</v>
      </c>
      <c r="Q227" s="12" t="s">
        <v>68</v>
      </c>
      <c r="R227" s="9" t="s">
        <v>27</v>
      </c>
      <c r="S227" s="9" t="s">
        <v>28</v>
      </c>
      <c r="T227" s="9" t="s">
        <v>170</v>
      </c>
    </row>
    <row r="228" spans="1:20" ht="36" customHeight="1">
      <c r="A228" s="6">
        <f t="shared" si="23"/>
        <v>227</v>
      </c>
      <c r="B228" s="7" t="s">
        <v>765</v>
      </c>
      <c r="C228" s="8" t="s">
        <v>766</v>
      </c>
      <c r="D228" s="9" t="s">
        <v>26</v>
      </c>
      <c r="E228" s="10">
        <v>25384</v>
      </c>
      <c r="F228" s="11">
        <f t="shared" ca="1" si="18"/>
        <v>54.484931506849314</v>
      </c>
      <c r="G228" s="11">
        <f t="shared" si="24"/>
        <v>6</v>
      </c>
      <c r="H228" s="11">
        <f t="shared" si="25"/>
        <v>30</v>
      </c>
      <c r="I228" s="10">
        <v>39933</v>
      </c>
      <c r="J228" s="9" t="s">
        <v>93</v>
      </c>
      <c r="K228" s="9" t="s">
        <v>767</v>
      </c>
      <c r="L228" s="9" t="s">
        <v>486</v>
      </c>
      <c r="M228" s="9" t="s">
        <v>25</v>
      </c>
      <c r="N228" s="11">
        <v>17</v>
      </c>
      <c r="O228" s="12">
        <f t="shared" ca="1" si="21"/>
        <v>14.624657534246575</v>
      </c>
      <c r="P228" s="12">
        <f t="shared" ca="1" si="22"/>
        <v>31.624657534246573</v>
      </c>
      <c r="Q228" s="12" t="s">
        <v>26</v>
      </c>
      <c r="R228" s="9" t="s">
        <v>27</v>
      </c>
      <c r="S228" s="9" t="s">
        <v>28</v>
      </c>
      <c r="T228" s="9" t="s">
        <v>29</v>
      </c>
    </row>
    <row r="229" spans="1:20" ht="36" customHeight="1">
      <c r="A229" s="6">
        <f t="shared" si="23"/>
        <v>228</v>
      </c>
      <c r="B229" s="7" t="s">
        <v>768</v>
      </c>
      <c r="C229" s="8" t="s">
        <v>769</v>
      </c>
      <c r="D229" s="9" t="s">
        <v>26</v>
      </c>
      <c r="E229" s="10">
        <v>24941</v>
      </c>
      <c r="F229" s="11">
        <f t="shared" ca="1" si="18"/>
        <v>55.698630136986303</v>
      </c>
      <c r="G229" s="11">
        <f t="shared" si="24"/>
        <v>4</v>
      </c>
      <c r="H229" s="11">
        <f t="shared" si="25"/>
        <v>13</v>
      </c>
      <c r="I229" s="10">
        <v>39933</v>
      </c>
      <c r="J229" s="9" t="s">
        <v>87</v>
      </c>
      <c r="K229" s="9" t="s">
        <v>723</v>
      </c>
      <c r="L229" s="9" t="s">
        <v>724</v>
      </c>
      <c r="M229" s="9" t="s">
        <v>134</v>
      </c>
      <c r="N229" s="11">
        <v>18</v>
      </c>
      <c r="O229" s="12">
        <f t="shared" ca="1" si="21"/>
        <v>14.624657534246575</v>
      </c>
      <c r="P229" s="12">
        <f t="shared" ca="1" si="22"/>
        <v>32.624657534246573</v>
      </c>
      <c r="Q229" s="12" t="s">
        <v>26</v>
      </c>
      <c r="R229" s="9" t="s">
        <v>27</v>
      </c>
      <c r="S229" s="9" t="s">
        <v>36</v>
      </c>
      <c r="T229" s="9" t="s">
        <v>137</v>
      </c>
    </row>
    <row r="230" spans="1:20" ht="36" customHeight="1">
      <c r="A230" s="6">
        <f t="shared" si="23"/>
        <v>229</v>
      </c>
      <c r="B230" s="17" t="s">
        <v>770</v>
      </c>
      <c r="C230" s="8" t="s">
        <v>771</v>
      </c>
      <c r="D230" s="9" t="s">
        <v>26</v>
      </c>
      <c r="E230" s="10">
        <v>30487</v>
      </c>
      <c r="F230" s="11">
        <f t="shared" ca="1" si="18"/>
        <v>40.504109589041093</v>
      </c>
      <c r="G230" s="11">
        <f t="shared" si="24"/>
        <v>6</v>
      </c>
      <c r="H230" s="11">
        <f t="shared" si="25"/>
        <v>20</v>
      </c>
      <c r="I230" s="10">
        <v>39937</v>
      </c>
      <c r="J230" s="9" t="s">
        <v>32</v>
      </c>
      <c r="K230" s="9" t="s">
        <v>313</v>
      </c>
      <c r="L230" s="9" t="s">
        <v>486</v>
      </c>
      <c r="M230" s="9" t="s">
        <v>25</v>
      </c>
      <c r="N230" s="11">
        <v>3</v>
      </c>
      <c r="O230" s="12">
        <f t="shared" ca="1" si="21"/>
        <v>14.613698630136986</v>
      </c>
      <c r="P230" s="12">
        <f t="shared" ca="1" si="22"/>
        <v>17.613698630136987</v>
      </c>
      <c r="Q230" s="12" t="s">
        <v>68</v>
      </c>
      <c r="R230" s="9" t="s">
        <v>27</v>
      </c>
      <c r="S230" s="9" t="s">
        <v>28</v>
      </c>
      <c r="T230" s="9" t="s">
        <v>29</v>
      </c>
    </row>
    <row r="231" spans="1:20" ht="36" customHeight="1">
      <c r="A231" s="6">
        <f t="shared" si="23"/>
        <v>230</v>
      </c>
      <c r="B231" s="17" t="s">
        <v>773</v>
      </c>
      <c r="C231" s="8" t="s">
        <v>774</v>
      </c>
      <c r="D231" s="9" t="s">
        <v>26</v>
      </c>
      <c r="E231" s="10">
        <v>30637</v>
      </c>
      <c r="F231" s="11">
        <f t="shared" ca="1" si="18"/>
        <v>40.093150684931508</v>
      </c>
      <c r="G231" s="11">
        <f t="shared" si="24"/>
        <v>11</v>
      </c>
      <c r="H231" s="11">
        <f t="shared" si="25"/>
        <v>17</v>
      </c>
      <c r="I231" s="10">
        <v>39937</v>
      </c>
      <c r="J231" s="9" t="s">
        <v>22</v>
      </c>
      <c r="K231" s="9" t="s">
        <v>775</v>
      </c>
      <c r="L231" s="9" t="s">
        <v>325</v>
      </c>
      <c r="M231" s="9" t="s">
        <v>134</v>
      </c>
      <c r="N231" s="11">
        <v>1.5</v>
      </c>
      <c r="O231" s="12">
        <f t="shared" ca="1" si="21"/>
        <v>14.613698630136986</v>
      </c>
      <c r="P231" s="12">
        <f t="shared" ca="1" si="22"/>
        <v>16.113698630136987</v>
      </c>
      <c r="Q231" s="12" t="s">
        <v>68</v>
      </c>
      <c r="R231" s="9"/>
      <c r="S231" s="9" t="s">
        <v>28</v>
      </c>
      <c r="T231" s="9" t="s">
        <v>29</v>
      </c>
    </row>
    <row r="232" spans="1:20" ht="36" customHeight="1">
      <c r="A232" s="6">
        <f t="shared" si="23"/>
        <v>231</v>
      </c>
      <c r="B232" s="17" t="s">
        <v>776</v>
      </c>
      <c r="C232" s="8" t="s">
        <v>777</v>
      </c>
      <c r="D232" s="9" t="s">
        <v>26</v>
      </c>
      <c r="E232" s="10">
        <v>27677</v>
      </c>
      <c r="F232" s="11">
        <f t="shared" ca="1" si="18"/>
        <v>48.202739726027396</v>
      </c>
      <c r="G232" s="11">
        <f>MONTH(E232)</f>
        <v>10</v>
      </c>
      <c r="H232" s="11">
        <f>DAY(E232)</f>
        <v>10</v>
      </c>
      <c r="I232" s="10">
        <v>39937</v>
      </c>
      <c r="J232" s="9" t="s">
        <v>32</v>
      </c>
      <c r="K232" s="9" t="s">
        <v>778</v>
      </c>
      <c r="L232" s="9" t="s">
        <v>24</v>
      </c>
      <c r="M232" s="9" t="s">
        <v>25</v>
      </c>
      <c r="N232" s="11">
        <v>11</v>
      </c>
      <c r="O232" s="12">
        <f t="shared" ca="1" si="21"/>
        <v>14.613698630136986</v>
      </c>
      <c r="P232" s="12">
        <f t="shared" ca="1" si="22"/>
        <v>25.613698630136987</v>
      </c>
      <c r="Q232" s="12" t="s">
        <v>26</v>
      </c>
      <c r="R232" s="9" t="s">
        <v>27</v>
      </c>
      <c r="S232" s="9" t="s">
        <v>28</v>
      </c>
      <c r="T232" s="9" t="s">
        <v>29</v>
      </c>
    </row>
    <row r="233" spans="1:20" ht="36" customHeight="1">
      <c r="A233" s="6">
        <f t="shared" si="23"/>
        <v>232</v>
      </c>
      <c r="B233" s="17" t="s">
        <v>779</v>
      </c>
      <c r="C233" s="8" t="s">
        <v>780</v>
      </c>
      <c r="D233" s="9" t="s">
        <v>26</v>
      </c>
      <c r="E233" s="10">
        <v>26851</v>
      </c>
      <c r="F233" s="11">
        <f t="shared" ca="1" si="18"/>
        <v>50.465753424657535</v>
      </c>
      <c r="G233" s="11">
        <f>MONTH(E233)</f>
        <v>7</v>
      </c>
      <c r="H233" s="11">
        <f>DAY(E233)</f>
        <v>6</v>
      </c>
      <c r="I233" s="10">
        <v>39939</v>
      </c>
      <c r="J233" s="9" t="s">
        <v>110</v>
      </c>
      <c r="K233" s="9" t="s">
        <v>781</v>
      </c>
      <c r="L233" s="9" t="s">
        <v>782</v>
      </c>
      <c r="M233" s="9" t="s">
        <v>134</v>
      </c>
      <c r="N233" s="11">
        <v>5</v>
      </c>
      <c r="O233" s="12">
        <f t="shared" ca="1" si="21"/>
        <v>14.608219178082193</v>
      </c>
      <c r="P233" s="12">
        <f t="shared" ca="1" si="22"/>
        <v>19.608219178082194</v>
      </c>
      <c r="Q233" s="12" t="s">
        <v>26</v>
      </c>
      <c r="R233" s="9" t="s">
        <v>27</v>
      </c>
      <c r="S233" s="9" t="s">
        <v>36</v>
      </c>
      <c r="T233" s="9" t="s">
        <v>137</v>
      </c>
    </row>
    <row r="234" spans="1:20" ht="36" customHeight="1">
      <c r="A234" s="6">
        <f t="shared" si="23"/>
        <v>233</v>
      </c>
      <c r="B234" s="17" t="s">
        <v>783</v>
      </c>
      <c r="C234" s="8" t="s">
        <v>784</v>
      </c>
      <c r="D234" s="9" t="s">
        <v>26</v>
      </c>
      <c r="E234" s="10">
        <v>25408</v>
      </c>
      <c r="F234" s="11">
        <f t="shared" ca="1" si="18"/>
        <v>54.419178082191777</v>
      </c>
      <c r="G234" s="11">
        <f>MONTH(E234)</f>
        <v>7</v>
      </c>
      <c r="H234" s="11">
        <f>DAY(E234)</f>
        <v>24</v>
      </c>
      <c r="I234" s="10">
        <v>39940</v>
      </c>
      <c r="J234" s="9" t="s">
        <v>32</v>
      </c>
      <c r="K234" s="9" t="s">
        <v>785</v>
      </c>
      <c r="L234" s="9" t="s">
        <v>782</v>
      </c>
      <c r="M234" s="9" t="s">
        <v>134</v>
      </c>
      <c r="N234" s="11">
        <v>20</v>
      </c>
      <c r="O234" s="12">
        <f t="shared" ca="1" si="21"/>
        <v>14.605479452054794</v>
      </c>
      <c r="P234" s="12">
        <f t="shared" ca="1" si="22"/>
        <v>34.605479452054794</v>
      </c>
      <c r="Q234" s="12" t="s">
        <v>26</v>
      </c>
      <c r="R234" s="9" t="s">
        <v>27</v>
      </c>
      <c r="S234" s="9" t="s">
        <v>36</v>
      </c>
      <c r="T234" s="9" t="s">
        <v>137</v>
      </c>
    </row>
    <row r="235" spans="1:20" ht="36" customHeight="1">
      <c r="A235" s="6">
        <f t="shared" si="23"/>
        <v>234</v>
      </c>
      <c r="B235" s="17" t="s">
        <v>786</v>
      </c>
      <c r="C235" s="8" t="s">
        <v>787</v>
      </c>
      <c r="D235" s="9" t="s">
        <v>26</v>
      </c>
      <c r="E235" s="10">
        <v>19158</v>
      </c>
      <c r="F235" s="11">
        <f t="shared" ca="1" si="18"/>
        <v>71.542465753424651</v>
      </c>
      <c r="G235" s="11">
        <f>MONTH(E235)</f>
        <v>6</v>
      </c>
      <c r="H235" s="11">
        <f>DAY(E235)</f>
        <v>13</v>
      </c>
      <c r="I235" s="10">
        <v>39941</v>
      </c>
      <c r="J235" s="9" t="s">
        <v>93</v>
      </c>
      <c r="K235" s="9" t="s">
        <v>788</v>
      </c>
      <c r="L235" s="9" t="s">
        <v>34</v>
      </c>
      <c r="M235" s="9" t="s">
        <v>35</v>
      </c>
      <c r="N235" s="11">
        <v>32</v>
      </c>
      <c r="O235" s="12">
        <f t="shared" ca="1" si="21"/>
        <v>14.602739726027398</v>
      </c>
      <c r="P235" s="12">
        <f t="shared" ca="1" si="22"/>
        <v>46.602739726027394</v>
      </c>
      <c r="Q235" s="12" t="s">
        <v>26</v>
      </c>
      <c r="R235" s="9" t="s">
        <v>27</v>
      </c>
      <c r="S235" s="9" t="s">
        <v>28</v>
      </c>
      <c r="T235" s="9" t="s">
        <v>29</v>
      </c>
    </row>
    <row r="236" spans="1:20" ht="36" customHeight="1">
      <c r="A236" s="6">
        <f t="shared" si="23"/>
        <v>235</v>
      </c>
      <c r="B236" s="17" t="s">
        <v>789</v>
      </c>
      <c r="C236" s="17" t="s">
        <v>790</v>
      </c>
      <c r="D236" s="6" t="s">
        <v>26</v>
      </c>
      <c r="E236" s="18">
        <v>22383</v>
      </c>
      <c r="F236" s="19">
        <v>49.421917808219177</v>
      </c>
      <c r="G236" s="19">
        <v>4</v>
      </c>
      <c r="H236" s="19">
        <v>12</v>
      </c>
      <c r="I236" s="18">
        <v>39934</v>
      </c>
      <c r="J236" s="6" t="s">
        <v>32</v>
      </c>
      <c r="K236" s="6" t="s">
        <v>791</v>
      </c>
      <c r="L236" s="6" t="s">
        <v>490</v>
      </c>
      <c r="M236" s="6" t="s">
        <v>491</v>
      </c>
      <c r="N236" s="19">
        <v>21</v>
      </c>
      <c r="O236" s="20">
        <f t="shared" ca="1" si="21"/>
        <v>14.621917808219179</v>
      </c>
      <c r="P236" s="20">
        <f t="shared" ca="1" si="22"/>
        <v>35.62191780821918</v>
      </c>
      <c r="Q236" s="20" t="s">
        <v>26</v>
      </c>
      <c r="R236" s="6" t="s">
        <v>577</v>
      </c>
      <c r="S236" s="6" t="s">
        <v>28</v>
      </c>
      <c r="T236" s="6" t="s">
        <v>492</v>
      </c>
    </row>
    <row r="237" spans="1:20" ht="36" customHeight="1">
      <c r="A237" s="6">
        <f t="shared" si="23"/>
        <v>236</v>
      </c>
      <c r="B237" s="17" t="s">
        <v>793</v>
      </c>
      <c r="C237" s="8" t="s">
        <v>794</v>
      </c>
      <c r="D237" s="9" t="s">
        <v>26</v>
      </c>
      <c r="E237" s="10">
        <v>30133</v>
      </c>
      <c r="F237" s="11">
        <f t="shared" ref="F237:F300" ca="1" si="26">(TODAY()-E237)/365</f>
        <v>41.473972602739728</v>
      </c>
      <c r="G237" s="11">
        <f>MONTH(E237)</f>
        <v>7</v>
      </c>
      <c r="H237" s="11">
        <f>DAY(E237)</f>
        <v>1</v>
      </c>
      <c r="I237" s="10">
        <v>39951</v>
      </c>
      <c r="J237" s="9" t="s">
        <v>32</v>
      </c>
      <c r="K237" s="9" t="s">
        <v>795</v>
      </c>
      <c r="L237" s="9" t="s">
        <v>796</v>
      </c>
      <c r="M237" s="9" t="s">
        <v>35</v>
      </c>
      <c r="N237" s="11">
        <v>2.5</v>
      </c>
      <c r="O237" s="12">
        <f t="shared" ca="1" si="21"/>
        <v>14.575342465753424</v>
      </c>
      <c r="P237" s="12">
        <f t="shared" ca="1" si="22"/>
        <v>17.075342465753423</v>
      </c>
      <c r="Q237" s="12" t="s">
        <v>26</v>
      </c>
      <c r="R237" s="9" t="s">
        <v>232</v>
      </c>
      <c r="S237" s="9" t="s">
        <v>28</v>
      </c>
      <c r="T237" s="9" t="s">
        <v>29</v>
      </c>
    </row>
    <row r="238" spans="1:20" ht="36" customHeight="1">
      <c r="A238" s="6">
        <f t="shared" si="23"/>
        <v>237</v>
      </c>
      <c r="B238" s="17" t="s">
        <v>798</v>
      </c>
      <c r="C238" s="8" t="s">
        <v>799</v>
      </c>
      <c r="D238" s="9" t="s">
        <v>26</v>
      </c>
      <c r="E238" s="10">
        <v>28969</v>
      </c>
      <c r="F238" s="11">
        <f t="shared" ca="1" si="26"/>
        <v>44.663013698630138</v>
      </c>
      <c r="G238" s="11">
        <f>MONTH(E238)</f>
        <v>4</v>
      </c>
      <c r="H238" s="11">
        <f>DAY(E238)</f>
        <v>24</v>
      </c>
      <c r="I238" s="10">
        <v>39953</v>
      </c>
      <c r="J238" s="9" t="s">
        <v>41</v>
      </c>
      <c r="K238" s="9" t="s">
        <v>62</v>
      </c>
      <c r="L238" s="9" t="s">
        <v>34</v>
      </c>
      <c r="M238" s="9" t="s">
        <v>35</v>
      </c>
      <c r="N238" s="11">
        <v>0</v>
      </c>
      <c r="O238" s="12">
        <f t="shared" ca="1" si="21"/>
        <v>14.56986301369863</v>
      </c>
      <c r="P238" s="12">
        <f t="shared" ca="1" si="22"/>
        <v>14.56986301369863</v>
      </c>
      <c r="Q238" s="12" t="s">
        <v>26</v>
      </c>
      <c r="R238" s="9" t="s">
        <v>662</v>
      </c>
      <c r="S238" s="9" t="s">
        <v>36</v>
      </c>
      <c r="T238" s="9" t="s">
        <v>186</v>
      </c>
    </row>
    <row r="239" spans="1:20" ht="36" customHeight="1">
      <c r="A239" s="6">
        <f t="shared" si="23"/>
        <v>238</v>
      </c>
      <c r="B239" s="17" t="s">
        <v>800</v>
      </c>
      <c r="C239" s="8" t="s">
        <v>801</v>
      </c>
      <c r="D239" s="9" t="s">
        <v>26</v>
      </c>
      <c r="E239" s="10">
        <v>30421</v>
      </c>
      <c r="F239" s="11">
        <f t="shared" ca="1" si="26"/>
        <v>40.684931506849317</v>
      </c>
      <c r="G239" s="11">
        <f>MONTH(E239)</f>
        <v>4</v>
      </c>
      <c r="H239" s="11">
        <f>DAY(E239)</f>
        <v>15</v>
      </c>
      <c r="I239" s="10">
        <v>39934</v>
      </c>
      <c r="J239" s="9" t="s">
        <v>45</v>
      </c>
      <c r="K239" s="9" t="s">
        <v>802</v>
      </c>
      <c r="L239" s="9" t="s">
        <v>122</v>
      </c>
      <c r="M239" s="9" t="s">
        <v>35</v>
      </c>
      <c r="N239" s="11">
        <v>2</v>
      </c>
      <c r="O239" s="12">
        <f t="shared" ca="1" si="21"/>
        <v>14.621917808219179</v>
      </c>
      <c r="P239" s="12">
        <f t="shared" ca="1" si="22"/>
        <v>16.62191780821918</v>
      </c>
      <c r="Q239" s="12" t="s">
        <v>26</v>
      </c>
      <c r="R239" s="9" t="s">
        <v>27</v>
      </c>
      <c r="S239" s="9" t="s">
        <v>36</v>
      </c>
      <c r="T239" s="9" t="s">
        <v>72</v>
      </c>
    </row>
    <row r="240" spans="1:20" ht="36" customHeight="1">
      <c r="A240" s="6">
        <f t="shared" si="23"/>
        <v>239</v>
      </c>
      <c r="B240" s="17" t="s">
        <v>803</v>
      </c>
      <c r="C240" s="8" t="s">
        <v>804</v>
      </c>
      <c r="D240" s="9" t="s">
        <v>26</v>
      </c>
      <c r="E240" s="10">
        <v>31585</v>
      </c>
      <c r="F240" s="11">
        <f t="shared" ca="1" si="26"/>
        <v>37.495890410958907</v>
      </c>
      <c r="G240" s="11">
        <f>MONTH(E240)</f>
        <v>6</v>
      </c>
      <c r="H240" s="11">
        <f>DAY(E240)</f>
        <v>22</v>
      </c>
      <c r="I240" s="10">
        <v>39935</v>
      </c>
      <c r="J240" s="9" t="s">
        <v>45</v>
      </c>
      <c r="K240" s="9" t="s">
        <v>477</v>
      </c>
      <c r="L240" s="9" t="s">
        <v>34</v>
      </c>
      <c r="M240" s="9" t="s">
        <v>35</v>
      </c>
      <c r="N240" s="11">
        <v>2</v>
      </c>
      <c r="O240" s="12">
        <f t="shared" ca="1" si="21"/>
        <v>14.61917808219178</v>
      </c>
      <c r="P240" s="12">
        <f t="shared" ca="1" si="22"/>
        <v>16.61917808219178</v>
      </c>
      <c r="Q240" s="12" t="s">
        <v>68</v>
      </c>
      <c r="R240" s="9" t="s">
        <v>662</v>
      </c>
      <c r="S240" s="9" t="s">
        <v>36</v>
      </c>
      <c r="T240" s="9" t="s">
        <v>72</v>
      </c>
    </row>
    <row r="241" spans="1:20" ht="36" customHeight="1">
      <c r="A241" s="6">
        <f t="shared" si="23"/>
        <v>240</v>
      </c>
      <c r="B241" s="17" t="s">
        <v>805</v>
      </c>
      <c r="C241" s="8" t="s">
        <v>806</v>
      </c>
      <c r="D241" s="9" t="s">
        <v>26</v>
      </c>
      <c r="E241" s="10">
        <v>29575</v>
      </c>
      <c r="F241" s="11">
        <f t="shared" ca="1" si="26"/>
        <v>43.0027397260274</v>
      </c>
      <c r="G241" s="11">
        <f>MONTH(E241)</f>
        <v>12</v>
      </c>
      <c r="H241" s="11">
        <f>DAY(E241)</f>
        <v>20</v>
      </c>
      <c r="I241" s="10">
        <v>39967</v>
      </c>
      <c r="J241" s="9" t="s">
        <v>50</v>
      </c>
      <c r="K241" s="9" t="s">
        <v>159</v>
      </c>
      <c r="L241" s="9" t="s">
        <v>34</v>
      </c>
      <c r="M241" s="9" t="s">
        <v>165</v>
      </c>
      <c r="N241" s="11">
        <v>7</v>
      </c>
      <c r="O241" s="12">
        <f t="shared" ca="1" si="21"/>
        <v>14.531506849315068</v>
      </c>
      <c r="P241" s="12">
        <f t="shared" ca="1" si="22"/>
        <v>21.531506849315068</v>
      </c>
      <c r="Q241" s="12" t="s">
        <v>68</v>
      </c>
      <c r="R241" s="9" t="s">
        <v>662</v>
      </c>
      <c r="S241" s="9" t="s">
        <v>36</v>
      </c>
      <c r="T241" s="9" t="s">
        <v>37</v>
      </c>
    </row>
    <row r="242" spans="1:20" ht="36" customHeight="1">
      <c r="A242" s="6">
        <f t="shared" si="23"/>
        <v>241</v>
      </c>
      <c r="B242" s="17" t="s">
        <v>807</v>
      </c>
      <c r="C242" s="8" t="s">
        <v>808</v>
      </c>
      <c r="D242" s="9" t="s">
        <v>26</v>
      </c>
      <c r="E242" s="10">
        <v>26867</v>
      </c>
      <c r="F242" s="11">
        <f t="shared" ca="1" si="26"/>
        <v>50.421917808219177</v>
      </c>
      <c r="G242" s="11">
        <f t="shared" ref="G242:G305" si="27">MONTH(E242)</f>
        <v>7</v>
      </c>
      <c r="H242" s="11">
        <f t="shared" ref="H242:H305" si="28">DAY(E242)</f>
        <v>22</v>
      </c>
      <c r="I242" s="10">
        <v>39968</v>
      </c>
      <c r="J242" s="9" t="s">
        <v>32</v>
      </c>
      <c r="K242" s="9" t="s">
        <v>809</v>
      </c>
      <c r="L242" s="9" t="s">
        <v>377</v>
      </c>
      <c r="M242" s="9" t="s">
        <v>134</v>
      </c>
      <c r="N242" s="11">
        <v>12</v>
      </c>
      <c r="O242" s="12">
        <f t="shared" ca="1" si="21"/>
        <v>14.528767123287672</v>
      </c>
      <c r="P242" s="12">
        <f t="shared" ca="1" si="22"/>
        <v>26.528767123287672</v>
      </c>
      <c r="Q242" s="12" t="s">
        <v>26</v>
      </c>
      <c r="R242" s="9"/>
      <c r="S242" s="9" t="s">
        <v>36</v>
      </c>
      <c r="T242" s="9" t="s">
        <v>137</v>
      </c>
    </row>
    <row r="243" spans="1:20" ht="36" customHeight="1">
      <c r="A243" s="6">
        <f t="shared" si="23"/>
        <v>242</v>
      </c>
      <c r="B243" s="17" t="s">
        <v>810</v>
      </c>
      <c r="C243" s="8" t="s">
        <v>811</v>
      </c>
      <c r="D243" s="9" t="s">
        <v>26</v>
      </c>
      <c r="E243" s="10">
        <v>24425</v>
      </c>
      <c r="F243" s="11">
        <f t="shared" ca="1" si="26"/>
        <v>57.112328767123287</v>
      </c>
      <c r="G243" s="11">
        <f t="shared" si="27"/>
        <v>11</v>
      </c>
      <c r="H243" s="11">
        <f t="shared" si="28"/>
        <v>14</v>
      </c>
      <c r="I243" s="10">
        <v>39974</v>
      </c>
      <c r="J243" s="9" t="s">
        <v>318</v>
      </c>
      <c r="K243" s="9" t="s">
        <v>812</v>
      </c>
      <c r="L243" s="9" t="s">
        <v>52</v>
      </c>
      <c r="M243" s="9" t="s">
        <v>165</v>
      </c>
      <c r="N243" s="11">
        <v>16.5</v>
      </c>
      <c r="O243" s="12">
        <f t="shared" ca="1" si="21"/>
        <v>14.512328767123288</v>
      </c>
      <c r="P243" s="12">
        <f t="shared" ca="1" si="22"/>
        <v>31.012328767123286</v>
      </c>
      <c r="Q243" s="12" t="s">
        <v>68</v>
      </c>
      <c r="R243" s="9" t="s">
        <v>27</v>
      </c>
      <c r="S243" s="9" t="s">
        <v>28</v>
      </c>
      <c r="T243" s="9" t="s">
        <v>29</v>
      </c>
    </row>
    <row r="244" spans="1:20" ht="36" customHeight="1">
      <c r="A244" s="6">
        <f t="shared" si="23"/>
        <v>243</v>
      </c>
      <c r="B244" s="17" t="s">
        <v>813</v>
      </c>
      <c r="C244" s="8" t="s">
        <v>814</v>
      </c>
      <c r="D244" s="9" t="s">
        <v>26</v>
      </c>
      <c r="E244" s="10">
        <v>31141</v>
      </c>
      <c r="F244" s="11">
        <f t="shared" ca="1" si="26"/>
        <v>38.712328767123289</v>
      </c>
      <c r="G244" s="11">
        <f t="shared" si="27"/>
        <v>4</v>
      </c>
      <c r="H244" s="11">
        <f t="shared" si="28"/>
        <v>4</v>
      </c>
      <c r="I244" s="10">
        <v>39974</v>
      </c>
      <c r="J244" s="9" t="s">
        <v>50</v>
      </c>
      <c r="K244" s="9" t="s">
        <v>815</v>
      </c>
      <c r="L244" s="9" t="s">
        <v>563</v>
      </c>
      <c r="M244" s="9" t="s">
        <v>134</v>
      </c>
      <c r="N244" s="11">
        <v>5</v>
      </c>
      <c r="O244" s="12">
        <f t="shared" ca="1" si="21"/>
        <v>14.512328767123288</v>
      </c>
      <c r="P244" s="12">
        <f t="shared" ca="1" si="22"/>
        <v>19.512328767123286</v>
      </c>
      <c r="Q244" s="12" t="s">
        <v>26</v>
      </c>
      <c r="R244" s="9" t="s">
        <v>816</v>
      </c>
      <c r="S244" s="9" t="s">
        <v>817</v>
      </c>
      <c r="T244" s="9" t="s">
        <v>137</v>
      </c>
    </row>
    <row r="245" spans="1:20" ht="36" customHeight="1">
      <c r="A245" s="6">
        <f t="shared" si="23"/>
        <v>244</v>
      </c>
      <c r="B245" s="17" t="s">
        <v>818</v>
      </c>
      <c r="C245" s="8" t="s">
        <v>819</v>
      </c>
      <c r="D245" s="9" t="s">
        <v>26</v>
      </c>
      <c r="E245" s="10">
        <v>28155</v>
      </c>
      <c r="F245" s="11">
        <f t="shared" ca="1" si="26"/>
        <v>46.893150684931506</v>
      </c>
      <c r="G245" s="11">
        <f t="shared" si="27"/>
        <v>1</v>
      </c>
      <c r="H245" s="11">
        <f t="shared" si="28"/>
        <v>30</v>
      </c>
      <c r="I245" s="10">
        <v>39974</v>
      </c>
      <c r="J245" s="9" t="s">
        <v>50</v>
      </c>
      <c r="K245" s="9" t="s">
        <v>159</v>
      </c>
      <c r="L245" s="9" t="s">
        <v>724</v>
      </c>
      <c r="M245" s="9" t="s">
        <v>134</v>
      </c>
      <c r="N245" s="11">
        <v>12</v>
      </c>
      <c r="O245" s="12">
        <f t="shared" ca="1" si="21"/>
        <v>14.512328767123288</v>
      </c>
      <c r="P245" s="12">
        <f t="shared" ca="1" si="22"/>
        <v>26.512328767123286</v>
      </c>
      <c r="Q245" s="12" t="s">
        <v>68</v>
      </c>
      <c r="R245" s="9" t="s">
        <v>95</v>
      </c>
      <c r="S245" s="9" t="s">
        <v>36</v>
      </c>
      <c r="T245" s="9" t="s">
        <v>137</v>
      </c>
    </row>
    <row r="246" spans="1:20" ht="36" customHeight="1">
      <c r="A246" s="6">
        <f t="shared" si="23"/>
        <v>245</v>
      </c>
      <c r="B246" s="17" t="s">
        <v>820</v>
      </c>
      <c r="C246" s="8" t="s">
        <v>821</v>
      </c>
      <c r="D246" s="9" t="s">
        <v>26</v>
      </c>
      <c r="E246" s="10">
        <v>29351</v>
      </c>
      <c r="F246" s="11">
        <f t="shared" ca="1" si="26"/>
        <v>43.61643835616438</v>
      </c>
      <c r="G246" s="11">
        <f t="shared" si="27"/>
        <v>5</v>
      </c>
      <c r="H246" s="11">
        <f t="shared" si="28"/>
        <v>10</v>
      </c>
      <c r="I246" s="10">
        <v>39974</v>
      </c>
      <c r="J246" s="9" t="s">
        <v>110</v>
      </c>
      <c r="K246" s="9" t="s">
        <v>495</v>
      </c>
      <c r="L246" s="9" t="s">
        <v>208</v>
      </c>
      <c r="M246" s="9" t="s">
        <v>35</v>
      </c>
      <c r="N246" s="11">
        <v>5</v>
      </c>
      <c r="O246" s="12">
        <f t="shared" ca="1" si="21"/>
        <v>14.512328767123288</v>
      </c>
      <c r="P246" s="12">
        <f t="shared" ca="1" si="22"/>
        <v>19.512328767123286</v>
      </c>
      <c r="Q246" s="12" t="s">
        <v>68</v>
      </c>
      <c r="R246" s="9" t="s">
        <v>442</v>
      </c>
      <c r="S246" s="9" t="s">
        <v>28</v>
      </c>
      <c r="T246" s="9" t="s">
        <v>29</v>
      </c>
    </row>
    <row r="247" spans="1:20" ht="36" customHeight="1">
      <c r="A247" s="6">
        <f t="shared" si="23"/>
        <v>246</v>
      </c>
      <c r="B247" s="17" t="s">
        <v>822</v>
      </c>
      <c r="C247" s="8" t="s">
        <v>823</v>
      </c>
      <c r="D247" s="9" t="s">
        <v>26</v>
      </c>
      <c r="E247" s="10">
        <v>25712</v>
      </c>
      <c r="F247" s="11">
        <f t="shared" ca="1" si="26"/>
        <v>53.586301369863016</v>
      </c>
      <c r="G247" s="11">
        <f t="shared" si="27"/>
        <v>5</v>
      </c>
      <c r="H247" s="11">
        <f t="shared" si="28"/>
        <v>24</v>
      </c>
      <c r="I247" s="10">
        <v>39975</v>
      </c>
      <c r="J247" s="9" t="s">
        <v>32</v>
      </c>
      <c r="K247" s="9" t="s">
        <v>824</v>
      </c>
      <c r="L247" s="9" t="s">
        <v>213</v>
      </c>
      <c r="M247" s="9" t="s">
        <v>35</v>
      </c>
      <c r="N247" s="11">
        <v>16</v>
      </c>
      <c r="O247" s="12">
        <f t="shared" ca="1" si="21"/>
        <v>14.509589041095891</v>
      </c>
      <c r="P247" s="12">
        <f t="shared" ca="1" si="22"/>
        <v>30.509589041095893</v>
      </c>
      <c r="Q247" s="12" t="s">
        <v>26</v>
      </c>
      <c r="R247" s="9" t="s">
        <v>27</v>
      </c>
      <c r="S247" s="9" t="s">
        <v>28</v>
      </c>
      <c r="T247" s="9" t="s">
        <v>29</v>
      </c>
    </row>
    <row r="248" spans="1:20" ht="36" customHeight="1">
      <c r="A248" s="6">
        <f t="shared" si="23"/>
        <v>247</v>
      </c>
      <c r="B248" s="17" t="s">
        <v>825</v>
      </c>
      <c r="C248" s="8" t="s">
        <v>826</v>
      </c>
      <c r="D248" s="9" t="s">
        <v>26</v>
      </c>
      <c r="E248" s="10">
        <v>31710</v>
      </c>
      <c r="F248" s="11">
        <f t="shared" ca="1" si="26"/>
        <v>37.153424657534245</v>
      </c>
      <c r="G248" s="11">
        <f t="shared" si="27"/>
        <v>10</v>
      </c>
      <c r="H248" s="11">
        <f t="shared" si="28"/>
        <v>25</v>
      </c>
      <c r="I248" s="10">
        <v>39979</v>
      </c>
      <c r="J248" s="9" t="s">
        <v>50</v>
      </c>
      <c r="K248" s="9" t="s">
        <v>827</v>
      </c>
      <c r="L248" s="9" t="s">
        <v>393</v>
      </c>
      <c r="M248" s="9" t="s">
        <v>156</v>
      </c>
      <c r="N248" s="11">
        <v>0</v>
      </c>
      <c r="O248" s="12">
        <f t="shared" ca="1" si="21"/>
        <v>14.498630136986302</v>
      </c>
      <c r="P248" s="12">
        <f t="shared" ca="1" si="22"/>
        <v>14.498630136986302</v>
      </c>
      <c r="Q248" s="9" t="s">
        <v>68</v>
      </c>
      <c r="R248" s="9" t="s">
        <v>27</v>
      </c>
      <c r="S248" s="9" t="s">
        <v>28</v>
      </c>
      <c r="T248" s="9" t="s">
        <v>29</v>
      </c>
    </row>
    <row r="249" spans="1:20" ht="36" customHeight="1">
      <c r="A249" s="6">
        <f t="shared" si="23"/>
        <v>248</v>
      </c>
      <c r="B249" s="17" t="s">
        <v>828</v>
      </c>
      <c r="C249" s="8" t="s">
        <v>829</v>
      </c>
      <c r="D249" s="9" t="s">
        <v>26</v>
      </c>
      <c r="E249" s="10">
        <v>31295</v>
      </c>
      <c r="F249" s="11">
        <f t="shared" ca="1" si="26"/>
        <v>38.290410958904111</v>
      </c>
      <c r="G249" s="11">
        <f t="shared" si="27"/>
        <v>9</v>
      </c>
      <c r="H249" s="11">
        <f t="shared" si="28"/>
        <v>5</v>
      </c>
      <c r="I249" s="10">
        <v>39979</v>
      </c>
      <c r="J249" s="9" t="s">
        <v>22</v>
      </c>
      <c r="K249" s="9" t="s">
        <v>775</v>
      </c>
      <c r="L249" s="9" t="s">
        <v>325</v>
      </c>
      <c r="M249" s="9" t="s">
        <v>134</v>
      </c>
      <c r="N249" s="11">
        <v>0</v>
      </c>
      <c r="O249" s="12">
        <f t="shared" ca="1" si="21"/>
        <v>14.498630136986302</v>
      </c>
      <c r="P249" s="12">
        <f t="shared" ca="1" si="22"/>
        <v>14.498630136986302</v>
      </c>
      <c r="Q249" s="9" t="s">
        <v>68</v>
      </c>
      <c r="R249" s="9"/>
      <c r="S249" s="9" t="s">
        <v>28</v>
      </c>
      <c r="T249" s="9" t="s">
        <v>29</v>
      </c>
    </row>
    <row r="250" spans="1:20" ht="36" customHeight="1">
      <c r="A250" s="6">
        <f t="shared" si="23"/>
        <v>249</v>
      </c>
      <c r="B250" s="17" t="s">
        <v>830</v>
      </c>
      <c r="C250" s="8" t="s">
        <v>831</v>
      </c>
      <c r="D250" s="9" t="s">
        <v>26</v>
      </c>
      <c r="E250" s="10">
        <v>31718</v>
      </c>
      <c r="F250" s="11">
        <f t="shared" ca="1" si="26"/>
        <v>37.131506849315066</v>
      </c>
      <c r="G250" s="11">
        <f t="shared" si="27"/>
        <v>11</v>
      </c>
      <c r="H250" s="11">
        <f t="shared" si="28"/>
        <v>2</v>
      </c>
      <c r="I250" s="10">
        <v>39979</v>
      </c>
      <c r="J250" s="9" t="s">
        <v>226</v>
      </c>
      <c r="K250" s="9" t="s">
        <v>341</v>
      </c>
      <c r="L250" s="9" t="s">
        <v>34</v>
      </c>
      <c r="M250" s="9" t="s">
        <v>35</v>
      </c>
      <c r="N250" s="11">
        <v>0</v>
      </c>
      <c r="O250" s="12">
        <f t="shared" ca="1" si="21"/>
        <v>14.498630136986302</v>
      </c>
      <c r="P250" s="12">
        <f t="shared" ca="1" si="22"/>
        <v>14.498630136986302</v>
      </c>
      <c r="Q250" s="9" t="s">
        <v>68</v>
      </c>
      <c r="R250" s="9" t="s">
        <v>27</v>
      </c>
      <c r="S250" s="9" t="s">
        <v>36</v>
      </c>
      <c r="T250" s="9" t="s">
        <v>186</v>
      </c>
    </row>
    <row r="251" spans="1:20" ht="36" customHeight="1">
      <c r="A251" s="6">
        <f t="shared" si="23"/>
        <v>250</v>
      </c>
      <c r="B251" s="17" t="s">
        <v>832</v>
      </c>
      <c r="C251" s="8" t="s">
        <v>833</v>
      </c>
      <c r="D251" s="9" t="s">
        <v>26</v>
      </c>
      <c r="E251" s="10">
        <v>32049</v>
      </c>
      <c r="F251" s="11">
        <f t="shared" ca="1" si="26"/>
        <v>36.224657534246575</v>
      </c>
      <c r="G251" s="11">
        <f t="shared" si="27"/>
        <v>9</v>
      </c>
      <c r="H251" s="11">
        <f t="shared" si="28"/>
        <v>29</v>
      </c>
      <c r="I251" s="10">
        <v>39979</v>
      </c>
      <c r="J251" s="9" t="s">
        <v>226</v>
      </c>
      <c r="K251" s="9" t="s">
        <v>341</v>
      </c>
      <c r="L251" s="9" t="s">
        <v>796</v>
      </c>
      <c r="M251" s="9" t="s">
        <v>35</v>
      </c>
      <c r="N251" s="11">
        <v>0</v>
      </c>
      <c r="O251" s="12">
        <f t="shared" ca="1" si="21"/>
        <v>14.498630136986302</v>
      </c>
      <c r="P251" s="12">
        <f t="shared" ca="1" si="22"/>
        <v>14.498630136986302</v>
      </c>
      <c r="Q251" s="9" t="s">
        <v>68</v>
      </c>
      <c r="R251" s="9"/>
      <c r="S251" s="9" t="s">
        <v>36</v>
      </c>
      <c r="T251" s="9" t="s">
        <v>137</v>
      </c>
    </row>
    <row r="252" spans="1:20" ht="36" customHeight="1">
      <c r="A252" s="6">
        <f t="shared" si="23"/>
        <v>251</v>
      </c>
      <c r="B252" s="17" t="s">
        <v>834</v>
      </c>
      <c r="C252" s="8" t="s">
        <v>835</v>
      </c>
      <c r="D252" s="9" t="s">
        <v>26</v>
      </c>
      <c r="E252" s="10">
        <v>32276</v>
      </c>
      <c r="F252" s="11">
        <f t="shared" ca="1" si="26"/>
        <v>35.602739726027394</v>
      </c>
      <c r="G252" s="11">
        <f t="shared" si="27"/>
        <v>5</v>
      </c>
      <c r="H252" s="11">
        <f t="shared" si="28"/>
        <v>13</v>
      </c>
      <c r="I252" s="10">
        <v>39979</v>
      </c>
      <c r="J252" s="9" t="s">
        <v>226</v>
      </c>
      <c r="K252" s="9" t="s">
        <v>341</v>
      </c>
      <c r="L252" s="9" t="s">
        <v>34</v>
      </c>
      <c r="M252" s="9" t="s">
        <v>35</v>
      </c>
      <c r="N252" s="11">
        <v>0</v>
      </c>
      <c r="O252" s="12">
        <f t="shared" ca="1" si="21"/>
        <v>14.498630136986302</v>
      </c>
      <c r="P252" s="12">
        <f t="shared" ca="1" si="22"/>
        <v>14.498630136986302</v>
      </c>
      <c r="Q252" s="9" t="s">
        <v>68</v>
      </c>
      <c r="R252" s="9"/>
      <c r="S252" s="9" t="s">
        <v>36</v>
      </c>
      <c r="T252" s="9" t="s">
        <v>358</v>
      </c>
    </row>
    <row r="253" spans="1:20" ht="36" customHeight="1">
      <c r="A253" s="6">
        <f t="shared" si="23"/>
        <v>252</v>
      </c>
      <c r="B253" s="17" t="s">
        <v>836</v>
      </c>
      <c r="C253" s="8" t="s">
        <v>837</v>
      </c>
      <c r="D253" s="9" t="s">
        <v>26</v>
      </c>
      <c r="E253" s="10">
        <v>32119</v>
      </c>
      <c r="F253" s="11">
        <f t="shared" ca="1" si="26"/>
        <v>36.032876712328765</v>
      </c>
      <c r="G253" s="11">
        <f t="shared" si="27"/>
        <v>12</v>
      </c>
      <c r="H253" s="11">
        <f t="shared" si="28"/>
        <v>8</v>
      </c>
      <c r="I253" s="10">
        <v>39979</v>
      </c>
      <c r="J253" s="9" t="s">
        <v>226</v>
      </c>
      <c r="K253" s="9" t="s">
        <v>341</v>
      </c>
      <c r="L253" s="9" t="s">
        <v>34</v>
      </c>
      <c r="M253" s="9" t="s">
        <v>35</v>
      </c>
      <c r="N253" s="11">
        <v>0</v>
      </c>
      <c r="O253" s="12">
        <f t="shared" ca="1" si="21"/>
        <v>14.498630136986302</v>
      </c>
      <c r="P253" s="12">
        <f t="shared" ca="1" si="22"/>
        <v>14.498630136986302</v>
      </c>
      <c r="Q253" s="9" t="s">
        <v>68</v>
      </c>
      <c r="R253" s="9"/>
      <c r="S253" s="9" t="s">
        <v>36</v>
      </c>
      <c r="T253" s="9" t="s">
        <v>72</v>
      </c>
    </row>
    <row r="254" spans="1:20" ht="36" customHeight="1">
      <c r="A254" s="6">
        <f t="shared" si="23"/>
        <v>253</v>
      </c>
      <c r="B254" s="17" t="s">
        <v>838</v>
      </c>
      <c r="C254" s="8" t="s">
        <v>839</v>
      </c>
      <c r="D254" s="9" t="s">
        <v>21</v>
      </c>
      <c r="E254" s="10">
        <v>32061</v>
      </c>
      <c r="F254" s="11">
        <f t="shared" ca="1" si="26"/>
        <v>36.19178082191781</v>
      </c>
      <c r="G254" s="11">
        <f t="shared" si="27"/>
        <v>10</v>
      </c>
      <c r="H254" s="11">
        <f t="shared" si="28"/>
        <v>11</v>
      </c>
      <c r="I254" s="10">
        <v>39979</v>
      </c>
      <c r="J254" s="9" t="s">
        <v>226</v>
      </c>
      <c r="K254" s="9" t="s">
        <v>341</v>
      </c>
      <c r="L254" s="9" t="s">
        <v>34</v>
      </c>
      <c r="M254" s="9" t="s">
        <v>35</v>
      </c>
      <c r="N254" s="11">
        <v>0</v>
      </c>
      <c r="O254" s="12">
        <f t="shared" ca="1" si="21"/>
        <v>14.498630136986302</v>
      </c>
      <c r="P254" s="12">
        <f t="shared" ca="1" si="22"/>
        <v>14.498630136986302</v>
      </c>
      <c r="Q254" s="9" t="s">
        <v>68</v>
      </c>
      <c r="R254" s="9" t="s">
        <v>27</v>
      </c>
      <c r="S254" s="9" t="s">
        <v>28</v>
      </c>
      <c r="T254" s="9" t="s">
        <v>29</v>
      </c>
    </row>
    <row r="255" spans="1:20" ht="36" customHeight="1">
      <c r="A255" s="6">
        <f t="shared" si="23"/>
        <v>254</v>
      </c>
      <c r="B255" s="17" t="s">
        <v>841</v>
      </c>
      <c r="C255" s="8" t="s">
        <v>842</v>
      </c>
      <c r="D255" s="9" t="s">
        <v>26</v>
      </c>
      <c r="E255" s="10">
        <v>32233</v>
      </c>
      <c r="F255" s="11">
        <f t="shared" ca="1" si="26"/>
        <v>35.720547945205482</v>
      </c>
      <c r="G255" s="11">
        <f t="shared" si="27"/>
        <v>3</v>
      </c>
      <c r="H255" s="11">
        <f t="shared" si="28"/>
        <v>31</v>
      </c>
      <c r="I255" s="10">
        <v>39979</v>
      </c>
      <c r="J255" s="9" t="s">
        <v>226</v>
      </c>
      <c r="K255" s="9" t="s">
        <v>537</v>
      </c>
      <c r="L255" s="9" t="s">
        <v>34</v>
      </c>
      <c r="M255" s="9" t="s">
        <v>35</v>
      </c>
      <c r="N255" s="11">
        <v>0</v>
      </c>
      <c r="O255" s="12">
        <f t="shared" ca="1" si="21"/>
        <v>14.498630136986302</v>
      </c>
      <c r="P255" s="12">
        <f t="shared" ca="1" si="22"/>
        <v>14.498630136986302</v>
      </c>
      <c r="Q255" s="9" t="s">
        <v>68</v>
      </c>
      <c r="R255" s="9" t="s">
        <v>27</v>
      </c>
      <c r="S255" s="9" t="s">
        <v>36</v>
      </c>
      <c r="T255" s="9" t="s">
        <v>137</v>
      </c>
    </row>
    <row r="256" spans="1:20" ht="36" customHeight="1">
      <c r="A256" s="6">
        <f t="shared" si="23"/>
        <v>255</v>
      </c>
      <c r="B256" s="17" t="s">
        <v>843</v>
      </c>
      <c r="C256" s="8" t="s">
        <v>844</v>
      </c>
      <c r="D256" s="9" t="s">
        <v>21</v>
      </c>
      <c r="E256" s="10">
        <v>32296</v>
      </c>
      <c r="F256" s="11">
        <f t="shared" ca="1" si="26"/>
        <v>35.547945205479451</v>
      </c>
      <c r="G256" s="11">
        <f t="shared" si="27"/>
        <v>6</v>
      </c>
      <c r="H256" s="11">
        <f t="shared" si="28"/>
        <v>2</v>
      </c>
      <c r="I256" s="10">
        <v>39979</v>
      </c>
      <c r="J256" s="9" t="s">
        <v>87</v>
      </c>
      <c r="K256" s="9" t="s">
        <v>332</v>
      </c>
      <c r="L256" s="9" t="s">
        <v>34</v>
      </c>
      <c r="M256" s="9" t="s">
        <v>61</v>
      </c>
      <c r="N256" s="11">
        <v>0</v>
      </c>
      <c r="O256" s="12">
        <f t="shared" ca="1" si="21"/>
        <v>14.498630136986302</v>
      </c>
      <c r="P256" s="12">
        <f t="shared" ca="1" si="22"/>
        <v>14.498630136986302</v>
      </c>
      <c r="Q256" s="9" t="s">
        <v>68</v>
      </c>
      <c r="R256" s="9"/>
      <c r="S256" s="9" t="s">
        <v>28</v>
      </c>
      <c r="T256" s="9" t="s">
        <v>29</v>
      </c>
    </row>
    <row r="257" spans="1:20" ht="36" customHeight="1">
      <c r="A257" s="6">
        <f t="shared" si="23"/>
        <v>256</v>
      </c>
      <c r="B257" s="17" t="s">
        <v>845</v>
      </c>
      <c r="C257" s="8" t="s">
        <v>846</v>
      </c>
      <c r="D257" s="9" t="s">
        <v>26</v>
      </c>
      <c r="E257" s="10">
        <v>32383</v>
      </c>
      <c r="F257" s="11">
        <f t="shared" ca="1" si="26"/>
        <v>35.30958904109589</v>
      </c>
      <c r="G257" s="11">
        <f t="shared" si="27"/>
        <v>8</v>
      </c>
      <c r="H257" s="11">
        <f t="shared" si="28"/>
        <v>28</v>
      </c>
      <c r="I257" s="10">
        <v>39979</v>
      </c>
      <c r="J257" s="9" t="s">
        <v>226</v>
      </c>
      <c r="K257" s="9" t="s">
        <v>341</v>
      </c>
      <c r="L257" s="9" t="s">
        <v>34</v>
      </c>
      <c r="M257" s="9" t="s">
        <v>165</v>
      </c>
      <c r="N257" s="11">
        <v>0</v>
      </c>
      <c r="O257" s="12">
        <f t="shared" ca="1" si="21"/>
        <v>14.498630136986302</v>
      </c>
      <c r="P257" s="12">
        <f t="shared" ca="1" si="22"/>
        <v>14.498630136986302</v>
      </c>
      <c r="Q257" s="9" t="s">
        <v>68</v>
      </c>
      <c r="R257" s="9"/>
      <c r="S257" s="9" t="s">
        <v>36</v>
      </c>
      <c r="T257" s="9" t="s">
        <v>37</v>
      </c>
    </row>
    <row r="258" spans="1:20" ht="36" customHeight="1">
      <c r="A258" s="6">
        <f t="shared" si="23"/>
        <v>257</v>
      </c>
      <c r="B258" s="17" t="s">
        <v>847</v>
      </c>
      <c r="C258" s="8" t="s">
        <v>848</v>
      </c>
      <c r="D258" s="9" t="s">
        <v>26</v>
      </c>
      <c r="E258" s="10">
        <v>32028</v>
      </c>
      <c r="F258" s="11">
        <f t="shared" ca="1" si="26"/>
        <v>36.282191780821918</v>
      </c>
      <c r="G258" s="11">
        <f t="shared" si="27"/>
        <v>9</v>
      </c>
      <c r="H258" s="11">
        <f t="shared" si="28"/>
        <v>8</v>
      </c>
      <c r="I258" s="10">
        <v>39979</v>
      </c>
      <c r="J258" s="9" t="s">
        <v>226</v>
      </c>
      <c r="K258" s="9" t="s">
        <v>341</v>
      </c>
      <c r="L258" s="9" t="s">
        <v>796</v>
      </c>
      <c r="M258" s="9" t="s">
        <v>35</v>
      </c>
      <c r="N258" s="11">
        <v>0</v>
      </c>
      <c r="O258" s="12">
        <f t="shared" ref="O258:O321" ca="1" si="29">(TODAY()-I258)/365</f>
        <v>14.498630136986302</v>
      </c>
      <c r="P258" s="12">
        <f t="shared" ref="P258:P321" ca="1" si="30">SUM(N258+O258)</f>
        <v>14.498630136986302</v>
      </c>
      <c r="Q258" s="9" t="s">
        <v>68</v>
      </c>
      <c r="R258" s="9"/>
      <c r="S258" s="9" t="s">
        <v>36</v>
      </c>
      <c r="T258" s="9" t="s">
        <v>137</v>
      </c>
    </row>
    <row r="259" spans="1:20" ht="36" customHeight="1">
      <c r="A259" s="6">
        <f t="shared" si="23"/>
        <v>258</v>
      </c>
      <c r="B259" s="17" t="s">
        <v>849</v>
      </c>
      <c r="C259" s="8" t="s">
        <v>850</v>
      </c>
      <c r="D259" s="9" t="s">
        <v>26</v>
      </c>
      <c r="E259" s="10">
        <v>25072</v>
      </c>
      <c r="F259" s="11">
        <f t="shared" ca="1" si="26"/>
        <v>55.339726027397262</v>
      </c>
      <c r="G259" s="11">
        <f t="shared" si="27"/>
        <v>8</v>
      </c>
      <c r="H259" s="11">
        <f t="shared" si="28"/>
        <v>22</v>
      </c>
      <c r="I259" s="10">
        <v>39980</v>
      </c>
      <c r="J259" s="9" t="s">
        <v>58</v>
      </c>
      <c r="K259" s="9" t="s">
        <v>79</v>
      </c>
      <c r="L259" s="9" t="s">
        <v>851</v>
      </c>
      <c r="M259" s="9" t="s">
        <v>205</v>
      </c>
      <c r="N259" s="11">
        <v>17</v>
      </c>
      <c r="O259" s="12">
        <f t="shared" ca="1" si="29"/>
        <v>14.495890410958904</v>
      </c>
      <c r="P259" s="12">
        <f t="shared" ca="1" si="30"/>
        <v>31.495890410958904</v>
      </c>
      <c r="Q259" s="9" t="s">
        <v>26</v>
      </c>
      <c r="R259" s="9" t="s">
        <v>27</v>
      </c>
      <c r="S259" s="9" t="s">
        <v>36</v>
      </c>
      <c r="T259" s="9" t="s">
        <v>137</v>
      </c>
    </row>
    <row r="260" spans="1:20" ht="36" customHeight="1">
      <c r="A260" s="6">
        <f t="shared" ref="A260:A323" si="31">+A259+1</f>
        <v>259</v>
      </c>
      <c r="B260" s="17" t="s">
        <v>852</v>
      </c>
      <c r="C260" s="8" t="s">
        <v>853</v>
      </c>
      <c r="D260" s="9" t="s">
        <v>26</v>
      </c>
      <c r="E260" s="10">
        <v>24615</v>
      </c>
      <c r="F260" s="11">
        <f t="shared" ca="1" si="26"/>
        <v>56.591780821917808</v>
      </c>
      <c r="G260" s="11">
        <f t="shared" si="27"/>
        <v>5</v>
      </c>
      <c r="H260" s="11">
        <f t="shared" si="28"/>
        <v>23</v>
      </c>
      <c r="I260" s="10">
        <v>39984</v>
      </c>
      <c r="J260" s="9" t="s">
        <v>132</v>
      </c>
      <c r="K260" s="9" t="s">
        <v>854</v>
      </c>
      <c r="L260" s="9" t="s">
        <v>796</v>
      </c>
      <c r="M260" s="9" t="s">
        <v>35</v>
      </c>
      <c r="N260" s="11">
        <v>22</v>
      </c>
      <c r="O260" s="12">
        <f t="shared" ca="1" si="29"/>
        <v>14.484931506849316</v>
      </c>
      <c r="P260" s="12">
        <f t="shared" ca="1" si="30"/>
        <v>36.484931506849314</v>
      </c>
      <c r="Q260" s="12" t="s">
        <v>26</v>
      </c>
      <c r="R260" s="9" t="s">
        <v>95</v>
      </c>
      <c r="S260" s="9" t="s">
        <v>36</v>
      </c>
      <c r="T260" s="9" t="s">
        <v>137</v>
      </c>
    </row>
    <row r="261" spans="1:20" ht="36" customHeight="1">
      <c r="A261" s="6">
        <f t="shared" si="31"/>
        <v>260</v>
      </c>
      <c r="B261" s="17" t="s">
        <v>855</v>
      </c>
      <c r="C261" s="8" t="s">
        <v>856</v>
      </c>
      <c r="D261" s="9" t="s">
        <v>26</v>
      </c>
      <c r="E261" s="10">
        <v>26348</v>
      </c>
      <c r="F261" s="11">
        <f t="shared" ca="1" si="26"/>
        <v>51.843835616438355</v>
      </c>
      <c r="G261" s="11">
        <f t="shared" si="27"/>
        <v>2</v>
      </c>
      <c r="H261" s="11">
        <f t="shared" si="28"/>
        <v>19</v>
      </c>
      <c r="I261" s="10">
        <v>39987</v>
      </c>
      <c r="J261" s="9" t="s">
        <v>226</v>
      </c>
      <c r="K261" s="9" t="s">
        <v>857</v>
      </c>
      <c r="L261" s="9" t="s">
        <v>290</v>
      </c>
      <c r="M261" s="9" t="s">
        <v>35</v>
      </c>
      <c r="N261" s="11">
        <v>14</v>
      </c>
      <c r="O261" s="12">
        <f t="shared" ca="1" si="29"/>
        <v>14.476712328767123</v>
      </c>
      <c r="P261" s="12">
        <f t="shared" ca="1" si="30"/>
        <v>28.476712328767121</v>
      </c>
      <c r="Q261" s="12" t="s">
        <v>68</v>
      </c>
      <c r="R261" s="9" t="s">
        <v>27</v>
      </c>
      <c r="S261" s="9" t="s">
        <v>36</v>
      </c>
      <c r="T261" s="9" t="s">
        <v>137</v>
      </c>
    </row>
    <row r="262" spans="1:20" ht="36" customHeight="1">
      <c r="A262" s="6">
        <f t="shared" si="31"/>
        <v>261</v>
      </c>
      <c r="B262" s="17" t="s">
        <v>858</v>
      </c>
      <c r="C262" s="8" t="s">
        <v>859</v>
      </c>
      <c r="D262" s="9" t="s">
        <v>26</v>
      </c>
      <c r="E262" s="10">
        <v>29507</v>
      </c>
      <c r="F262" s="11">
        <f t="shared" ca="1" si="26"/>
        <v>43.18904109589041</v>
      </c>
      <c r="G262" s="11">
        <f t="shared" si="27"/>
        <v>10</v>
      </c>
      <c r="H262" s="11">
        <f t="shared" si="28"/>
        <v>13</v>
      </c>
      <c r="I262" s="10">
        <v>39965</v>
      </c>
      <c r="J262" s="9" t="s">
        <v>87</v>
      </c>
      <c r="K262" s="9" t="s">
        <v>62</v>
      </c>
      <c r="L262" s="9" t="s">
        <v>34</v>
      </c>
      <c r="M262" s="9" t="s">
        <v>35</v>
      </c>
      <c r="N262" s="11">
        <v>2</v>
      </c>
      <c r="O262" s="12">
        <f t="shared" ca="1" si="29"/>
        <v>14.536986301369863</v>
      </c>
      <c r="P262" s="12">
        <f t="shared" ca="1" si="30"/>
        <v>16.536986301369865</v>
      </c>
      <c r="Q262" s="12" t="s">
        <v>68</v>
      </c>
      <c r="R262" s="9" t="s">
        <v>27</v>
      </c>
      <c r="S262" s="9" t="s">
        <v>36</v>
      </c>
      <c r="T262" s="9" t="s">
        <v>860</v>
      </c>
    </row>
    <row r="263" spans="1:20" ht="36" customHeight="1">
      <c r="A263" s="6">
        <f t="shared" si="31"/>
        <v>262</v>
      </c>
      <c r="B263" s="17" t="s">
        <v>861</v>
      </c>
      <c r="C263" s="8" t="s">
        <v>840</v>
      </c>
      <c r="D263" s="9" t="s">
        <v>26</v>
      </c>
      <c r="E263" s="10">
        <v>30047</v>
      </c>
      <c r="F263" s="11">
        <f t="shared" ca="1" si="26"/>
        <v>41.709589041095889</v>
      </c>
      <c r="G263" s="11">
        <f t="shared" si="27"/>
        <v>4</v>
      </c>
      <c r="H263" s="11">
        <f t="shared" si="28"/>
        <v>6</v>
      </c>
      <c r="I263" s="10">
        <v>39965</v>
      </c>
      <c r="J263" s="9" t="s">
        <v>41</v>
      </c>
      <c r="K263" s="9" t="s">
        <v>862</v>
      </c>
      <c r="L263" s="9" t="s">
        <v>107</v>
      </c>
      <c r="M263" s="9" t="s">
        <v>35</v>
      </c>
      <c r="N263" s="11">
        <v>2</v>
      </c>
      <c r="O263" s="12">
        <f t="shared" ca="1" si="29"/>
        <v>14.536986301369863</v>
      </c>
      <c r="P263" s="12">
        <f t="shared" ca="1" si="30"/>
        <v>16.536986301369865</v>
      </c>
      <c r="Q263" s="12" t="s">
        <v>68</v>
      </c>
      <c r="R263" s="9" t="s">
        <v>27</v>
      </c>
      <c r="S263" s="9" t="s">
        <v>36</v>
      </c>
      <c r="T263" s="9" t="s">
        <v>72</v>
      </c>
    </row>
    <row r="264" spans="1:20" ht="36" customHeight="1">
      <c r="A264" s="6">
        <f t="shared" si="31"/>
        <v>263</v>
      </c>
      <c r="B264" s="17" t="s">
        <v>864</v>
      </c>
      <c r="C264" s="8" t="s">
        <v>865</v>
      </c>
      <c r="D264" s="9" t="s">
        <v>26</v>
      </c>
      <c r="E264" s="10">
        <v>30527</v>
      </c>
      <c r="F264" s="11">
        <f t="shared" ca="1" si="26"/>
        <v>40.394520547945206</v>
      </c>
      <c r="G264" s="11">
        <f t="shared" si="27"/>
        <v>7</v>
      </c>
      <c r="H264" s="11">
        <f t="shared" si="28"/>
        <v>30</v>
      </c>
      <c r="I264" s="10">
        <v>39965</v>
      </c>
      <c r="J264" s="9" t="s">
        <v>226</v>
      </c>
      <c r="K264" s="9" t="s">
        <v>537</v>
      </c>
      <c r="L264" s="9" t="s">
        <v>34</v>
      </c>
      <c r="M264" s="9" t="s">
        <v>35</v>
      </c>
      <c r="N264" s="11">
        <v>2</v>
      </c>
      <c r="O264" s="12">
        <f t="shared" ca="1" si="29"/>
        <v>14.536986301369863</v>
      </c>
      <c r="P264" s="12">
        <f t="shared" ca="1" si="30"/>
        <v>16.536986301369865</v>
      </c>
      <c r="Q264" s="9" t="s">
        <v>68</v>
      </c>
      <c r="R264" s="9" t="s">
        <v>27</v>
      </c>
      <c r="S264" s="9" t="s">
        <v>36</v>
      </c>
      <c r="T264" s="9" t="s">
        <v>72</v>
      </c>
    </row>
    <row r="265" spans="1:20" ht="36" customHeight="1">
      <c r="A265" s="6">
        <f t="shared" si="31"/>
        <v>264</v>
      </c>
      <c r="B265" s="17" t="s">
        <v>866</v>
      </c>
      <c r="C265" s="8" t="s">
        <v>867</v>
      </c>
      <c r="D265" s="9" t="s">
        <v>26</v>
      </c>
      <c r="E265" s="10">
        <v>29061</v>
      </c>
      <c r="F265" s="11">
        <f t="shared" ca="1" si="26"/>
        <v>44.410958904109592</v>
      </c>
      <c r="G265" s="11">
        <f t="shared" si="27"/>
        <v>7</v>
      </c>
      <c r="H265" s="11">
        <f t="shared" si="28"/>
        <v>25</v>
      </c>
      <c r="I265" s="10">
        <v>39984</v>
      </c>
      <c r="J265" s="9" t="s">
        <v>50</v>
      </c>
      <c r="K265" s="9" t="s">
        <v>146</v>
      </c>
      <c r="L265" s="9" t="s">
        <v>490</v>
      </c>
      <c r="M265" s="9" t="s">
        <v>491</v>
      </c>
      <c r="N265" s="19">
        <v>4.5</v>
      </c>
      <c r="O265" s="12">
        <f t="shared" ca="1" si="29"/>
        <v>14.484931506849316</v>
      </c>
      <c r="P265" s="12">
        <f t="shared" ca="1" si="30"/>
        <v>18.984931506849314</v>
      </c>
      <c r="Q265" s="12" t="s">
        <v>26</v>
      </c>
      <c r="R265" s="9" t="s">
        <v>705</v>
      </c>
      <c r="S265" s="9" t="s">
        <v>28</v>
      </c>
      <c r="T265" s="9" t="s">
        <v>492</v>
      </c>
    </row>
    <row r="266" spans="1:20" ht="36" customHeight="1">
      <c r="A266" s="6">
        <f t="shared" si="31"/>
        <v>265</v>
      </c>
      <c r="B266" s="17" t="s">
        <v>868</v>
      </c>
      <c r="C266" s="8" t="s">
        <v>869</v>
      </c>
      <c r="D266" s="9" t="s">
        <v>26</v>
      </c>
      <c r="E266" s="10">
        <v>24546</v>
      </c>
      <c r="F266" s="11">
        <f t="shared" ca="1" si="26"/>
        <v>56.780821917808218</v>
      </c>
      <c r="G266" s="11">
        <f t="shared" si="27"/>
        <v>3</v>
      </c>
      <c r="H266" s="11">
        <f t="shared" si="28"/>
        <v>15</v>
      </c>
      <c r="I266" s="10">
        <v>39995</v>
      </c>
      <c r="J266" s="9" t="s">
        <v>192</v>
      </c>
      <c r="K266" s="9" t="s">
        <v>678</v>
      </c>
      <c r="L266" s="9" t="s">
        <v>870</v>
      </c>
      <c r="M266" s="9" t="s">
        <v>356</v>
      </c>
      <c r="N266" s="11">
        <v>22</v>
      </c>
      <c r="O266" s="12">
        <f t="shared" ca="1" si="29"/>
        <v>14.454794520547946</v>
      </c>
      <c r="P266" s="12">
        <f t="shared" ca="1" si="30"/>
        <v>36.454794520547949</v>
      </c>
      <c r="Q266" s="12" t="s">
        <v>26</v>
      </c>
      <c r="R266" s="9" t="s">
        <v>27</v>
      </c>
      <c r="S266" s="9" t="s">
        <v>28</v>
      </c>
      <c r="T266" s="9" t="s">
        <v>29</v>
      </c>
    </row>
    <row r="267" spans="1:20" ht="36" customHeight="1">
      <c r="A267" s="6">
        <f t="shared" si="31"/>
        <v>266</v>
      </c>
      <c r="B267" s="17" t="s">
        <v>872</v>
      </c>
      <c r="C267" s="8" t="s">
        <v>873</v>
      </c>
      <c r="D267" s="9" t="s">
        <v>26</v>
      </c>
      <c r="E267" s="10">
        <v>25413</v>
      </c>
      <c r="F267" s="11">
        <f t="shared" ca="1" si="26"/>
        <v>54.405479452054792</v>
      </c>
      <c r="G267" s="11">
        <f t="shared" si="27"/>
        <v>7</v>
      </c>
      <c r="H267" s="11">
        <f t="shared" si="28"/>
        <v>29</v>
      </c>
      <c r="I267" s="10">
        <v>39995</v>
      </c>
      <c r="J267" s="9" t="s">
        <v>58</v>
      </c>
      <c r="K267" s="9" t="s">
        <v>79</v>
      </c>
      <c r="L267" s="9" t="s">
        <v>34</v>
      </c>
      <c r="M267" s="9" t="s">
        <v>35</v>
      </c>
      <c r="N267" s="11">
        <v>18</v>
      </c>
      <c r="O267" s="12">
        <f t="shared" ca="1" si="29"/>
        <v>14.454794520547946</v>
      </c>
      <c r="P267" s="12">
        <f t="shared" ca="1" si="30"/>
        <v>32.454794520547949</v>
      </c>
      <c r="Q267" s="12" t="s">
        <v>26</v>
      </c>
      <c r="R267" s="9" t="s">
        <v>27</v>
      </c>
      <c r="S267" s="9" t="s">
        <v>817</v>
      </c>
      <c r="T267" s="9" t="s">
        <v>874</v>
      </c>
    </row>
    <row r="268" spans="1:20" ht="36" customHeight="1">
      <c r="A268" s="6">
        <f t="shared" si="31"/>
        <v>267</v>
      </c>
      <c r="B268" s="17" t="s">
        <v>875</v>
      </c>
      <c r="C268" s="8" t="s">
        <v>876</v>
      </c>
      <c r="D268" s="9" t="s">
        <v>21</v>
      </c>
      <c r="E268" s="10">
        <v>27507</v>
      </c>
      <c r="F268" s="11">
        <f t="shared" ca="1" si="26"/>
        <v>48.668493150684931</v>
      </c>
      <c r="G268" s="11">
        <f t="shared" si="27"/>
        <v>4</v>
      </c>
      <c r="H268" s="11">
        <f t="shared" si="28"/>
        <v>23</v>
      </c>
      <c r="I268" s="10">
        <v>39995</v>
      </c>
      <c r="J268" s="9" t="s">
        <v>140</v>
      </c>
      <c r="K268" s="9" t="s">
        <v>877</v>
      </c>
      <c r="L268" s="9" t="s">
        <v>878</v>
      </c>
      <c r="M268" s="9" t="s">
        <v>878</v>
      </c>
      <c r="N268" s="11">
        <v>13</v>
      </c>
      <c r="O268" s="12">
        <f t="shared" ca="1" si="29"/>
        <v>14.454794520547946</v>
      </c>
      <c r="P268" s="12">
        <f t="shared" ca="1" si="30"/>
        <v>27.454794520547946</v>
      </c>
      <c r="Q268" s="12" t="s">
        <v>26</v>
      </c>
      <c r="R268" s="9" t="s">
        <v>27</v>
      </c>
      <c r="S268" s="9" t="s">
        <v>28</v>
      </c>
      <c r="T268" s="9" t="s">
        <v>29</v>
      </c>
    </row>
    <row r="269" spans="1:20" ht="36" customHeight="1">
      <c r="A269" s="6">
        <f t="shared" si="31"/>
        <v>268</v>
      </c>
      <c r="B269" s="17" t="s">
        <v>879</v>
      </c>
      <c r="C269" s="8" t="s">
        <v>880</v>
      </c>
      <c r="D269" s="9" t="s">
        <v>26</v>
      </c>
      <c r="E269" s="10">
        <v>23927</v>
      </c>
      <c r="F269" s="11">
        <f t="shared" ca="1" si="26"/>
        <v>58.476712328767121</v>
      </c>
      <c r="G269" s="11">
        <f t="shared" si="27"/>
        <v>7</v>
      </c>
      <c r="H269" s="11">
        <f t="shared" si="28"/>
        <v>4</v>
      </c>
      <c r="I269" s="10">
        <v>39995</v>
      </c>
      <c r="J269" s="9" t="s">
        <v>93</v>
      </c>
      <c r="K269" s="9" t="s">
        <v>881</v>
      </c>
      <c r="L269" s="9" t="s">
        <v>393</v>
      </c>
      <c r="M269" s="9" t="s">
        <v>165</v>
      </c>
      <c r="N269" s="11">
        <v>22</v>
      </c>
      <c r="O269" s="12">
        <f t="shared" ca="1" si="29"/>
        <v>14.454794520547946</v>
      </c>
      <c r="P269" s="12">
        <f t="shared" ca="1" si="30"/>
        <v>36.454794520547949</v>
      </c>
      <c r="Q269" s="12" t="s">
        <v>26</v>
      </c>
      <c r="R269" s="9" t="s">
        <v>27</v>
      </c>
      <c r="S269" s="9" t="s">
        <v>28</v>
      </c>
      <c r="T269" s="9" t="s">
        <v>29</v>
      </c>
    </row>
    <row r="270" spans="1:20" ht="36" customHeight="1">
      <c r="A270" s="6">
        <f t="shared" si="31"/>
        <v>269</v>
      </c>
      <c r="B270" s="17" t="s">
        <v>882</v>
      </c>
      <c r="C270" s="8" t="s">
        <v>883</v>
      </c>
      <c r="D270" s="9" t="s">
        <v>26</v>
      </c>
      <c r="E270" s="10">
        <v>18217</v>
      </c>
      <c r="F270" s="11">
        <f t="shared" ca="1" si="26"/>
        <v>74.120547945205473</v>
      </c>
      <c r="G270" s="11">
        <f t="shared" si="27"/>
        <v>11</v>
      </c>
      <c r="H270" s="11">
        <f t="shared" si="28"/>
        <v>15</v>
      </c>
      <c r="I270" s="10">
        <v>39996</v>
      </c>
      <c r="J270" s="9" t="s">
        <v>93</v>
      </c>
      <c r="K270" s="9" t="s">
        <v>884</v>
      </c>
      <c r="L270" s="9" t="s">
        <v>885</v>
      </c>
      <c r="M270" s="9" t="s">
        <v>886</v>
      </c>
      <c r="N270" s="11">
        <v>30</v>
      </c>
      <c r="O270" s="12">
        <f t="shared" ca="1" si="29"/>
        <v>14.452054794520548</v>
      </c>
      <c r="P270" s="12">
        <f t="shared" ca="1" si="30"/>
        <v>44.452054794520549</v>
      </c>
      <c r="Q270" s="12" t="s">
        <v>26</v>
      </c>
      <c r="R270" s="9" t="s">
        <v>27</v>
      </c>
      <c r="S270" s="9" t="s">
        <v>28</v>
      </c>
      <c r="T270" s="9" t="s">
        <v>29</v>
      </c>
    </row>
    <row r="271" spans="1:20" ht="36" customHeight="1">
      <c r="A271" s="6">
        <f t="shared" si="31"/>
        <v>270</v>
      </c>
      <c r="B271" s="23" t="s">
        <v>887</v>
      </c>
      <c r="C271" s="32" t="s">
        <v>888</v>
      </c>
      <c r="D271" s="24" t="s">
        <v>26</v>
      </c>
      <c r="E271" s="28">
        <v>20951</v>
      </c>
      <c r="F271" s="11">
        <f t="shared" ca="1" si="26"/>
        <v>66.630136986301366</v>
      </c>
      <c r="G271" s="11">
        <f t="shared" si="27"/>
        <v>5</v>
      </c>
      <c r="H271" s="11">
        <f t="shared" si="28"/>
        <v>11</v>
      </c>
      <c r="I271" s="28">
        <v>39995</v>
      </c>
      <c r="J271" s="24" t="s">
        <v>32</v>
      </c>
      <c r="K271" s="24" t="s">
        <v>313</v>
      </c>
      <c r="L271" s="24" t="s">
        <v>24</v>
      </c>
      <c r="M271" s="9" t="s">
        <v>25</v>
      </c>
      <c r="N271" s="33">
        <v>34</v>
      </c>
      <c r="O271" s="12">
        <f t="shared" ca="1" si="29"/>
        <v>14.454794520547946</v>
      </c>
      <c r="P271" s="12">
        <f t="shared" ca="1" si="30"/>
        <v>48.454794520547949</v>
      </c>
      <c r="Q271" s="34" t="s">
        <v>26</v>
      </c>
      <c r="R271" s="24" t="s">
        <v>662</v>
      </c>
      <c r="S271" s="24" t="s">
        <v>28</v>
      </c>
      <c r="T271" s="9" t="s">
        <v>29</v>
      </c>
    </row>
    <row r="272" spans="1:20" ht="36" customHeight="1">
      <c r="A272" s="6">
        <f t="shared" si="31"/>
        <v>271</v>
      </c>
      <c r="B272" s="17" t="s">
        <v>889</v>
      </c>
      <c r="C272" s="8" t="s">
        <v>890</v>
      </c>
      <c r="D272" s="9" t="s">
        <v>26</v>
      </c>
      <c r="E272" s="10">
        <v>26266</v>
      </c>
      <c r="F272" s="11">
        <f t="shared" ca="1" si="26"/>
        <v>52.06849315068493</v>
      </c>
      <c r="G272" s="11">
        <f t="shared" si="27"/>
        <v>11</v>
      </c>
      <c r="H272" s="11">
        <f t="shared" si="28"/>
        <v>29</v>
      </c>
      <c r="I272" s="10">
        <v>39993</v>
      </c>
      <c r="J272" s="9" t="s">
        <v>32</v>
      </c>
      <c r="K272" s="9" t="s">
        <v>891</v>
      </c>
      <c r="L272" s="9" t="s">
        <v>325</v>
      </c>
      <c r="M272" s="9" t="s">
        <v>134</v>
      </c>
      <c r="N272" s="11">
        <v>15</v>
      </c>
      <c r="O272" s="12">
        <f t="shared" ca="1" si="29"/>
        <v>14.46027397260274</v>
      </c>
      <c r="P272" s="12">
        <f t="shared" ca="1" si="30"/>
        <v>29.460273972602742</v>
      </c>
      <c r="Q272" s="12" t="s">
        <v>26</v>
      </c>
      <c r="R272" s="9" t="s">
        <v>743</v>
      </c>
      <c r="S272" s="9" t="s">
        <v>36</v>
      </c>
      <c r="T272" s="9" t="s">
        <v>892</v>
      </c>
    </row>
    <row r="273" spans="1:90" ht="36" customHeight="1">
      <c r="A273" s="6">
        <f t="shared" si="31"/>
        <v>272</v>
      </c>
      <c r="B273" s="17" t="s">
        <v>893</v>
      </c>
      <c r="C273" s="8" t="s">
        <v>894</v>
      </c>
      <c r="D273" s="9" t="s">
        <v>21</v>
      </c>
      <c r="E273" s="10">
        <v>26257</v>
      </c>
      <c r="F273" s="11">
        <f t="shared" ca="1" si="26"/>
        <v>52.093150684931508</v>
      </c>
      <c r="G273" s="11">
        <f t="shared" si="27"/>
        <v>11</v>
      </c>
      <c r="H273" s="11">
        <f t="shared" si="28"/>
        <v>20</v>
      </c>
      <c r="I273" s="10">
        <v>40000</v>
      </c>
      <c r="J273" s="9" t="s">
        <v>110</v>
      </c>
      <c r="K273" s="9" t="s">
        <v>212</v>
      </c>
      <c r="L273" s="9" t="s">
        <v>213</v>
      </c>
      <c r="M273" s="9" t="s">
        <v>35</v>
      </c>
      <c r="N273" s="11">
        <v>17</v>
      </c>
      <c r="O273" s="12">
        <f t="shared" ca="1" si="29"/>
        <v>14.441095890410958</v>
      </c>
      <c r="P273" s="12">
        <f t="shared" ca="1" si="30"/>
        <v>31.441095890410956</v>
      </c>
      <c r="Q273" s="12" t="s">
        <v>26</v>
      </c>
      <c r="R273" s="9" t="s">
        <v>442</v>
      </c>
      <c r="S273" s="9" t="s">
        <v>36</v>
      </c>
      <c r="T273" s="9" t="s">
        <v>137</v>
      </c>
    </row>
    <row r="274" spans="1:90" ht="36" customHeight="1">
      <c r="A274" s="6">
        <f t="shared" si="31"/>
        <v>273</v>
      </c>
      <c r="B274" s="17" t="s">
        <v>896</v>
      </c>
      <c r="C274" s="8" t="s">
        <v>897</v>
      </c>
      <c r="D274" s="9" t="s">
        <v>26</v>
      </c>
      <c r="E274" s="10">
        <v>30597</v>
      </c>
      <c r="F274" s="11">
        <f t="shared" ca="1" si="26"/>
        <v>40.202739726027396</v>
      </c>
      <c r="G274" s="11">
        <f t="shared" si="27"/>
        <v>10</v>
      </c>
      <c r="H274" s="11">
        <f t="shared" si="28"/>
        <v>8</v>
      </c>
      <c r="I274" s="10">
        <v>39990</v>
      </c>
      <c r="J274" s="9" t="s">
        <v>50</v>
      </c>
      <c r="K274" s="9" t="s">
        <v>136</v>
      </c>
      <c r="L274" s="6" t="s">
        <v>490</v>
      </c>
      <c r="M274" s="9" t="s">
        <v>491</v>
      </c>
      <c r="N274" s="19">
        <v>4</v>
      </c>
      <c r="O274" s="12">
        <f t="shared" ca="1" si="29"/>
        <v>14.468493150684932</v>
      </c>
      <c r="P274" s="12">
        <f t="shared" ca="1" si="30"/>
        <v>18.468493150684932</v>
      </c>
      <c r="Q274" s="12" t="s">
        <v>68</v>
      </c>
      <c r="R274" s="9" t="s">
        <v>792</v>
      </c>
      <c r="S274" s="9" t="s">
        <v>28</v>
      </c>
      <c r="T274" s="9" t="s">
        <v>492</v>
      </c>
    </row>
    <row r="275" spans="1:90" ht="36" customHeight="1">
      <c r="A275" s="6">
        <f t="shared" si="31"/>
        <v>274</v>
      </c>
      <c r="B275" s="17" t="s">
        <v>899</v>
      </c>
      <c r="C275" s="8" t="s">
        <v>900</v>
      </c>
      <c r="D275" s="9" t="s">
        <v>26</v>
      </c>
      <c r="E275" s="10">
        <v>28111</v>
      </c>
      <c r="F275" s="11">
        <f t="shared" ca="1" si="26"/>
        <v>47.013698630136986</v>
      </c>
      <c r="G275" s="11">
        <f t="shared" si="27"/>
        <v>12</v>
      </c>
      <c r="H275" s="11">
        <f t="shared" si="28"/>
        <v>17</v>
      </c>
      <c r="I275" s="10">
        <v>40002</v>
      </c>
      <c r="J275" s="9" t="s">
        <v>58</v>
      </c>
      <c r="K275" s="9" t="s">
        <v>129</v>
      </c>
      <c r="L275" s="9" t="s">
        <v>369</v>
      </c>
      <c r="M275" s="9" t="s">
        <v>25</v>
      </c>
      <c r="N275" s="11">
        <v>12</v>
      </c>
      <c r="O275" s="12">
        <f t="shared" ca="1" si="29"/>
        <v>14.435616438356165</v>
      </c>
      <c r="P275" s="12">
        <f t="shared" ca="1" si="30"/>
        <v>26.435616438356163</v>
      </c>
      <c r="Q275" s="12" t="s">
        <v>26</v>
      </c>
      <c r="R275" s="9" t="s">
        <v>901</v>
      </c>
      <c r="S275" s="9" t="s">
        <v>28</v>
      </c>
      <c r="T275" s="9" t="s">
        <v>29</v>
      </c>
    </row>
    <row r="276" spans="1:90" ht="36" customHeight="1">
      <c r="A276" s="6">
        <f t="shared" si="31"/>
        <v>275</v>
      </c>
      <c r="B276" s="17" t="s">
        <v>902</v>
      </c>
      <c r="C276" s="8" t="s">
        <v>903</v>
      </c>
      <c r="D276" s="9" t="s">
        <v>26</v>
      </c>
      <c r="E276" s="10">
        <v>28390</v>
      </c>
      <c r="F276" s="11">
        <f t="shared" ca="1" si="26"/>
        <v>46.249315068493154</v>
      </c>
      <c r="G276" s="11">
        <f t="shared" si="27"/>
        <v>9</v>
      </c>
      <c r="H276" s="11">
        <f t="shared" si="28"/>
        <v>22</v>
      </c>
      <c r="I276" s="10">
        <v>40002</v>
      </c>
      <c r="J276" s="9" t="s">
        <v>32</v>
      </c>
      <c r="K276" s="9" t="s">
        <v>282</v>
      </c>
      <c r="L276" s="9" t="s">
        <v>34</v>
      </c>
      <c r="M276" s="9" t="s">
        <v>156</v>
      </c>
      <c r="N276" s="11">
        <v>8</v>
      </c>
      <c r="O276" s="12">
        <f t="shared" ca="1" si="29"/>
        <v>14.435616438356165</v>
      </c>
      <c r="P276" s="12">
        <f t="shared" ca="1" si="30"/>
        <v>22.435616438356163</v>
      </c>
      <c r="Q276" s="12" t="s">
        <v>26</v>
      </c>
      <c r="R276" s="9" t="s">
        <v>901</v>
      </c>
      <c r="S276" s="9" t="s">
        <v>28</v>
      </c>
      <c r="T276" s="9" t="s">
        <v>29</v>
      </c>
    </row>
    <row r="277" spans="1:90" ht="36" customHeight="1">
      <c r="A277" s="6">
        <f t="shared" si="31"/>
        <v>276</v>
      </c>
      <c r="B277" s="17" t="s">
        <v>905</v>
      </c>
      <c r="C277" s="8" t="s">
        <v>906</v>
      </c>
      <c r="D277" s="9" t="s">
        <v>26</v>
      </c>
      <c r="E277" s="10">
        <v>27136</v>
      </c>
      <c r="F277" s="11">
        <f t="shared" ca="1" si="26"/>
        <v>49.684931506849317</v>
      </c>
      <c r="G277" s="11">
        <f t="shared" si="27"/>
        <v>4</v>
      </c>
      <c r="H277" s="11">
        <f t="shared" si="28"/>
        <v>17</v>
      </c>
      <c r="I277" s="10">
        <v>40007</v>
      </c>
      <c r="J277" s="9" t="s">
        <v>87</v>
      </c>
      <c r="K277" s="9" t="s">
        <v>418</v>
      </c>
      <c r="L277" s="9" t="s">
        <v>208</v>
      </c>
      <c r="M277" s="9" t="s">
        <v>35</v>
      </c>
      <c r="N277" s="11">
        <v>12</v>
      </c>
      <c r="O277" s="12">
        <f t="shared" ca="1" si="29"/>
        <v>14.421917808219177</v>
      </c>
      <c r="P277" s="12">
        <f t="shared" ca="1" si="30"/>
        <v>26.421917808219177</v>
      </c>
      <c r="Q277" s="12" t="s">
        <v>26</v>
      </c>
      <c r="R277" s="9" t="s">
        <v>901</v>
      </c>
      <c r="S277" s="9" t="s">
        <v>28</v>
      </c>
      <c r="T277" s="9" t="s">
        <v>29</v>
      </c>
    </row>
    <row r="278" spans="1:90" ht="36" customHeight="1">
      <c r="A278" s="6">
        <f t="shared" si="31"/>
        <v>277</v>
      </c>
      <c r="B278" s="17" t="s">
        <v>907</v>
      </c>
      <c r="C278" s="8" t="s">
        <v>908</v>
      </c>
      <c r="D278" s="9" t="s">
        <v>26</v>
      </c>
      <c r="E278" s="10">
        <v>28095</v>
      </c>
      <c r="F278" s="11">
        <f t="shared" ca="1" si="26"/>
        <v>47.057534246575344</v>
      </c>
      <c r="G278" s="11">
        <f t="shared" si="27"/>
        <v>12</v>
      </c>
      <c r="H278" s="11">
        <f t="shared" si="28"/>
        <v>1</v>
      </c>
      <c r="I278" s="10">
        <v>40008</v>
      </c>
      <c r="J278" s="9" t="s">
        <v>22</v>
      </c>
      <c r="K278" s="9" t="s">
        <v>909</v>
      </c>
      <c r="L278" s="9" t="s">
        <v>563</v>
      </c>
      <c r="M278" s="9" t="s">
        <v>134</v>
      </c>
      <c r="N278" s="11">
        <v>11</v>
      </c>
      <c r="O278" s="12">
        <f t="shared" ca="1" si="29"/>
        <v>14.419178082191781</v>
      </c>
      <c r="P278" s="12">
        <f t="shared" ca="1" si="30"/>
        <v>25.419178082191781</v>
      </c>
      <c r="Q278" s="12" t="s">
        <v>26</v>
      </c>
      <c r="R278" s="9"/>
      <c r="S278" s="9" t="s">
        <v>36</v>
      </c>
      <c r="T278" s="9" t="s">
        <v>137</v>
      </c>
    </row>
    <row r="279" spans="1:90" ht="36" customHeight="1">
      <c r="A279" s="6">
        <f t="shared" si="31"/>
        <v>278</v>
      </c>
      <c r="B279" s="17" t="s">
        <v>910</v>
      </c>
      <c r="C279" s="8" t="s">
        <v>911</v>
      </c>
      <c r="D279" s="9" t="s">
        <v>26</v>
      </c>
      <c r="E279" s="10">
        <v>20806</v>
      </c>
      <c r="F279" s="11">
        <f t="shared" ca="1" si="26"/>
        <v>67.027397260273972</v>
      </c>
      <c r="G279" s="11">
        <f t="shared" si="27"/>
        <v>12</v>
      </c>
      <c r="H279" s="11">
        <f t="shared" si="28"/>
        <v>17</v>
      </c>
      <c r="I279" s="10">
        <v>40010</v>
      </c>
      <c r="J279" s="9" t="s">
        <v>93</v>
      </c>
      <c r="K279" s="9" t="s">
        <v>912</v>
      </c>
      <c r="L279" s="9" t="s">
        <v>52</v>
      </c>
      <c r="M279" s="9" t="s">
        <v>25</v>
      </c>
      <c r="N279" s="11">
        <v>31</v>
      </c>
      <c r="O279" s="12">
        <f t="shared" ca="1" si="29"/>
        <v>14.413698630136986</v>
      </c>
      <c r="P279" s="12">
        <f t="shared" ca="1" si="30"/>
        <v>45.413698630136984</v>
      </c>
      <c r="Q279" s="12" t="s">
        <v>26</v>
      </c>
      <c r="R279" s="9" t="s">
        <v>901</v>
      </c>
      <c r="S279" s="9" t="s">
        <v>28</v>
      </c>
      <c r="T279" s="9" t="s">
        <v>29</v>
      </c>
    </row>
    <row r="280" spans="1:90" ht="36" customHeight="1">
      <c r="A280" s="6">
        <f t="shared" si="31"/>
        <v>279</v>
      </c>
      <c r="B280" s="17" t="s">
        <v>913</v>
      </c>
      <c r="C280" s="8" t="s">
        <v>914</v>
      </c>
      <c r="D280" s="9" t="s">
        <v>26</v>
      </c>
      <c r="E280" s="10">
        <v>27053</v>
      </c>
      <c r="F280" s="11">
        <f t="shared" ca="1" si="26"/>
        <v>49.912328767123284</v>
      </c>
      <c r="G280" s="11">
        <f t="shared" si="27"/>
        <v>1</v>
      </c>
      <c r="H280" s="11">
        <f t="shared" si="28"/>
        <v>24</v>
      </c>
      <c r="I280" s="10">
        <v>40011</v>
      </c>
      <c r="J280" s="9" t="s">
        <v>32</v>
      </c>
      <c r="K280" s="9" t="s">
        <v>915</v>
      </c>
      <c r="L280" s="9" t="s">
        <v>916</v>
      </c>
      <c r="M280" s="9" t="s">
        <v>134</v>
      </c>
      <c r="N280" s="11">
        <v>12</v>
      </c>
      <c r="O280" s="12">
        <f t="shared" ca="1" si="29"/>
        <v>14.41095890410959</v>
      </c>
      <c r="P280" s="12">
        <f t="shared" ca="1" si="30"/>
        <v>26.410958904109592</v>
      </c>
      <c r="Q280" s="12" t="s">
        <v>26</v>
      </c>
      <c r="R280" s="9" t="s">
        <v>27</v>
      </c>
      <c r="S280" s="9" t="s">
        <v>36</v>
      </c>
      <c r="T280" s="9" t="s">
        <v>137</v>
      </c>
    </row>
    <row r="281" spans="1:90" ht="36" customHeight="1">
      <c r="A281" s="6">
        <f t="shared" si="31"/>
        <v>280</v>
      </c>
      <c r="B281" s="17" t="s">
        <v>917</v>
      </c>
      <c r="C281" s="8" t="s">
        <v>918</v>
      </c>
      <c r="D281" s="9" t="s">
        <v>26</v>
      </c>
      <c r="E281" s="10">
        <v>30808</v>
      </c>
      <c r="F281" s="11">
        <f t="shared" ca="1" si="26"/>
        <v>39.624657534246573</v>
      </c>
      <c r="G281" s="11">
        <f t="shared" si="27"/>
        <v>5</v>
      </c>
      <c r="H281" s="11">
        <f t="shared" si="28"/>
        <v>6</v>
      </c>
      <c r="I281" s="10">
        <v>39995</v>
      </c>
      <c r="J281" s="9" t="s">
        <v>226</v>
      </c>
      <c r="K281" s="9" t="s">
        <v>537</v>
      </c>
      <c r="L281" s="9" t="s">
        <v>122</v>
      </c>
      <c r="M281" s="9" t="s">
        <v>35</v>
      </c>
      <c r="N281" s="11">
        <v>4</v>
      </c>
      <c r="O281" s="12">
        <f t="shared" ca="1" si="29"/>
        <v>14.454794520547946</v>
      </c>
      <c r="P281" s="12">
        <f t="shared" ca="1" si="30"/>
        <v>18.454794520547946</v>
      </c>
      <c r="Q281" s="12" t="s">
        <v>26</v>
      </c>
      <c r="R281" s="9" t="s">
        <v>662</v>
      </c>
      <c r="S281" s="9" t="s">
        <v>36</v>
      </c>
      <c r="T281" s="9" t="s">
        <v>72</v>
      </c>
    </row>
    <row r="282" spans="1:90" ht="36" customHeight="1">
      <c r="A282" s="6">
        <f t="shared" si="31"/>
        <v>281</v>
      </c>
      <c r="B282" s="17" t="s">
        <v>919</v>
      </c>
      <c r="C282" s="8" t="s">
        <v>920</v>
      </c>
      <c r="D282" s="9" t="s">
        <v>26</v>
      </c>
      <c r="E282" s="10">
        <v>25173</v>
      </c>
      <c r="F282" s="11">
        <f t="shared" ca="1" si="26"/>
        <v>55.063013698630137</v>
      </c>
      <c r="G282" s="11">
        <f t="shared" si="27"/>
        <v>12</v>
      </c>
      <c r="H282" s="11">
        <f t="shared" si="28"/>
        <v>1</v>
      </c>
      <c r="I282" s="10">
        <v>40014</v>
      </c>
      <c r="J282" s="9" t="s">
        <v>50</v>
      </c>
      <c r="K282" s="9" t="s">
        <v>921</v>
      </c>
      <c r="L282" s="9" t="s">
        <v>724</v>
      </c>
      <c r="M282" s="9" t="s">
        <v>134</v>
      </c>
      <c r="N282" s="11">
        <v>21</v>
      </c>
      <c r="O282" s="12">
        <f t="shared" ca="1" si="29"/>
        <v>14.402739726027397</v>
      </c>
      <c r="P282" s="12">
        <f t="shared" ca="1" si="30"/>
        <v>35.402739726027399</v>
      </c>
      <c r="Q282" s="12" t="s">
        <v>26</v>
      </c>
      <c r="R282" s="9"/>
      <c r="S282" s="9" t="s">
        <v>36</v>
      </c>
      <c r="T282" s="9" t="s">
        <v>137</v>
      </c>
    </row>
    <row r="283" spans="1:90" s="8" customFormat="1" ht="36" customHeight="1">
      <c r="A283" s="6">
        <f t="shared" si="31"/>
        <v>282</v>
      </c>
      <c r="B283" s="17" t="s">
        <v>923</v>
      </c>
      <c r="C283" s="8" t="s">
        <v>924</v>
      </c>
      <c r="D283" s="9" t="s">
        <v>26</v>
      </c>
      <c r="E283" s="10">
        <v>29322</v>
      </c>
      <c r="F283" s="11">
        <f t="shared" ca="1" si="26"/>
        <v>43.695890410958903</v>
      </c>
      <c r="G283" s="11">
        <f t="shared" si="27"/>
        <v>4</v>
      </c>
      <c r="H283" s="11">
        <f t="shared" si="28"/>
        <v>11</v>
      </c>
      <c r="I283" s="10">
        <v>40016</v>
      </c>
      <c r="J283" s="9" t="s">
        <v>58</v>
      </c>
      <c r="K283" s="9" t="s">
        <v>320</v>
      </c>
      <c r="L283" s="9" t="s">
        <v>208</v>
      </c>
      <c r="M283" s="9" t="s">
        <v>35</v>
      </c>
      <c r="N283" s="11">
        <v>6</v>
      </c>
      <c r="O283" s="12">
        <f t="shared" ca="1" si="29"/>
        <v>14.397260273972602</v>
      </c>
      <c r="P283" s="12">
        <f t="shared" ca="1" si="30"/>
        <v>20.397260273972602</v>
      </c>
      <c r="Q283" s="12" t="s">
        <v>68</v>
      </c>
      <c r="R283" s="9" t="s">
        <v>901</v>
      </c>
      <c r="S283" s="9" t="s">
        <v>36</v>
      </c>
      <c r="T283" s="9" t="s">
        <v>137</v>
      </c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</row>
    <row r="284" spans="1:90" ht="36" customHeight="1">
      <c r="A284" s="6">
        <f t="shared" si="31"/>
        <v>283</v>
      </c>
      <c r="B284" s="17" t="s">
        <v>925</v>
      </c>
      <c r="C284" s="8" t="s">
        <v>926</v>
      </c>
      <c r="D284" s="9" t="s">
        <v>26</v>
      </c>
      <c r="E284" s="10">
        <v>22903</v>
      </c>
      <c r="F284" s="11">
        <f t="shared" ca="1" si="26"/>
        <v>61.282191780821918</v>
      </c>
      <c r="G284" s="11">
        <f t="shared" si="27"/>
        <v>9</v>
      </c>
      <c r="H284" s="11">
        <f t="shared" si="28"/>
        <v>14</v>
      </c>
      <c r="I284" s="10">
        <v>40018</v>
      </c>
      <c r="J284" s="9" t="s">
        <v>927</v>
      </c>
      <c r="K284" s="9" t="s">
        <v>928</v>
      </c>
      <c r="L284" s="9" t="s">
        <v>878</v>
      </c>
      <c r="M284" s="9" t="s">
        <v>878</v>
      </c>
      <c r="N284" s="11">
        <v>23</v>
      </c>
      <c r="O284" s="12">
        <f t="shared" ca="1" si="29"/>
        <v>14.391780821917807</v>
      </c>
      <c r="P284" s="12">
        <f t="shared" ca="1" si="30"/>
        <v>37.391780821917806</v>
      </c>
      <c r="Q284" s="12" t="s">
        <v>26</v>
      </c>
      <c r="R284" s="9" t="s">
        <v>901</v>
      </c>
      <c r="S284" s="9" t="s">
        <v>28</v>
      </c>
      <c r="T284" s="9" t="s">
        <v>29</v>
      </c>
    </row>
    <row r="285" spans="1:90" ht="36" customHeight="1">
      <c r="A285" s="6">
        <f t="shared" si="31"/>
        <v>284</v>
      </c>
      <c r="B285" s="17" t="s">
        <v>929</v>
      </c>
      <c r="C285" s="8" t="s">
        <v>930</v>
      </c>
      <c r="D285" s="9" t="s">
        <v>26</v>
      </c>
      <c r="E285" s="10">
        <v>23787</v>
      </c>
      <c r="F285" s="11">
        <f t="shared" ca="1" si="26"/>
        <v>58.860273972602741</v>
      </c>
      <c r="G285" s="11">
        <f t="shared" si="27"/>
        <v>2</v>
      </c>
      <c r="H285" s="11">
        <f t="shared" si="28"/>
        <v>14</v>
      </c>
      <c r="I285" s="10">
        <v>40017</v>
      </c>
      <c r="J285" s="9" t="s">
        <v>318</v>
      </c>
      <c r="K285" s="9" t="s">
        <v>931</v>
      </c>
      <c r="L285" s="9" t="s">
        <v>34</v>
      </c>
      <c r="M285" s="9" t="s">
        <v>35</v>
      </c>
      <c r="N285" s="11">
        <v>23</v>
      </c>
      <c r="O285" s="12">
        <f t="shared" ca="1" si="29"/>
        <v>14.394520547945206</v>
      </c>
      <c r="P285" s="12">
        <f t="shared" ca="1" si="30"/>
        <v>37.394520547945206</v>
      </c>
      <c r="Q285" s="12" t="s">
        <v>26</v>
      </c>
      <c r="R285" s="9" t="s">
        <v>901</v>
      </c>
      <c r="S285" s="9" t="s">
        <v>36</v>
      </c>
      <c r="T285" s="9" t="s">
        <v>37</v>
      </c>
    </row>
    <row r="286" spans="1:90" ht="36" customHeight="1">
      <c r="A286" s="6">
        <f t="shared" si="31"/>
        <v>285</v>
      </c>
      <c r="B286" s="17" t="s">
        <v>932</v>
      </c>
      <c r="C286" s="8" t="s">
        <v>933</v>
      </c>
      <c r="D286" s="9" t="s">
        <v>21</v>
      </c>
      <c r="E286" s="10">
        <v>30058</v>
      </c>
      <c r="F286" s="11">
        <f t="shared" ca="1" si="26"/>
        <v>41.679452054794524</v>
      </c>
      <c r="G286" s="11">
        <f t="shared" si="27"/>
        <v>4</v>
      </c>
      <c r="H286" s="11">
        <f t="shared" si="28"/>
        <v>17</v>
      </c>
      <c r="I286" s="10">
        <v>40025</v>
      </c>
      <c r="J286" s="9" t="s">
        <v>58</v>
      </c>
      <c r="K286" s="9" t="s">
        <v>934</v>
      </c>
      <c r="L286" s="9" t="s">
        <v>34</v>
      </c>
      <c r="M286" s="9" t="s">
        <v>165</v>
      </c>
      <c r="N286" s="11">
        <v>6</v>
      </c>
      <c r="O286" s="12">
        <f t="shared" ca="1" si="29"/>
        <v>14.372602739726027</v>
      </c>
      <c r="P286" s="12">
        <f t="shared" ca="1" si="30"/>
        <v>20.372602739726027</v>
      </c>
      <c r="Q286" s="12" t="s">
        <v>68</v>
      </c>
      <c r="R286" s="9" t="s">
        <v>901</v>
      </c>
      <c r="S286" s="9" t="s">
        <v>36</v>
      </c>
      <c r="T286" s="9" t="s">
        <v>37</v>
      </c>
    </row>
    <row r="287" spans="1:90" ht="36" customHeight="1">
      <c r="A287" s="6">
        <f t="shared" si="31"/>
        <v>286</v>
      </c>
      <c r="B287" s="23" t="s">
        <v>935</v>
      </c>
      <c r="C287" s="32" t="s">
        <v>829</v>
      </c>
      <c r="D287" s="24" t="s">
        <v>26</v>
      </c>
      <c r="E287" s="28">
        <v>28837</v>
      </c>
      <c r="F287" s="11">
        <f t="shared" ca="1" si="26"/>
        <v>45.024657534246572</v>
      </c>
      <c r="G287" s="11">
        <f t="shared" si="27"/>
        <v>12</v>
      </c>
      <c r="H287" s="11">
        <f t="shared" si="28"/>
        <v>13</v>
      </c>
      <c r="I287" s="10">
        <v>40028</v>
      </c>
      <c r="J287" s="9" t="s">
        <v>66</v>
      </c>
      <c r="K287" s="9" t="s">
        <v>357</v>
      </c>
      <c r="L287" s="9" t="s">
        <v>204</v>
      </c>
      <c r="M287" s="9" t="s">
        <v>134</v>
      </c>
      <c r="N287" s="33">
        <v>8</v>
      </c>
      <c r="O287" s="12">
        <f t="shared" ca="1" si="29"/>
        <v>14.364383561643836</v>
      </c>
      <c r="P287" s="12">
        <f t="shared" ca="1" si="30"/>
        <v>22.364383561643834</v>
      </c>
      <c r="Q287" s="34" t="s">
        <v>26</v>
      </c>
      <c r="R287" s="9" t="s">
        <v>901</v>
      </c>
      <c r="S287" s="24" t="s">
        <v>28</v>
      </c>
      <c r="T287" s="9" t="s">
        <v>29</v>
      </c>
    </row>
    <row r="288" spans="1:90" ht="36" customHeight="1">
      <c r="A288" s="6">
        <f t="shared" si="31"/>
        <v>287</v>
      </c>
      <c r="B288" s="23" t="s">
        <v>936</v>
      </c>
      <c r="C288" s="32" t="s">
        <v>937</v>
      </c>
      <c r="D288" s="24" t="s">
        <v>26</v>
      </c>
      <c r="E288" s="28">
        <v>23850</v>
      </c>
      <c r="F288" s="11">
        <f t="shared" ca="1" si="26"/>
        <v>58.68767123287671</v>
      </c>
      <c r="G288" s="11">
        <f t="shared" si="27"/>
        <v>4</v>
      </c>
      <c r="H288" s="11">
        <f t="shared" si="28"/>
        <v>18</v>
      </c>
      <c r="I288" s="10">
        <v>40028</v>
      </c>
      <c r="J288" s="9" t="s">
        <v>110</v>
      </c>
      <c r="K288" s="9" t="s">
        <v>63</v>
      </c>
      <c r="L288" s="9" t="s">
        <v>938</v>
      </c>
      <c r="M288" s="9" t="s">
        <v>134</v>
      </c>
      <c r="N288" s="33">
        <v>19</v>
      </c>
      <c r="O288" s="12">
        <f t="shared" ca="1" si="29"/>
        <v>14.364383561643836</v>
      </c>
      <c r="P288" s="12">
        <f t="shared" ca="1" si="30"/>
        <v>33.364383561643834</v>
      </c>
      <c r="Q288" s="34" t="s">
        <v>26</v>
      </c>
      <c r="R288" s="24" t="s">
        <v>901</v>
      </c>
      <c r="S288" s="24" t="s">
        <v>36</v>
      </c>
      <c r="T288" s="9" t="s">
        <v>137</v>
      </c>
    </row>
    <row r="289" spans="1:20" ht="36" customHeight="1">
      <c r="A289" s="6">
        <f t="shared" si="31"/>
        <v>288</v>
      </c>
      <c r="B289" s="23" t="s">
        <v>939</v>
      </c>
      <c r="C289" s="32" t="s">
        <v>940</v>
      </c>
      <c r="D289" s="24" t="s">
        <v>26</v>
      </c>
      <c r="E289" s="28">
        <v>27565</v>
      </c>
      <c r="F289" s="11">
        <f t="shared" ca="1" si="26"/>
        <v>48.509589041095893</v>
      </c>
      <c r="G289" s="11">
        <f t="shared" si="27"/>
        <v>6</v>
      </c>
      <c r="H289" s="11">
        <f t="shared" si="28"/>
        <v>20</v>
      </c>
      <c r="I289" s="28">
        <v>40028</v>
      </c>
      <c r="J289" s="9" t="s">
        <v>32</v>
      </c>
      <c r="K289" s="9" t="s">
        <v>941</v>
      </c>
      <c r="L289" s="9" t="s">
        <v>60</v>
      </c>
      <c r="M289" s="9" t="s">
        <v>35</v>
      </c>
      <c r="N289" s="33">
        <v>8</v>
      </c>
      <c r="O289" s="12">
        <f t="shared" ca="1" si="29"/>
        <v>14.364383561643836</v>
      </c>
      <c r="P289" s="12">
        <f t="shared" ca="1" si="30"/>
        <v>22.364383561643834</v>
      </c>
      <c r="Q289" s="34" t="s">
        <v>26</v>
      </c>
      <c r="R289" s="24" t="s">
        <v>901</v>
      </c>
      <c r="S289" s="24" t="s">
        <v>28</v>
      </c>
      <c r="T289" s="9" t="s">
        <v>29</v>
      </c>
    </row>
    <row r="290" spans="1:20" ht="36" customHeight="1">
      <c r="A290" s="6">
        <f t="shared" si="31"/>
        <v>289</v>
      </c>
      <c r="B290" s="23" t="s">
        <v>942</v>
      </c>
      <c r="C290" s="32" t="s">
        <v>943</v>
      </c>
      <c r="D290" s="24" t="s">
        <v>21</v>
      </c>
      <c r="E290" s="28">
        <v>24568</v>
      </c>
      <c r="F290" s="11">
        <f t="shared" ca="1" si="26"/>
        <v>56.720547945205482</v>
      </c>
      <c r="G290" s="11">
        <f t="shared" si="27"/>
        <v>4</v>
      </c>
      <c r="H290" s="11">
        <f t="shared" si="28"/>
        <v>6</v>
      </c>
      <c r="I290" s="28">
        <v>40028</v>
      </c>
      <c r="J290" s="9" t="s">
        <v>110</v>
      </c>
      <c r="K290" s="9" t="s">
        <v>63</v>
      </c>
      <c r="L290" s="9" t="s">
        <v>938</v>
      </c>
      <c r="M290" s="9" t="s">
        <v>25</v>
      </c>
      <c r="N290" s="33">
        <v>19</v>
      </c>
      <c r="O290" s="12">
        <f t="shared" ca="1" si="29"/>
        <v>14.364383561643836</v>
      </c>
      <c r="P290" s="12">
        <f t="shared" ca="1" si="30"/>
        <v>33.364383561643834</v>
      </c>
      <c r="Q290" s="34" t="s">
        <v>26</v>
      </c>
      <c r="R290" s="24" t="s">
        <v>901</v>
      </c>
      <c r="S290" s="24" t="s">
        <v>36</v>
      </c>
      <c r="T290" s="9" t="s">
        <v>72</v>
      </c>
    </row>
    <row r="291" spans="1:20" ht="36" customHeight="1">
      <c r="A291" s="6">
        <f t="shared" si="31"/>
        <v>290</v>
      </c>
      <c r="B291" s="23" t="s">
        <v>944</v>
      </c>
      <c r="C291" s="32" t="s">
        <v>945</v>
      </c>
      <c r="D291" s="24" t="s">
        <v>26</v>
      </c>
      <c r="E291" s="28">
        <v>26453</v>
      </c>
      <c r="F291" s="11">
        <f t="shared" ca="1" si="26"/>
        <v>51.556164383561644</v>
      </c>
      <c r="G291" s="11">
        <f t="shared" si="27"/>
        <v>6</v>
      </c>
      <c r="H291" s="11">
        <f t="shared" si="28"/>
        <v>3</v>
      </c>
      <c r="I291" s="28">
        <v>40028</v>
      </c>
      <c r="J291" s="24" t="s">
        <v>110</v>
      </c>
      <c r="K291" s="24" t="s">
        <v>495</v>
      </c>
      <c r="L291" s="24" t="s">
        <v>208</v>
      </c>
      <c r="M291" s="9" t="s">
        <v>35</v>
      </c>
      <c r="N291" s="33">
        <v>7</v>
      </c>
      <c r="O291" s="12">
        <f t="shared" ca="1" si="29"/>
        <v>14.364383561643836</v>
      </c>
      <c r="P291" s="12">
        <f t="shared" ca="1" si="30"/>
        <v>21.364383561643834</v>
      </c>
      <c r="Q291" s="34" t="s">
        <v>68</v>
      </c>
      <c r="R291" s="24" t="s">
        <v>901</v>
      </c>
      <c r="S291" s="24" t="s">
        <v>28</v>
      </c>
      <c r="T291" s="9" t="s">
        <v>29</v>
      </c>
    </row>
    <row r="292" spans="1:20" ht="36" customHeight="1">
      <c r="A292" s="6">
        <f t="shared" si="31"/>
        <v>291</v>
      </c>
      <c r="B292" s="23" t="s">
        <v>946</v>
      </c>
      <c r="C292" s="32" t="s">
        <v>947</v>
      </c>
      <c r="D292" s="24" t="s">
        <v>21</v>
      </c>
      <c r="E292" s="28">
        <v>29937</v>
      </c>
      <c r="F292" s="11">
        <f t="shared" ca="1" si="26"/>
        <v>42.010958904109586</v>
      </c>
      <c r="G292" s="11">
        <f t="shared" si="27"/>
        <v>12</v>
      </c>
      <c r="H292" s="11">
        <f t="shared" si="28"/>
        <v>17</v>
      </c>
      <c r="I292" s="28">
        <v>40028</v>
      </c>
      <c r="J292" s="9" t="s">
        <v>50</v>
      </c>
      <c r="K292" s="9" t="s">
        <v>543</v>
      </c>
      <c r="L292" s="9" t="s">
        <v>34</v>
      </c>
      <c r="M292" s="9" t="s">
        <v>356</v>
      </c>
      <c r="N292" s="33">
        <v>5</v>
      </c>
      <c r="O292" s="12">
        <f t="shared" ca="1" si="29"/>
        <v>14.364383561643836</v>
      </c>
      <c r="P292" s="12">
        <f t="shared" ca="1" si="30"/>
        <v>19.364383561643834</v>
      </c>
      <c r="Q292" s="34" t="s">
        <v>26</v>
      </c>
      <c r="R292" s="24" t="s">
        <v>901</v>
      </c>
      <c r="S292" s="9" t="s">
        <v>28</v>
      </c>
      <c r="T292" s="9" t="s">
        <v>29</v>
      </c>
    </row>
    <row r="293" spans="1:20" ht="36" customHeight="1">
      <c r="A293" s="6">
        <f t="shared" si="31"/>
        <v>292</v>
      </c>
      <c r="B293" s="23" t="s">
        <v>948</v>
      </c>
      <c r="C293" s="32" t="s">
        <v>949</v>
      </c>
      <c r="D293" s="24" t="s">
        <v>26</v>
      </c>
      <c r="E293" s="28">
        <v>31011</v>
      </c>
      <c r="F293" s="11">
        <f t="shared" ca="1" si="26"/>
        <v>39.06849315068493</v>
      </c>
      <c r="G293" s="11">
        <f t="shared" si="27"/>
        <v>11</v>
      </c>
      <c r="H293" s="11">
        <f t="shared" si="28"/>
        <v>25</v>
      </c>
      <c r="I293" s="28">
        <v>40028</v>
      </c>
      <c r="J293" s="9" t="s">
        <v>87</v>
      </c>
      <c r="K293" s="9" t="s">
        <v>950</v>
      </c>
      <c r="L293" s="9" t="s">
        <v>107</v>
      </c>
      <c r="M293" s="9" t="s">
        <v>35</v>
      </c>
      <c r="N293" s="33">
        <v>3</v>
      </c>
      <c r="O293" s="12">
        <f t="shared" ca="1" si="29"/>
        <v>14.364383561643836</v>
      </c>
      <c r="P293" s="12">
        <f t="shared" ca="1" si="30"/>
        <v>17.364383561643834</v>
      </c>
      <c r="Q293" s="34" t="s">
        <v>68</v>
      </c>
      <c r="R293" s="24"/>
      <c r="S293" s="24" t="s">
        <v>36</v>
      </c>
      <c r="T293" s="9" t="s">
        <v>951</v>
      </c>
    </row>
    <row r="294" spans="1:20" ht="36" customHeight="1">
      <c r="A294" s="6">
        <f t="shared" si="31"/>
        <v>293</v>
      </c>
      <c r="B294" s="23" t="s">
        <v>952</v>
      </c>
      <c r="C294" s="32" t="s">
        <v>953</v>
      </c>
      <c r="D294" s="24" t="s">
        <v>26</v>
      </c>
      <c r="E294" s="28">
        <v>28502</v>
      </c>
      <c r="F294" s="11">
        <f t="shared" ca="1" si="26"/>
        <v>45.942465753424656</v>
      </c>
      <c r="G294" s="11">
        <f t="shared" si="27"/>
        <v>1</v>
      </c>
      <c r="H294" s="11">
        <f t="shared" si="28"/>
        <v>12</v>
      </c>
      <c r="I294" s="28">
        <v>40029</v>
      </c>
      <c r="J294" s="9" t="s">
        <v>132</v>
      </c>
      <c r="K294" s="9" t="s">
        <v>103</v>
      </c>
      <c r="L294" s="9" t="s">
        <v>24</v>
      </c>
      <c r="M294" s="9" t="s">
        <v>25</v>
      </c>
      <c r="N294" s="33">
        <v>14</v>
      </c>
      <c r="O294" s="12">
        <f t="shared" ca="1" si="29"/>
        <v>14.361643835616439</v>
      </c>
      <c r="P294" s="12">
        <f t="shared" ca="1" si="30"/>
        <v>28.361643835616441</v>
      </c>
      <c r="Q294" s="34" t="s">
        <v>26</v>
      </c>
      <c r="R294" s="24" t="s">
        <v>901</v>
      </c>
      <c r="S294" s="24" t="s">
        <v>28</v>
      </c>
      <c r="T294" s="9" t="s">
        <v>29</v>
      </c>
    </row>
    <row r="295" spans="1:20" ht="36" customHeight="1">
      <c r="A295" s="6">
        <f t="shared" si="31"/>
        <v>294</v>
      </c>
      <c r="B295" s="23" t="s">
        <v>954</v>
      </c>
      <c r="C295" s="32" t="s">
        <v>955</v>
      </c>
      <c r="D295" s="24" t="s">
        <v>26</v>
      </c>
      <c r="E295" s="28">
        <v>27225</v>
      </c>
      <c r="F295" s="11">
        <f t="shared" ca="1" si="26"/>
        <v>49.441095890410956</v>
      </c>
      <c r="G295" s="11">
        <f t="shared" si="27"/>
        <v>7</v>
      </c>
      <c r="H295" s="11">
        <f t="shared" si="28"/>
        <v>15</v>
      </c>
      <c r="I295" s="28">
        <v>40031</v>
      </c>
      <c r="J295" s="9" t="s">
        <v>45</v>
      </c>
      <c r="K295" s="9" t="s">
        <v>956</v>
      </c>
      <c r="L295" s="9" t="s">
        <v>208</v>
      </c>
      <c r="M295" s="9" t="s">
        <v>35</v>
      </c>
      <c r="N295" s="33">
        <v>6</v>
      </c>
      <c r="O295" s="12">
        <f t="shared" ca="1" si="29"/>
        <v>14.356164383561644</v>
      </c>
      <c r="P295" s="12">
        <f t="shared" ca="1" si="30"/>
        <v>20.356164383561644</v>
      </c>
      <c r="Q295" s="34" t="s">
        <v>68</v>
      </c>
      <c r="R295" s="24" t="s">
        <v>901</v>
      </c>
      <c r="S295" s="24" t="s">
        <v>28</v>
      </c>
      <c r="T295" s="9" t="s">
        <v>29</v>
      </c>
    </row>
    <row r="296" spans="1:20" ht="36" customHeight="1">
      <c r="A296" s="6">
        <f t="shared" si="31"/>
        <v>295</v>
      </c>
      <c r="B296" s="23" t="s">
        <v>957</v>
      </c>
      <c r="C296" s="32" t="s">
        <v>958</v>
      </c>
      <c r="D296" s="24" t="s">
        <v>26</v>
      </c>
      <c r="E296" s="28">
        <v>27881</v>
      </c>
      <c r="F296" s="11">
        <f t="shared" ca="1" si="26"/>
        <v>47.643835616438359</v>
      </c>
      <c r="G296" s="11">
        <f t="shared" si="27"/>
        <v>5</v>
      </c>
      <c r="H296" s="11">
        <f t="shared" si="28"/>
        <v>1</v>
      </c>
      <c r="I296" s="28">
        <v>40031</v>
      </c>
      <c r="J296" s="9" t="s">
        <v>50</v>
      </c>
      <c r="K296" s="9" t="s">
        <v>146</v>
      </c>
      <c r="L296" s="9" t="s">
        <v>208</v>
      </c>
      <c r="M296" s="9" t="s">
        <v>35</v>
      </c>
      <c r="N296" s="33">
        <v>13</v>
      </c>
      <c r="O296" s="12">
        <f t="shared" ca="1" si="29"/>
        <v>14.356164383561644</v>
      </c>
      <c r="P296" s="12">
        <f t="shared" ca="1" si="30"/>
        <v>27.356164383561644</v>
      </c>
      <c r="Q296" s="34" t="s">
        <v>26</v>
      </c>
      <c r="R296" s="24" t="s">
        <v>901</v>
      </c>
      <c r="S296" s="24" t="s">
        <v>28</v>
      </c>
      <c r="T296" s="9" t="s">
        <v>29</v>
      </c>
    </row>
    <row r="297" spans="1:20" ht="36" customHeight="1">
      <c r="A297" s="6">
        <f t="shared" si="31"/>
        <v>296</v>
      </c>
      <c r="B297" s="23" t="s">
        <v>959</v>
      </c>
      <c r="C297" s="32" t="s">
        <v>960</v>
      </c>
      <c r="D297" s="24" t="s">
        <v>26</v>
      </c>
      <c r="E297" s="28">
        <v>28592</v>
      </c>
      <c r="F297" s="11">
        <f t="shared" ca="1" si="26"/>
        <v>45.695890410958903</v>
      </c>
      <c r="G297" s="11">
        <f t="shared" si="27"/>
        <v>4</v>
      </c>
      <c r="H297" s="11">
        <f t="shared" si="28"/>
        <v>12</v>
      </c>
      <c r="I297" s="28">
        <v>40031</v>
      </c>
      <c r="J297" s="9" t="s">
        <v>110</v>
      </c>
      <c r="K297" s="9" t="s">
        <v>961</v>
      </c>
      <c r="L297" s="9" t="s">
        <v>34</v>
      </c>
      <c r="M297" s="9" t="s">
        <v>35</v>
      </c>
      <c r="N297" s="33">
        <v>14</v>
      </c>
      <c r="O297" s="12">
        <f t="shared" ca="1" si="29"/>
        <v>14.356164383561644</v>
      </c>
      <c r="P297" s="12">
        <f t="shared" ca="1" si="30"/>
        <v>28.356164383561644</v>
      </c>
      <c r="Q297" s="34" t="s">
        <v>26</v>
      </c>
      <c r="R297" s="24" t="s">
        <v>901</v>
      </c>
      <c r="S297" s="24" t="s">
        <v>36</v>
      </c>
      <c r="T297" s="9" t="s">
        <v>279</v>
      </c>
    </row>
    <row r="298" spans="1:20" ht="36" customHeight="1">
      <c r="A298" s="6">
        <f t="shared" si="31"/>
        <v>297</v>
      </c>
      <c r="B298" s="23" t="s">
        <v>962</v>
      </c>
      <c r="C298" s="23" t="s">
        <v>963</v>
      </c>
      <c r="D298" s="21" t="s">
        <v>26</v>
      </c>
      <c r="E298" s="25">
        <v>29317</v>
      </c>
      <c r="F298" s="19">
        <f t="shared" ca="1" si="26"/>
        <v>43.709589041095889</v>
      </c>
      <c r="G298" s="19">
        <f t="shared" si="27"/>
        <v>4</v>
      </c>
      <c r="H298" s="19">
        <f t="shared" si="28"/>
        <v>6</v>
      </c>
      <c r="I298" s="25">
        <v>40035</v>
      </c>
      <c r="J298" s="6" t="s">
        <v>50</v>
      </c>
      <c r="K298" s="6" t="s">
        <v>964</v>
      </c>
      <c r="L298" s="6" t="s">
        <v>885</v>
      </c>
      <c r="M298" s="6" t="s">
        <v>35</v>
      </c>
      <c r="N298" s="26">
        <v>10</v>
      </c>
      <c r="O298" s="20">
        <f t="shared" ca="1" si="29"/>
        <v>14.345205479452055</v>
      </c>
      <c r="P298" s="20">
        <f t="shared" ca="1" si="30"/>
        <v>24.345205479452055</v>
      </c>
      <c r="Q298" s="27" t="s">
        <v>68</v>
      </c>
      <c r="R298" s="21" t="s">
        <v>901</v>
      </c>
      <c r="S298" s="21" t="s">
        <v>28</v>
      </c>
      <c r="T298" s="6" t="s">
        <v>29</v>
      </c>
    </row>
    <row r="299" spans="1:20" ht="36" customHeight="1">
      <c r="A299" s="6">
        <f t="shared" si="31"/>
        <v>298</v>
      </c>
      <c r="B299" s="23" t="s">
        <v>965</v>
      </c>
      <c r="C299" s="32" t="s">
        <v>966</v>
      </c>
      <c r="D299" s="24" t="s">
        <v>21</v>
      </c>
      <c r="E299" s="28">
        <v>28095</v>
      </c>
      <c r="F299" s="11">
        <f t="shared" ca="1" si="26"/>
        <v>47.057534246575344</v>
      </c>
      <c r="G299" s="11">
        <f t="shared" si="27"/>
        <v>12</v>
      </c>
      <c r="H299" s="11">
        <f t="shared" si="28"/>
        <v>1</v>
      </c>
      <c r="I299" s="28">
        <v>40035</v>
      </c>
      <c r="J299" s="9" t="s">
        <v>110</v>
      </c>
      <c r="K299" s="9" t="s">
        <v>495</v>
      </c>
      <c r="L299" s="9" t="s">
        <v>147</v>
      </c>
      <c r="M299" s="9" t="s">
        <v>134</v>
      </c>
      <c r="N299" s="33">
        <v>6</v>
      </c>
      <c r="O299" s="12">
        <f t="shared" ca="1" si="29"/>
        <v>14.345205479452055</v>
      </c>
      <c r="P299" s="12">
        <f t="shared" ca="1" si="30"/>
        <v>20.345205479452055</v>
      </c>
      <c r="Q299" s="34" t="s">
        <v>26</v>
      </c>
      <c r="R299" s="24" t="s">
        <v>901</v>
      </c>
      <c r="S299" s="24" t="s">
        <v>28</v>
      </c>
      <c r="T299" s="9" t="s">
        <v>29</v>
      </c>
    </row>
    <row r="300" spans="1:20" ht="36" customHeight="1">
      <c r="A300" s="6">
        <f t="shared" si="31"/>
        <v>299</v>
      </c>
      <c r="B300" s="36" t="s">
        <v>967</v>
      </c>
      <c r="C300" s="36" t="s">
        <v>968</v>
      </c>
      <c r="D300" s="24" t="s">
        <v>26</v>
      </c>
      <c r="E300" s="28">
        <v>28999</v>
      </c>
      <c r="F300" s="11">
        <f t="shared" ca="1" si="26"/>
        <v>44.580821917808223</v>
      </c>
      <c r="G300" s="11">
        <f t="shared" si="27"/>
        <v>5</v>
      </c>
      <c r="H300" s="11">
        <f t="shared" si="28"/>
        <v>24</v>
      </c>
      <c r="I300" s="37">
        <v>40035</v>
      </c>
      <c r="J300" s="9" t="s">
        <v>132</v>
      </c>
      <c r="K300" s="9" t="s">
        <v>969</v>
      </c>
      <c r="L300" s="9" t="s">
        <v>208</v>
      </c>
      <c r="M300" s="9" t="s">
        <v>35</v>
      </c>
      <c r="N300" s="33">
        <v>10</v>
      </c>
      <c r="O300" s="12">
        <f t="shared" ca="1" si="29"/>
        <v>14.345205479452055</v>
      </c>
      <c r="P300" s="12">
        <f t="shared" ca="1" si="30"/>
        <v>24.345205479452055</v>
      </c>
      <c r="Q300" s="34" t="s">
        <v>68</v>
      </c>
      <c r="R300" s="24" t="s">
        <v>901</v>
      </c>
      <c r="S300" s="24" t="s">
        <v>28</v>
      </c>
      <c r="T300" s="9" t="s">
        <v>29</v>
      </c>
    </row>
    <row r="301" spans="1:20" ht="36" customHeight="1">
      <c r="A301" s="6">
        <f t="shared" si="31"/>
        <v>300</v>
      </c>
      <c r="B301" s="14" t="s">
        <v>970</v>
      </c>
      <c r="C301" s="14" t="s">
        <v>971</v>
      </c>
      <c r="D301" s="24" t="s">
        <v>26</v>
      </c>
      <c r="E301" s="28">
        <v>30206</v>
      </c>
      <c r="F301" s="11">
        <f t="shared" ref="F301:F364" ca="1" si="32">(TODAY()-E301)/365</f>
        <v>41.273972602739725</v>
      </c>
      <c r="G301" s="11">
        <f t="shared" si="27"/>
        <v>9</v>
      </c>
      <c r="H301" s="11">
        <f t="shared" si="28"/>
        <v>12</v>
      </c>
      <c r="I301" s="38">
        <v>40035</v>
      </c>
      <c r="J301" s="9" t="s">
        <v>45</v>
      </c>
      <c r="K301" s="9" t="s">
        <v>477</v>
      </c>
      <c r="L301" s="24" t="s">
        <v>34</v>
      </c>
      <c r="M301" s="9" t="s">
        <v>35</v>
      </c>
      <c r="N301" s="33">
        <v>4</v>
      </c>
      <c r="O301" s="12">
        <f t="shared" ca="1" si="29"/>
        <v>14.345205479452055</v>
      </c>
      <c r="P301" s="12">
        <f t="shared" ca="1" si="30"/>
        <v>18.345205479452055</v>
      </c>
      <c r="Q301" s="34" t="s">
        <v>68</v>
      </c>
      <c r="R301" s="24"/>
      <c r="S301" s="24" t="s">
        <v>36</v>
      </c>
      <c r="T301" s="9" t="s">
        <v>137</v>
      </c>
    </row>
    <row r="302" spans="1:20" ht="36" customHeight="1">
      <c r="A302" s="6">
        <f t="shared" si="31"/>
        <v>301</v>
      </c>
      <c r="B302" s="14" t="s">
        <v>972</v>
      </c>
      <c r="C302" s="32" t="s">
        <v>973</v>
      </c>
      <c r="D302" s="24" t="s">
        <v>26</v>
      </c>
      <c r="E302" s="28">
        <v>32277</v>
      </c>
      <c r="F302" s="11">
        <f t="shared" ca="1" si="32"/>
        <v>35.6</v>
      </c>
      <c r="G302" s="11">
        <f t="shared" si="27"/>
        <v>5</v>
      </c>
      <c r="H302" s="11">
        <f t="shared" si="28"/>
        <v>14</v>
      </c>
      <c r="I302" s="38">
        <v>40037</v>
      </c>
      <c r="J302" s="24" t="s">
        <v>974</v>
      </c>
      <c r="K302" s="24" t="s">
        <v>975</v>
      </c>
      <c r="L302" s="24" t="s">
        <v>34</v>
      </c>
      <c r="M302" s="9" t="s">
        <v>35</v>
      </c>
      <c r="N302" s="33">
        <v>0</v>
      </c>
      <c r="O302" s="12">
        <f t="shared" ca="1" si="29"/>
        <v>14.33972602739726</v>
      </c>
      <c r="P302" s="12">
        <f t="shared" ca="1" si="30"/>
        <v>14.33972602739726</v>
      </c>
      <c r="Q302" s="34" t="s">
        <v>68</v>
      </c>
      <c r="R302" s="24" t="s">
        <v>901</v>
      </c>
      <c r="S302" s="24" t="s">
        <v>36</v>
      </c>
      <c r="T302" s="9" t="s">
        <v>976</v>
      </c>
    </row>
    <row r="303" spans="1:20" ht="36" customHeight="1">
      <c r="A303" s="6">
        <f t="shared" si="31"/>
        <v>302</v>
      </c>
      <c r="B303" s="23" t="s">
        <v>977</v>
      </c>
      <c r="C303" s="32" t="s">
        <v>978</v>
      </c>
      <c r="D303" s="24" t="s">
        <v>26</v>
      </c>
      <c r="E303" s="28">
        <v>30473</v>
      </c>
      <c r="F303" s="11">
        <f t="shared" ca="1" si="32"/>
        <v>40.542465753424658</v>
      </c>
      <c r="G303" s="11">
        <f t="shared" si="27"/>
        <v>6</v>
      </c>
      <c r="H303" s="11">
        <f t="shared" si="28"/>
        <v>6</v>
      </c>
      <c r="I303" s="28">
        <v>40038</v>
      </c>
      <c r="J303" s="9" t="s">
        <v>110</v>
      </c>
      <c r="K303" s="9" t="s">
        <v>979</v>
      </c>
      <c r="L303" s="9" t="s">
        <v>724</v>
      </c>
      <c r="M303" s="9" t="s">
        <v>134</v>
      </c>
      <c r="N303" s="33">
        <v>5</v>
      </c>
      <c r="O303" s="12">
        <f t="shared" ca="1" si="29"/>
        <v>14.336986301369864</v>
      </c>
      <c r="P303" s="12">
        <f t="shared" ca="1" si="30"/>
        <v>19.336986301369862</v>
      </c>
      <c r="Q303" s="34" t="s">
        <v>26</v>
      </c>
      <c r="R303" s="24" t="s">
        <v>980</v>
      </c>
      <c r="S303" s="24" t="s">
        <v>36</v>
      </c>
      <c r="T303" s="9" t="s">
        <v>137</v>
      </c>
    </row>
    <row r="304" spans="1:20" ht="36" customHeight="1">
      <c r="A304" s="6">
        <f t="shared" si="31"/>
        <v>303</v>
      </c>
      <c r="B304" s="23" t="s">
        <v>981</v>
      </c>
      <c r="C304" s="32" t="s">
        <v>982</v>
      </c>
      <c r="D304" s="24" t="s">
        <v>26</v>
      </c>
      <c r="E304" s="28">
        <v>28986</v>
      </c>
      <c r="F304" s="11">
        <f t="shared" ca="1" si="32"/>
        <v>44.61643835616438</v>
      </c>
      <c r="G304" s="11">
        <f t="shared" si="27"/>
        <v>5</v>
      </c>
      <c r="H304" s="11">
        <f t="shared" si="28"/>
        <v>11</v>
      </c>
      <c r="I304" s="28">
        <v>40042</v>
      </c>
      <c r="J304" s="9" t="s">
        <v>226</v>
      </c>
      <c r="K304" s="9" t="s">
        <v>710</v>
      </c>
      <c r="L304" s="9" t="s">
        <v>55</v>
      </c>
      <c r="M304" s="9" t="s">
        <v>35</v>
      </c>
      <c r="N304" s="33">
        <v>7</v>
      </c>
      <c r="O304" s="12">
        <f t="shared" ca="1" si="29"/>
        <v>14.326027397260274</v>
      </c>
      <c r="P304" s="12">
        <f t="shared" ca="1" si="30"/>
        <v>21.326027397260276</v>
      </c>
      <c r="Q304" s="34" t="s">
        <v>68</v>
      </c>
      <c r="R304" s="24" t="s">
        <v>901</v>
      </c>
      <c r="S304" s="24" t="s">
        <v>36</v>
      </c>
      <c r="T304" s="9" t="s">
        <v>72</v>
      </c>
    </row>
    <row r="305" spans="1:20" ht="36" customHeight="1">
      <c r="A305" s="6">
        <f t="shared" si="31"/>
        <v>304</v>
      </c>
      <c r="B305" s="23" t="s">
        <v>983</v>
      </c>
      <c r="C305" s="32" t="s">
        <v>984</v>
      </c>
      <c r="D305" s="24" t="s">
        <v>26</v>
      </c>
      <c r="E305" s="28">
        <v>28328</v>
      </c>
      <c r="F305" s="11">
        <f t="shared" ca="1" si="32"/>
        <v>46.419178082191777</v>
      </c>
      <c r="G305" s="11">
        <f t="shared" si="27"/>
        <v>7</v>
      </c>
      <c r="H305" s="11">
        <f t="shared" si="28"/>
        <v>22</v>
      </c>
      <c r="I305" s="28">
        <v>40038</v>
      </c>
      <c r="J305" s="9" t="s">
        <v>32</v>
      </c>
      <c r="K305" s="9" t="s">
        <v>985</v>
      </c>
      <c r="L305" s="9" t="s">
        <v>325</v>
      </c>
      <c r="M305" s="9" t="s">
        <v>35</v>
      </c>
      <c r="N305" s="33">
        <v>11</v>
      </c>
      <c r="O305" s="12">
        <f t="shared" ca="1" si="29"/>
        <v>14.336986301369864</v>
      </c>
      <c r="P305" s="12">
        <f t="shared" ca="1" si="30"/>
        <v>25.336986301369862</v>
      </c>
      <c r="Q305" s="34" t="s">
        <v>68</v>
      </c>
      <c r="R305" s="24" t="s">
        <v>980</v>
      </c>
      <c r="S305" s="9" t="s">
        <v>817</v>
      </c>
      <c r="T305" s="9" t="s">
        <v>358</v>
      </c>
    </row>
    <row r="306" spans="1:20" ht="36" customHeight="1">
      <c r="A306" s="6">
        <f t="shared" si="31"/>
        <v>305</v>
      </c>
      <c r="B306" s="23" t="s">
        <v>986</v>
      </c>
      <c r="C306" s="32" t="s">
        <v>987</v>
      </c>
      <c r="D306" s="24" t="s">
        <v>26</v>
      </c>
      <c r="E306" s="28">
        <v>31192</v>
      </c>
      <c r="F306" s="11">
        <f t="shared" ca="1" si="32"/>
        <v>38.57260273972603</v>
      </c>
      <c r="G306" s="11">
        <f t="shared" ref="G306:G357" si="33">MONTH(E306)</f>
        <v>5</v>
      </c>
      <c r="H306" s="11">
        <f t="shared" ref="H306:H357" si="34">DAY(E306)</f>
        <v>25</v>
      </c>
      <c r="I306" s="28">
        <v>40046</v>
      </c>
      <c r="J306" s="9" t="s">
        <v>87</v>
      </c>
      <c r="K306" s="9" t="s">
        <v>418</v>
      </c>
      <c r="L306" s="9" t="s">
        <v>147</v>
      </c>
      <c r="M306" s="9" t="s">
        <v>134</v>
      </c>
      <c r="N306" s="33">
        <v>4</v>
      </c>
      <c r="O306" s="12">
        <f t="shared" ca="1" si="29"/>
        <v>14.315068493150685</v>
      </c>
      <c r="P306" s="12">
        <f t="shared" ca="1" si="30"/>
        <v>18.315068493150683</v>
      </c>
      <c r="Q306" s="34" t="s">
        <v>68</v>
      </c>
      <c r="R306" s="24" t="s">
        <v>901</v>
      </c>
      <c r="S306" s="24" t="s">
        <v>28</v>
      </c>
      <c r="T306" s="9" t="s">
        <v>29</v>
      </c>
    </row>
    <row r="307" spans="1:20" ht="36" customHeight="1">
      <c r="A307" s="6">
        <f t="shared" si="31"/>
        <v>306</v>
      </c>
      <c r="B307" s="23" t="s">
        <v>988</v>
      </c>
      <c r="C307" s="32" t="s">
        <v>989</v>
      </c>
      <c r="D307" s="24" t="s">
        <v>26</v>
      </c>
      <c r="E307" s="28">
        <v>26854</v>
      </c>
      <c r="F307" s="11">
        <f t="shared" ca="1" si="32"/>
        <v>50.457534246575342</v>
      </c>
      <c r="G307" s="11">
        <f t="shared" si="33"/>
        <v>7</v>
      </c>
      <c r="H307" s="11">
        <f t="shared" si="34"/>
        <v>9</v>
      </c>
      <c r="I307" s="28">
        <v>40044</v>
      </c>
      <c r="J307" s="24" t="s">
        <v>87</v>
      </c>
      <c r="K307" s="24" t="s">
        <v>990</v>
      </c>
      <c r="L307" s="24" t="s">
        <v>208</v>
      </c>
      <c r="M307" s="9" t="s">
        <v>35</v>
      </c>
      <c r="N307" s="33">
        <v>10</v>
      </c>
      <c r="O307" s="12">
        <f t="shared" ca="1" si="29"/>
        <v>14.32054794520548</v>
      </c>
      <c r="P307" s="12">
        <f t="shared" ca="1" si="30"/>
        <v>24.32054794520548</v>
      </c>
      <c r="Q307" s="34" t="s">
        <v>26</v>
      </c>
      <c r="R307" s="24" t="s">
        <v>901</v>
      </c>
      <c r="S307" s="24" t="s">
        <v>28</v>
      </c>
      <c r="T307" s="9" t="s">
        <v>29</v>
      </c>
    </row>
    <row r="308" spans="1:20" ht="36" customHeight="1">
      <c r="A308" s="6">
        <f t="shared" si="31"/>
        <v>307</v>
      </c>
      <c r="B308" s="23" t="s">
        <v>991</v>
      </c>
      <c r="C308" s="32" t="s">
        <v>992</v>
      </c>
      <c r="D308" s="24" t="s">
        <v>26</v>
      </c>
      <c r="E308" s="28">
        <v>29943</v>
      </c>
      <c r="F308" s="11">
        <f t="shared" ca="1" si="32"/>
        <v>41.994520547945207</v>
      </c>
      <c r="G308" s="11">
        <f t="shared" si="33"/>
        <v>12</v>
      </c>
      <c r="H308" s="11">
        <f t="shared" si="34"/>
        <v>23</v>
      </c>
      <c r="I308" s="28">
        <v>40049</v>
      </c>
      <c r="J308" s="9" t="s">
        <v>87</v>
      </c>
      <c r="K308" s="9" t="s">
        <v>993</v>
      </c>
      <c r="L308" s="9" t="s">
        <v>796</v>
      </c>
      <c r="M308" s="9" t="s">
        <v>35</v>
      </c>
      <c r="N308" s="33">
        <v>9</v>
      </c>
      <c r="O308" s="12">
        <f t="shared" ca="1" si="29"/>
        <v>14.306849315068494</v>
      </c>
      <c r="P308" s="12">
        <f t="shared" ca="1" si="30"/>
        <v>23.306849315068494</v>
      </c>
      <c r="Q308" s="34" t="s">
        <v>68</v>
      </c>
      <c r="R308" s="24" t="s">
        <v>901</v>
      </c>
      <c r="S308" s="24" t="s">
        <v>36</v>
      </c>
      <c r="T308" s="9" t="s">
        <v>137</v>
      </c>
    </row>
    <row r="309" spans="1:20" ht="36" customHeight="1">
      <c r="A309" s="6">
        <f t="shared" si="31"/>
        <v>308</v>
      </c>
      <c r="B309" s="23" t="s">
        <v>994</v>
      </c>
      <c r="C309" s="32" t="s">
        <v>995</v>
      </c>
      <c r="D309" s="24" t="s">
        <v>26</v>
      </c>
      <c r="E309" s="28">
        <v>27408</v>
      </c>
      <c r="F309" s="11">
        <f t="shared" ca="1" si="32"/>
        <v>48.939726027397263</v>
      </c>
      <c r="G309" s="11">
        <f t="shared" si="33"/>
        <v>1</v>
      </c>
      <c r="H309" s="11">
        <f t="shared" si="34"/>
        <v>14</v>
      </c>
      <c r="I309" s="28">
        <v>40049</v>
      </c>
      <c r="J309" s="9" t="s">
        <v>87</v>
      </c>
      <c r="K309" s="9" t="s">
        <v>418</v>
      </c>
      <c r="L309" s="9" t="s">
        <v>147</v>
      </c>
      <c r="M309" s="9" t="s">
        <v>134</v>
      </c>
      <c r="N309" s="33">
        <v>9</v>
      </c>
      <c r="O309" s="12">
        <f t="shared" ca="1" si="29"/>
        <v>14.306849315068494</v>
      </c>
      <c r="P309" s="12">
        <f t="shared" ca="1" si="30"/>
        <v>23.306849315068494</v>
      </c>
      <c r="Q309" s="34" t="s">
        <v>26</v>
      </c>
      <c r="R309" s="24" t="s">
        <v>901</v>
      </c>
      <c r="S309" s="24" t="s">
        <v>36</v>
      </c>
      <c r="T309" s="9" t="s">
        <v>137</v>
      </c>
    </row>
    <row r="310" spans="1:20" ht="36" customHeight="1">
      <c r="A310" s="6">
        <f t="shared" si="31"/>
        <v>309</v>
      </c>
      <c r="B310" s="23" t="s">
        <v>996</v>
      </c>
      <c r="C310" s="32" t="s">
        <v>997</v>
      </c>
      <c r="D310" s="24" t="s">
        <v>26</v>
      </c>
      <c r="E310" s="28">
        <v>28321</v>
      </c>
      <c r="F310" s="11">
        <f t="shared" ca="1" si="32"/>
        <v>46.438356164383563</v>
      </c>
      <c r="G310" s="11">
        <f t="shared" si="33"/>
        <v>7</v>
      </c>
      <c r="H310" s="11">
        <f t="shared" si="34"/>
        <v>15</v>
      </c>
      <c r="I310" s="28">
        <v>40051</v>
      </c>
      <c r="J310" s="9" t="s">
        <v>87</v>
      </c>
      <c r="K310" s="9" t="s">
        <v>998</v>
      </c>
      <c r="L310" s="9" t="s">
        <v>724</v>
      </c>
      <c r="M310" s="9" t="s">
        <v>134</v>
      </c>
      <c r="N310" s="33">
        <v>12</v>
      </c>
      <c r="O310" s="12">
        <f t="shared" ca="1" si="29"/>
        <v>14.301369863013699</v>
      </c>
      <c r="P310" s="12">
        <f t="shared" ca="1" si="30"/>
        <v>26.301369863013697</v>
      </c>
      <c r="Q310" s="34" t="s">
        <v>26</v>
      </c>
      <c r="R310" s="24"/>
      <c r="S310" s="24" t="s">
        <v>36</v>
      </c>
      <c r="T310" s="9" t="s">
        <v>137</v>
      </c>
    </row>
    <row r="311" spans="1:20" ht="36" customHeight="1">
      <c r="A311" s="6">
        <f t="shared" si="31"/>
        <v>310</v>
      </c>
      <c r="B311" s="23" t="s">
        <v>999</v>
      </c>
      <c r="C311" s="32" t="s">
        <v>1000</v>
      </c>
      <c r="D311" s="24" t="s">
        <v>26</v>
      </c>
      <c r="E311" s="28">
        <v>31013</v>
      </c>
      <c r="F311" s="11">
        <f t="shared" ca="1" si="32"/>
        <v>39.063013698630137</v>
      </c>
      <c r="G311" s="11">
        <f t="shared" si="33"/>
        <v>11</v>
      </c>
      <c r="H311" s="11">
        <f t="shared" si="34"/>
        <v>27</v>
      </c>
      <c r="I311" s="28">
        <v>40051</v>
      </c>
      <c r="J311" s="9" t="s">
        <v>110</v>
      </c>
      <c r="K311" s="9" t="s">
        <v>1001</v>
      </c>
      <c r="L311" s="9" t="s">
        <v>1002</v>
      </c>
      <c r="M311" s="9" t="s">
        <v>35</v>
      </c>
      <c r="N311" s="33">
        <v>7</v>
      </c>
      <c r="O311" s="12">
        <f t="shared" ca="1" si="29"/>
        <v>14.301369863013699</v>
      </c>
      <c r="P311" s="12">
        <f t="shared" ca="1" si="30"/>
        <v>21.301369863013697</v>
      </c>
      <c r="Q311" s="34" t="s">
        <v>68</v>
      </c>
      <c r="R311" s="24" t="s">
        <v>901</v>
      </c>
      <c r="S311" s="24" t="s">
        <v>28</v>
      </c>
      <c r="T311" s="9" t="s">
        <v>29</v>
      </c>
    </row>
    <row r="312" spans="1:20" ht="36" customHeight="1">
      <c r="A312" s="6">
        <f t="shared" si="31"/>
        <v>311</v>
      </c>
      <c r="B312" s="23" t="s">
        <v>1003</v>
      </c>
      <c r="C312" s="32" t="s">
        <v>1004</v>
      </c>
      <c r="D312" s="24" t="s">
        <v>26</v>
      </c>
      <c r="E312" s="28">
        <v>30477</v>
      </c>
      <c r="F312" s="11">
        <f t="shared" ca="1" si="32"/>
        <v>40.531506849315072</v>
      </c>
      <c r="G312" s="11">
        <f t="shared" si="33"/>
        <v>6</v>
      </c>
      <c r="H312" s="11">
        <f t="shared" si="34"/>
        <v>10</v>
      </c>
      <c r="I312" s="28">
        <v>40044</v>
      </c>
      <c r="J312" s="9" t="s">
        <v>87</v>
      </c>
      <c r="K312" s="9" t="s">
        <v>216</v>
      </c>
      <c r="L312" s="9" t="s">
        <v>80</v>
      </c>
      <c r="M312" s="9" t="s">
        <v>25</v>
      </c>
      <c r="N312" s="33">
        <v>2</v>
      </c>
      <c r="O312" s="12">
        <f t="shared" ca="1" si="29"/>
        <v>14.32054794520548</v>
      </c>
      <c r="P312" s="12">
        <f t="shared" ca="1" si="30"/>
        <v>16.32054794520548</v>
      </c>
      <c r="Q312" s="34" t="s">
        <v>26</v>
      </c>
      <c r="R312" s="24" t="s">
        <v>901</v>
      </c>
      <c r="S312" s="24" t="s">
        <v>28</v>
      </c>
      <c r="T312" s="9" t="s">
        <v>29</v>
      </c>
    </row>
    <row r="313" spans="1:20" ht="36" customHeight="1">
      <c r="A313" s="6">
        <f t="shared" si="31"/>
        <v>312</v>
      </c>
      <c r="B313" s="23" t="s">
        <v>1005</v>
      </c>
      <c r="C313" s="32" t="s">
        <v>1006</v>
      </c>
      <c r="D313" s="24" t="s">
        <v>26</v>
      </c>
      <c r="E313" s="28">
        <v>27947</v>
      </c>
      <c r="F313" s="11">
        <f t="shared" ca="1" si="32"/>
        <v>47.463013698630135</v>
      </c>
      <c r="G313" s="11">
        <f t="shared" si="33"/>
        <v>7</v>
      </c>
      <c r="H313" s="11">
        <f t="shared" si="34"/>
        <v>6</v>
      </c>
      <c r="I313" s="28">
        <v>39139</v>
      </c>
      <c r="J313" s="9" t="s">
        <v>32</v>
      </c>
      <c r="K313" s="9" t="s">
        <v>778</v>
      </c>
      <c r="L313" s="9" t="s">
        <v>24</v>
      </c>
      <c r="M313" s="9" t="s">
        <v>35</v>
      </c>
      <c r="N313" s="33">
        <v>12</v>
      </c>
      <c r="O313" s="12">
        <f t="shared" ca="1" si="29"/>
        <v>16.8</v>
      </c>
      <c r="P313" s="12">
        <f t="shared" ca="1" si="30"/>
        <v>28.8</v>
      </c>
      <c r="Q313" s="34" t="s">
        <v>26</v>
      </c>
      <c r="R313" s="24" t="s">
        <v>901</v>
      </c>
      <c r="S313" s="24" t="s">
        <v>28</v>
      </c>
      <c r="T313" s="9" t="s">
        <v>29</v>
      </c>
    </row>
    <row r="314" spans="1:20" ht="36" customHeight="1">
      <c r="A314" s="6">
        <f t="shared" si="31"/>
        <v>313</v>
      </c>
      <c r="B314" s="23" t="s">
        <v>1007</v>
      </c>
      <c r="C314" s="32" t="s">
        <v>1008</v>
      </c>
      <c r="D314" s="24" t="s">
        <v>26</v>
      </c>
      <c r="E314" s="28">
        <v>28854</v>
      </c>
      <c r="F314" s="11">
        <f t="shared" ca="1" si="32"/>
        <v>44.978082191780821</v>
      </c>
      <c r="G314" s="11">
        <f t="shared" si="33"/>
        <v>12</v>
      </c>
      <c r="H314" s="11">
        <f t="shared" si="34"/>
        <v>30</v>
      </c>
      <c r="I314" s="28">
        <v>40035</v>
      </c>
      <c r="J314" s="9" t="s">
        <v>32</v>
      </c>
      <c r="K314" s="9" t="s">
        <v>1009</v>
      </c>
      <c r="L314" s="24" t="s">
        <v>89</v>
      </c>
      <c r="M314" s="9" t="s">
        <v>491</v>
      </c>
      <c r="N314" s="19">
        <v>11.5</v>
      </c>
      <c r="O314" s="12">
        <f t="shared" ca="1" si="29"/>
        <v>14.345205479452055</v>
      </c>
      <c r="P314" s="12">
        <f t="shared" ca="1" si="30"/>
        <v>25.845205479452055</v>
      </c>
      <c r="Q314" s="34" t="s">
        <v>26</v>
      </c>
      <c r="R314" s="24"/>
      <c r="S314" s="24" t="s">
        <v>28</v>
      </c>
      <c r="T314" s="9" t="s">
        <v>492</v>
      </c>
    </row>
    <row r="315" spans="1:20" ht="36" customHeight="1">
      <c r="A315" s="6">
        <f t="shared" si="31"/>
        <v>314</v>
      </c>
      <c r="B315" s="23" t="s">
        <v>1010</v>
      </c>
      <c r="C315" s="32" t="s">
        <v>1011</v>
      </c>
      <c r="D315" s="24" t="s">
        <v>26</v>
      </c>
      <c r="E315" s="28">
        <v>29748</v>
      </c>
      <c r="F315" s="11">
        <f t="shared" ca="1" si="32"/>
        <v>42.528767123287672</v>
      </c>
      <c r="G315" s="11">
        <f t="shared" si="33"/>
        <v>6</v>
      </c>
      <c r="H315" s="11">
        <f t="shared" si="34"/>
        <v>11</v>
      </c>
      <c r="I315" s="28">
        <v>40052</v>
      </c>
      <c r="J315" s="9" t="s">
        <v>110</v>
      </c>
      <c r="K315" s="9" t="s">
        <v>278</v>
      </c>
      <c r="L315" s="9" t="s">
        <v>34</v>
      </c>
      <c r="M315" s="9" t="s">
        <v>134</v>
      </c>
      <c r="N315" s="33">
        <v>4</v>
      </c>
      <c r="O315" s="12">
        <f t="shared" ca="1" si="29"/>
        <v>14.298630136986301</v>
      </c>
      <c r="P315" s="12">
        <f t="shared" ca="1" si="30"/>
        <v>18.298630136986301</v>
      </c>
      <c r="Q315" s="34" t="s">
        <v>26</v>
      </c>
      <c r="R315" s="24" t="s">
        <v>901</v>
      </c>
      <c r="S315" s="24" t="s">
        <v>36</v>
      </c>
      <c r="T315" s="9" t="s">
        <v>137</v>
      </c>
    </row>
    <row r="316" spans="1:20" ht="36" customHeight="1">
      <c r="A316" s="6">
        <f t="shared" si="31"/>
        <v>315</v>
      </c>
      <c r="B316" s="40" t="s">
        <v>1012</v>
      </c>
      <c r="C316" s="41" t="s">
        <v>1013</v>
      </c>
      <c r="D316" s="39" t="s">
        <v>26</v>
      </c>
      <c r="E316" s="42">
        <v>21078</v>
      </c>
      <c r="F316" s="11">
        <f t="shared" ca="1" si="32"/>
        <v>66.282191780821918</v>
      </c>
      <c r="G316" s="11">
        <f t="shared" si="33"/>
        <v>9</v>
      </c>
      <c r="H316" s="11">
        <f t="shared" si="34"/>
        <v>15</v>
      </c>
      <c r="I316" s="42">
        <v>40056</v>
      </c>
      <c r="J316" s="39" t="s">
        <v>125</v>
      </c>
      <c r="K316" s="39" t="s">
        <v>126</v>
      </c>
      <c r="L316" s="39" t="s">
        <v>127</v>
      </c>
      <c r="M316" s="9" t="s">
        <v>134</v>
      </c>
      <c r="N316" s="43">
        <v>28</v>
      </c>
      <c r="O316" s="12">
        <f t="shared" ca="1" si="29"/>
        <v>14.287671232876713</v>
      </c>
      <c r="P316" s="12">
        <f t="shared" ca="1" si="30"/>
        <v>42.287671232876711</v>
      </c>
      <c r="Q316" s="44" t="s">
        <v>26</v>
      </c>
      <c r="R316" s="39" t="s">
        <v>922</v>
      </c>
      <c r="S316" s="39" t="s">
        <v>28</v>
      </c>
      <c r="T316" s="9" t="s">
        <v>29</v>
      </c>
    </row>
    <row r="317" spans="1:20" ht="36" customHeight="1">
      <c r="A317" s="6">
        <f t="shared" si="31"/>
        <v>316</v>
      </c>
      <c r="B317" s="40" t="s">
        <v>1014</v>
      </c>
      <c r="C317" s="41" t="s">
        <v>1015</v>
      </c>
      <c r="D317" s="39" t="s">
        <v>26</v>
      </c>
      <c r="E317" s="42">
        <v>26963</v>
      </c>
      <c r="F317" s="11">
        <f t="shared" ca="1" si="32"/>
        <v>50.158904109589038</v>
      </c>
      <c r="G317" s="11">
        <f t="shared" si="33"/>
        <v>10</v>
      </c>
      <c r="H317" s="11">
        <f t="shared" si="34"/>
        <v>26</v>
      </c>
      <c r="I317" s="42">
        <v>40057</v>
      </c>
      <c r="J317" s="9" t="s">
        <v>32</v>
      </c>
      <c r="K317" s="9" t="s">
        <v>313</v>
      </c>
      <c r="L317" s="9" t="s">
        <v>263</v>
      </c>
      <c r="M317" s="9" t="s">
        <v>25</v>
      </c>
      <c r="N317" s="43">
        <v>11</v>
      </c>
      <c r="O317" s="12">
        <f t="shared" ca="1" si="29"/>
        <v>14.284931506849315</v>
      </c>
      <c r="P317" s="12">
        <f t="shared" ca="1" si="30"/>
        <v>25.284931506849315</v>
      </c>
      <c r="Q317" s="44" t="s">
        <v>26</v>
      </c>
      <c r="R317" s="39" t="s">
        <v>901</v>
      </c>
      <c r="S317" s="39" t="s">
        <v>28</v>
      </c>
      <c r="T317" s="9" t="s">
        <v>29</v>
      </c>
    </row>
    <row r="318" spans="1:20" ht="36" customHeight="1">
      <c r="A318" s="6">
        <f t="shared" si="31"/>
        <v>317</v>
      </c>
      <c r="B318" s="40" t="s">
        <v>1016</v>
      </c>
      <c r="C318" s="41" t="s">
        <v>1017</v>
      </c>
      <c r="D318" s="39" t="s">
        <v>26</v>
      </c>
      <c r="E318" s="42">
        <v>28285</v>
      </c>
      <c r="F318" s="11">
        <f t="shared" ca="1" si="32"/>
        <v>46.536986301369865</v>
      </c>
      <c r="G318" s="11">
        <f t="shared" si="33"/>
        <v>6</v>
      </c>
      <c r="H318" s="11">
        <f t="shared" si="34"/>
        <v>9</v>
      </c>
      <c r="I318" s="42">
        <v>40058</v>
      </c>
      <c r="J318" s="9" t="s">
        <v>87</v>
      </c>
      <c r="K318" s="9" t="s">
        <v>1018</v>
      </c>
      <c r="L318" s="9" t="s">
        <v>147</v>
      </c>
      <c r="M318" s="9" t="s">
        <v>156</v>
      </c>
      <c r="N318" s="43">
        <v>4</v>
      </c>
      <c r="O318" s="12">
        <f t="shared" ca="1" si="29"/>
        <v>14.282191780821918</v>
      </c>
      <c r="P318" s="12">
        <f t="shared" ca="1" si="30"/>
        <v>18.282191780821918</v>
      </c>
      <c r="Q318" s="44" t="s">
        <v>26</v>
      </c>
      <c r="R318" s="39" t="s">
        <v>901</v>
      </c>
      <c r="S318" s="24" t="s">
        <v>28</v>
      </c>
      <c r="T318" s="9" t="s">
        <v>29</v>
      </c>
    </row>
    <row r="319" spans="1:20" ht="36" customHeight="1">
      <c r="A319" s="6">
        <f t="shared" si="31"/>
        <v>318</v>
      </c>
      <c r="B319" s="40" t="s">
        <v>1019</v>
      </c>
      <c r="C319" s="41" t="s">
        <v>1020</v>
      </c>
      <c r="D319" s="39" t="s">
        <v>26</v>
      </c>
      <c r="E319" s="42">
        <v>31644</v>
      </c>
      <c r="F319" s="11">
        <f t="shared" ca="1" si="32"/>
        <v>37.334246575342469</v>
      </c>
      <c r="G319" s="11">
        <f t="shared" si="33"/>
        <v>8</v>
      </c>
      <c r="H319" s="11">
        <f t="shared" si="34"/>
        <v>20</v>
      </c>
      <c r="I319" s="42">
        <v>40057</v>
      </c>
      <c r="J319" s="9" t="s">
        <v>87</v>
      </c>
      <c r="K319" s="9" t="s">
        <v>757</v>
      </c>
      <c r="L319" s="9" t="s">
        <v>724</v>
      </c>
      <c r="M319" s="9" t="s">
        <v>134</v>
      </c>
      <c r="N319" s="43">
        <v>4</v>
      </c>
      <c r="O319" s="12">
        <f t="shared" ca="1" si="29"/>
        <v>14.284931506849315</v>
      </c>
      <c r="P319" s="12">
        <f t="shared" ca="1" si="30"/>
        <v>18.284931506849315</v>
      </c>
      <c r="Q319" s="44" t="s">
        <v>68</v>
      </c>
      <c r="R319" s="39" t="s">
        <v>922</v>
      </c>
      <c r="S319" s="9" t="s">
        <v>36</v>
      </c>
      <c r="T319" s="9" t="s">
        <v>137</v>
      </c>
    </row>
    <row r="320" spans="1:20" ht="36" customHeight="1">
      <c r="A320" s="6">
        <f t="shared" si="31"/>
        <v>319</v>
      </c>
      <c r="B320" s="40" t="s">
        <v>1021</v>
      </c>
      <c r="C320" s="41" t="s">
        <v>1022</v>
      </c>
      <c r="D320" s="39" t="s">
        <v>26</v>
      </c>
      <c r="E320" s="42">
        <v>25630</v>
      </c>
      <c r="F320" s="11">
        <f t="shared" ca="1" si="32"/>
        <v>53.81095890410959</v>
      </c>
      <c r="G320" s="11">
        <f t="shared" si="33"/>
        <v>3</v>
      </c>
      <c r="H320" s="11">
        <f t="shared" si="34"/>
        <v>3</v>
      </c>
      <c r="I320" s="42">
        <v>40058</v>
      </c>
      <c r="J320" s="9" t="s">
        <v>87</v>
      </c>
      <c r="K320" s="9" t="s">
        <v>670</v>
      </c>
      <c r="L320" s="9" t="s">
        <v>377</v>
      </c>
      <c r="M320" s="9" t="s">
        <v>134</v>
      </c>
      <c r="N320" s="43">
        <v>18</v>
      </c>
      <c r="O320" s="12">
        <f t="shared" ca="1" si="29"/>
        <v>14.282191780821918</v>
      </c>
      <c r="P320" s="12">
        <f t="shared" ca="1" si="30"/>
        <v>32.282191780821918</v>
      </c>
      <c r="Q320" s="44" t="s">
        <v>26</v>
      </c>
      <c r="R320" s="9" t="s">
        <v>442</v>
      </c>
      <c r="S320" s="39" t="s">
        <v>36</v>
      </c>
      <c r="T320" s="9" t="s">
        <v>137</v>
      </c>
    </row>
    <row r="321" spans="1:20" ht="36" customHeight="1">
      <c r="A321" s="6">
        <f t="shared" si="31"/>
        <v>320</v>
      </c>
      <c r="B321" s="23" t="s">
        <v>1023</v>
      </c>
      <c r="C321" s="32" t="s">
        <v>1024</v>
      </c>
      <c r="D321" s="24" t="s">
        <v>26</v>
      </c>
      <c r="E321" s="28">
        <v>24623</v>
      </c>
      <c r="F321" s="11">
        <f t="shared" ca="1" si="32"/>
        <v>56.56986301369863</v>
      </c>
      <c r="G321" s="11">
        <f t="shared" si="33"/>
        <v>5</v>
      </c>
      <c r="H321" s="11">
        <f t="shared" si="34"/>
        <v>31</v>
      </c>
      <c r="I321" s="28">
        <v>40056</v>
      </c>
      <c r="J321" s="9" t="s">
        <v>87</v>
      </c>
      <c r="K321" s="9" t="s">
        <v>1025</v>
      </c>
      <c r="L321" s="9" t="s">
        <v>563</v>
      </c>
      <c r="M321" s="9" t="s">
        <v>134</v>
      </c>
      <c r="N321" s="33">
        <v>12</v>
      </c>
      <c r="O321" s="12">
        <f t="shared" ca="1" si="29"/>
        <v>14.287671232876713</v>
      </c>
      <c r="P321" s="12">
        <f t="shared" ca="1" si="30"/>
        <v>26.287671232876711</v>
      </c>
      <c r="Q321" s="34" t="s">
        <v>26</v>
      </c>
      <c r="R321" s="24" t="s">
        <v>901</v>
      </c>
      <c r="S321" s="24" t="s">
        <v>36</v>
      </c>
      <c r="T321" s="9" t="s">
        <v>137</v>
      </c>
    </row>
    <row r="322" spans="1:20" ht="36" customHeight="1">
      <c r="A322" s="6">
        <f t="shared" si="31"/>
        <v>321</v>
      </c>
      <c r="B322" s="23" t="s">
        <v>1026</v>
      </c>
      <c r="C322" s="32" t="s">
        <v>1027</v>
      </c>
      <c r="D322" s="24" t="s">
        <v>26</v>
      </c>
      <c r="E322" s="28">
        <v>31722</v>
      </c>
      <c r="F322" s="11">
        <f t="shared" ca="1" si="32"/>
        <v>37.12054794520548</v>
      </c>
      <c r="G322" s="11">
        <f t="shared" si="33"/>
        <v>11</v>
      </c>
      <c r="H322" s="11">
        <f t="shared" si="34"/>
        <v>6</v>
      </c>
      <c r="I322" s="28">
        <v>40061</v>
      </c>
      <c r="J322" s="9" t="s">
        <v>87</v>
      </c>
      <c r="K322" s="9" t="s">
        <v>998</v>
      </c>
      <c r="L322" s="9" t="s">
        <v>724</v>
      </c>
      <c r="M322" s="9" t="s">
        <v>134</v>
      </c>
      <c r="N322" s="33">
        <v>2</v>
      </c>
      <c r="O322" s="12">
        <f t="shared" ref="O322:O385" ca="1" si="35">(TODAY()-I322)/365</f>
        <v>14.273972602739725</v>
      </c>
      <c r="P322" s="12">
        <f t="shared" ref="P322:P385" ca="1" si="36">SUM(N322+O322)</f>
        <v>16.273972602739725</v>
      </c>
      <c r="Q322" s="34" t="s">
        <v>26</v>
      </c>
      <c r="R322" s="24"/>
      <c r="S322" s="24" t="s">
        <v>36</v>
      </c>
      <c r="T322" s="9" t="s">
        <v>137</v>
      </c>
    </row>
    <row r="323" spans="1:20" ht="36" customHeight="1">
      <c r="A323" s="6">
        <f t="shared" si="31"/>
        <v>322</v>
      </c>
      <c r="B323" s="23" t="s">
        <v>1028</v>
      </c>
      <c r="C323" s="32" t="s">
        <v>1029</v>
      </c>
      <c r="D323" s="24" t="s">
        <v>26</v>
      </c>
      <c r="E323" s="28">
        <v>24601</v>
      </c>
      <c r="F323" s="11">
        <f t="shared" ca="1" si="32"/>
        <v>56.630136986301373</v>
      </c>
      <c r="G323" s="11">
        <f t="shared" si="33"/>
        <v>5</v>
      </c>
      <c r="H323" s="11">
        <f t="shared" si="34"/>
        <v>9</v>
      </c>
      <c r="I323" s="28">
        <v>40063</v>
      </c>
      <c r="J323" s="9" t="s">
        <v>132</v>
      </c>
      <c r="K323" s="9" t="s">
        <v>1030</v>
      </c>
      <c r="L323" s="9" t="s">
        <v>34</v>
      </c>
      <c r="M323" s="9" t="s">
        <v>35</v>
      </c>
      <c r="N323" s="33">
        <v>9</v>
      </c>
      <c r="O323" s="12">
        <f t="shared" ca="1" si="35"/>
        <v>14.268493150684931</v>
      </c>
      <c r="P323" s="12">
        <f t="shared" ca="1" si="36"/>
        <v>23.268493150684932</v>
      </c>
      <c r="Q323" s="34" t="s">
        <v>26</v>
      </c>
      <c r="R323" s="24" t="s">
        <v>901</v>
      </c>
      <c r="S323" s="24" t="s">
        <v>1031</v>
      </c>
      <c r="T323" s="9" t="s">
        <v>1032</v>
      </c>
    </row>
    <row r="324" spans="1:20" ht="36" customHeight="1">
      <c r="A324" s="6">
        <f t="shared" ref="A324:A387" si="37">+A323+1</f>
        <v>323</v>
      </c>
      <c r="B324" s="23" t="s">
        <v>1033</v>
      </c>
      <c r="C324" s="32" t="s">
        <v>1034</v>
      </c>
      <c r="D324" s="24" t="s">
        <v>21</v>
      </c>
      <c r="E324" s="28">
        <v>24737</v>
      </c>
      <c r="F324" s="11">
        <f t="shared" ca="1" si="32"/>
        <v>56.257534246575339</v>
      </c>
      <c r="G324" s="11">
        <f t="shared" si="33"/>
        <v>9</v>
      </c>
      <c r="H324" s="11">
        <f t="shared" si="34"/>
        <v>22</v>
      </c>
      <c r="I324" s="28">
        <v>40063</v>
      </c>
      <c r="J324" s="9" t="s">
        <v>50</v>
      </c>
      <c r="K324" s="9" t="s">
        <v>146</v>
      </c>
      <c r="L324" s="9" t="s">
        <v>147</v>
      </c>
      <c r="M324" s="9" t="s">
        <v>134</v>
      </c>
      <c r="N324" s="33">
        <v>21</v>
      </c>
      <c r="O324" s="12">
        <f t="shared" ca="1" si="35"/>
        <v>14.268493150684931</v>
      </c>
      <c r="P324" s="12">
        <f t="shared" ca="1" si="36"/>
        <v>35.268493150684932</v>
      </c>
      <c r="Q324" s="34" t="s">
        <v>26</v>
      </c>
      <c r="R324" s="24"/>
      <c r="S324" s="24" t="s">
        <v>28</v>
      </c>
      <c r="T324" s="9" t="s">
        <v>29</v>
      </c>
    </row>
    <row r="325" spans="1:20" ht="36" customHeight="1">
      <c r="A325" s="6">
        <f t="shared" si="37"/>
        <v>324</v>
      </c>
      <c r="B325" s="23" t="s">
        <v>1035</v>
      </c>
      <c r="C325" s="32" t="s">
        <v>1036</v>
      </c>
      <c r="D325" s="24" t="s">
        <v>26</v>
      </c>
      <c r="E325" s="28">
        <v>29467</v>
      </c>
      <c r="F325" s="11">
        <f t="shared" ca="1" si="32"/>
        <v>43.298630136986304</v>
      </c>
      <c r="G325" s="11">
        <f t="shared" si="33"/>
        <v>9</v>
      </c>
      <c r="H325" s="11">
        <f t="shared" si="34"/>
        <v>3</v>
      </c>
      <c r="I325" s="28">
        <v>40065</v>
      </c>
      <c r="J325" s="9" t="s">
        <v>32</v>
      </c>
      <c r="K325" s="9" t="s">
        <v>1037</v>
      </c>
      <c r="L325" s="9" t="s">
        <v>34</v>
      </c>
      <c r="M325" s="9" t="s">
        <v>156</v>
      </c>
      <c r="N325" s="33">
        <v>6</v>
      </c>
      <c r="O325" s="12">
        <f t="shared" ca="1" si="35"/>
        <v>14.263013698630138</v>
      </c>
      <c r="P325" s="12">
        <f t="shared" ca="1" si="36"/>
        <v>20.263013698630139</v>
      </c>
      <c r="Q325" s="34" t="s">
        <v>26</v>
      </c>
      <c r="R325" s="24" t="s">
        <v>901</v>
      </c>
      <c r="S325" s="9" t="s">
        <v>28</v>
      </c>
      <c r="T325" s="9" t="s">
        <v>29</v>
      </c>
    </row>
    <row r="326" spans="1:20" ht="36" customHeight="1">
      <c r="A326" s="6">
        <f t="shared" si="37"/>
        <v>325</v>
      </c>
      <c r="B326" s="23" t="s">
        <v>1038</v>
      </c>
      <c r="C326" s="32" t="s">
        <v>1039</v>
      </c>
      <c r="D326" s="24" t="s">
        <v>26</v>
      </c>
      <c r="E326" s="28">
        <v>26073</v>
      </c>
      <c r="F326" s="11">
        <f t="shared" ca="1" si="32"/>
        <v>52.597260273972601</v>
      </c>
      <c r="G326" s="11">
        <f t="shared" si="33"/>
        <v>5</v>
      </c>
      <c r="H326" s="11">
        <f t="shared" si="34"/>
        <v>20</v>
      </c>
      <c r="I326" s="28">
        <v>40066</v>
      </c>
      <c r="J326" s="9" t="s">
        <v>32</v>
      </c>
      <c r="K326" s="9" t="s">
        <v>1040</v>
      </c>
      <c r="L326" s="9" t="s">
        <v>724</v>
      </c>
      <c r="M326" s="9" t="s">
        <v>134</v>
      </c>
      <c r="N326" s="33">
        <v>14</v>
      </c>
      <c r="O326" s="12">
        <f t="shared" ca="1" si="35"/>
        <v>14.260273972602739</v>
      </c>
      <c r="P326" s="12">
        <f t="shared" ca="1" si="36"/>
        <v>28.260273972602739</v>
      </c>
      <c r="Q326" s="34" t="s">
        <v>26</v>
      </c>
      <c r="R326" s="24" t="s">
        <v>922</v>
      </c>
      <c r="S326" s="24" t="s">
        <v>36</v>
      </c>
      <c r="T326" s="9" t="s">
        <v>137</v>
      </c>
    </row>
    <row r="327" spans="1:20" ht="36" customHeight="1">
      <c r="A327" s="6">
        <f t="shared" si="37"/>
        <v>326</v>
      </c>
      <c r="B327" s="23" t="s">
        <v>1041</v>
      </c>
      <c r="C327" s="32" t="s">
        <v>1042</v>
      </c>
      <c r="D327" s="24" t="s">
        <v>26</v>
      </c>
      <c r="E327" s="28">
        <v>29554</v>
      </c>
      <c r="F327" s="11">
        <f t="shared" ca="1" si="32"/>
        <v>43.060273972602737</v>
      </c>
      <c r="G327" s="11">
        <f t="shared" si="33"/>
        <v>11</v>
      </c>
      <c r="H327" s="11">
        <f t="shared" si="34"/>
        <v>29</v>
      </c>
      <c r="I327" s="28">
        <v>40070</v>
      </c>
      <c r="J327" s="9" t="s">
        <v>22</v>
      </c>
      <c r="K327" s="9" t="s">
        <v>203</v>
      </c>
      <c r="L327" s="9" t="s">
        <v>204</v>
      </c>
      <c r="M327" s="9" t="s">
        <v>356</v>
      </c>
      <c r="N327" s="33">
        <v>7</v>
      </c>
      <c r="O327" s="12">
        <f t="shared" ca="1" si="35"/>
        <v>14.24931506849315</v>
      </c>
      <c r="P327" s="12">
        <f t="shared" ca="1" si="36"/>
        <v>21.24931506849315</v>
      </c>
      <c r="Q327" s="34" t="s">
        <v>26</v>
      </c>
      <c r="R327" s="24" t="s">
        <v>901</v>
      </c>
      <c r="S327" s="24" t="s">
        <v>28</v>
      </c>
      <c r="T327" s="9" t="s">
        <v>29</v>
      </c>
    </row>
    <row r="328" spans="1:20" ht="36" customHeight="1">
      <c r="A328" s="6">
        <f t="shared" si="37"/>
        <v>327</v>
      </c>
      <c r="B328" s="23" t="s">
        <v>1044</v>
      </c>
      <c r="C328" s="32" t="s">
        <v>1045</v>
      </c>
      <c r="D328" s="24" t="s">
        <v>26</v>
      </c>
      <c r="E328" s="28">
        <v>31645</v>
      </c>
      <c r="F328" s="11">
        <f t="shared" ca="1" si="32"/>
        <v>37.331506849315069</v>
      </c>
      <c r="G328" s="11">
        <f t="shared" si="33"/>
        <v>8</v>
      </c>
      <c r="H328" s="11">
        <f t="shared" si="34"/>
        <v>21</v>
      </c>
      <c r="I328" s="28">
        <v>40070</v>
      </c>
      <c r="J328" s="9" t="s">
        <v>41</v>
      </c>
      <c r="K328" s="9" t="s">
        <v>341</v>
      </c>
      <c r="L328" s="24" t="s">
        <v>34</v>
      </c>
      <c r="M328" s="9" t="s">
        <v>35</v>
      </c>
      <c r="N328" s="33">
        <v>1</v>
      </c>
      <c r="O328" s="12">
        <f t="shared" ca="1" si="35"/>
        <v>14.24931506849315</v>
      </c>
      <c r="P328" s="12">
        <f t="shared" ca="1" si="36"/>
        <v>15.24931506849315</v>
      </c>
      <c r="Q328" s="34" t="s">
        <v>68</v>
      </c>
      <c r="R328" s="24" t="s">
        <v>901</v>
      </c>
      <c r="S328" s="24" t="s">
        <v>36</v>
      </c>
      <c r="T328" s="9" t="s">
        <v>137</v>
      </c>
    </row>
    <row r="329" spans="1:20" ht="36" customHeight="1">
      <c r="A329" s="6">
        <f t="shared" si="37"/>
        <v>328</v>
      </c>
      <c r="B329" s="23" t="s">
        <v>1046</v>
      </c>
      <c r="C329" s="32" t="s">
        <v>1047</v>
      </c>
      <c r="D329" s="24" t="s">
        <v>26</v>
      </c>
      <c r="E329" s="28">
        <v>32167</v>
      </c>
      <c r="F329" s="11">
        <f t="shared" ca="1" si="32"/>
        <v>35.901369863013699</v>
      </c>
      <c r="G329" s="11">
        <f t="shared" si="33"/>
        <v>1</v>
      </c>
      <c r="H329" s="11">
        <f t="shared" si="34"/>
        <v>25</v>
      </c>
      <c r="I329" s="28">
        <v>40073</v>
      </c>
      <c r="J329" s="9" t="s">
        <v>226</v>
      </c>
      <c r="K329" s="9" t="s">
        <v>341</v>
      </c>
      <c r="L329" s="9" t="s">
        <v>34</v>
      </c>
      <c r="M329" s="9" t="s">
        <v>35</v>
      </c>
      <c r="N329" s="33">
        <v>3</v>
      </c>
      <c r="O329" s="12">
        <f t="shared" ca="1" si="35"/>
        <v>14.241095890410959</v>
      </c>
      <c r="P329" s="12">
        <f t="shared" ca="1" si="36"/>
        <v>17.241095890410961</v>
      </c>
      <c r="Q329" s="34" t="s">
        <v>26</v>
      </c>
      <c r="R329" s="24" t="s">
        <v>901</v>
      </c>
      <c r="S329" s="24" t="s">
        <v>36</v>
      </c>
      <c r="T329" s="9" t="s">
        <v>137</v>
      </c>
    </row>
    <row r="330" spans="1:20" ht="36" customHeight="1">
      <c r="A330" s="6">
        <f t="shared" si="37"/>
        <v>329</v>
      </c>
      <c r="B330" s="23" t="s">
        <v>1048</v>
      </c>
      <c r="C330" s="32" t="s">
        <v>1049</v>
      </c>
      <c r="D330" s="24" t="s">
        <v>26</v>
      </c>
      <c r="E330" s="28">
        <v>30083</v>
      </c>
      <c r="F330" s="11">
        <f t="shared" ca="1" si="32"/>
        <v>41.610958904109587</v>
      </c>
      <c r="G330" s="11">
        <f t="shared" si="33"/>
        <v>5</v>
      </c>
      <c r="H330" s="11">
        <f t="shared" si="34"/>
        <v>12</v>
      </c>
      <c r="I330" s="28">
        <v>40070</v>
      </c>
      <c r="J330" s="9" t="s">
        <v>87</v>
      </c>
      <c r="K330" s="9" t="s">
        <v>418</v>
      </c>
      <c r="L330" s="9" t="s">
        <v>147</v>
      </c>
      <c r="M330" s="9" t="s">
        <v>134</v>
      </c>
      <c r="N330" s="33">
        <v>2</v>
      </c>
      <c r="O330" s="12">
        <f t="shared" ca="1" si="35"/>
        <v>14.24931506849315</v>
      </c>
      <c r="P330" s="12">
        <f t="shared" ca="1" si="36"/>
        <v>16.24931506849315</v>
      </c>
      <c r="Q330" s="34" t="s">
        <v>68</v>
      </c>
      <c r="R330" s="24" t="s">
        <v>901</v>
      </c>
      <c r="S330" s="24" t="s">
        <v>36</v>
      </c>
      <c r="T330" s="9" t="s">
        <v>137</v>
      </c>
    </row>
    <row r="331" spans="1:20" ht="36" customHeight="1">
      <c r="A331" s="6">
        <f t="shared" si="37"/>
        <v>330</v>
      </c>
      <c r="B331" s="23" t="s">
        <v>1050</v>
      </c>
      <c r="C331" s="32" t="s">
        <v>1051</v>
      </c>
      <c r="D331" s="24" t="s">
        <v>26</v>
      </c>
      <c r="E331" s="28">
        <v>24613</v>
      </c>
      <c r="F331" s="11">
        <f t="shared" ca="1" si="32"/>
        <v>56.597260273972601</v>
      </c>
      <c r="G331" s="11">
        <f t="shared" si="33"/>
        <v>5</v>
      </c>
      <c r="H331" s="11">
        <f t="shared" si="34"/>
        <v>21</v>
      </c>
      <c r="I331" s="28">
        <v>40077</v>
      </c>
      <c r="J331" s="9" t="s">
        <v>58</v>
      </c>
      <c r="K331" s="9" t="s">
        <v>1052</v>
      </c>
      <c r="L331" s="9" t="s">
        <v>675</v>
      </c>
      <c r="M331" s="9" t="s">
        <v>134</v>
      </c>
      <c r="N331" s="33">
        <v>20</v>
      </c>
      <c r="O331" s="12">
        <f t="shared" ca="1" si="35"/>
        <v>14.230136986301369</v>
      </c>
      <c r="P331" s="12">
        <f t="shared" ca="1" si="36"/>
        <v>34.230136986301368</v>
      </c>
      <c r="Q331" s="34" t="s">
        <v>26</v>
      </c>
      <c r="R331" s="24" t="s">
        <v>901</v>
      </c>
      <c r="S331" s="24" t="s">
        <v>36</v>
      </c>
      <c r="T331" s="9" t="s">
        <v>137</v>
      </c>
    </row>
    <row r="332" spans="1:20" ht="36" customHeight="1">
      <c r="A332" s="6">
        <f t="shared" si="37"/>
        <v>331</v>
      </c>
      <c r="B332" s="23" t="s">
        <v>1053</v>
      </c>
      <c r="C332" s="32" t="s">
        <v>1054</v>
      </c>
      <c r="D332" s="24" t="s">
        <v>26</v>
      </c>
      <c r="E332" s="28">
        <v>30199</v>
      </c>
      <c r="F332" s="11">
        <f t="shared" ca="1" si="32"/>
        <v>41.293150684931504</v>
      </c>
      <c r="G332" s="11">
        <f t="shared" si="33"/>
        <v>9</v>
      </c>
      <c r="H332" s="11">
        <f t="shared" si="34"/>
        <v>5</v>
      </c>
      <c r="I332" s="28">
        <v>40077</v>
      </c>
      <c r="J332" s="9" t="s">
        <v>1055</v>
      </c>
      <c r="K332" s="9" t="s">
        <v>1056</v>
      </c>
      <c r="L332" s="9" t="s">
        <v>724</v>
      </c>
      <c r="M332" s="9" t="s">
        <v>134</v>
      </c>
      <c r="N332" s="33">
        <v>5</v>
      </c>
      <c r="O332" s="12">
        <f t="shared" ca="1" si="35"/>
        <v>14.230136986301369</v>
      </c>
      <c r="P332" s="12">
        <f t="shared" ca="1" si="36"/>
        <v>19.230136986301368</v>
      </c>
      <c r="Q332" s="34" t="s">
        <v>68</v>
      </c>
      <c r="R332" s="24" t="s">
        <v>901</v>
      </c>
      <c r="S332" s="24" t="s">
        <v>36</v>
      </c>
      <c r="T332" s="9" t="s">
        <v>137</v>
      </c>
    </row>
    <row r="333" spans="1:20" ht="36" customHeight="1">
      <c r="A333" s="6">
        <f t="shared" si="37"/>
        <v>332</v>
      </c>
      <c r="B333" s="23" t="s">
        <v>1057</v>
      </c>
      <c r="C333" s="32" t="s">
        <v>1058</v>
      </c>
      <c r="D333" s="24" t="s">
        <v>26</v>
      </c>
      <c r="E333" s="28">
        <v>29385</v>
      </c>
      <c r="F333" s="11">
        <f t="shared" ca="1" si="32"/>
        <v>43.523287671232879</v>
      </c>
      <c r="G333" s="33">
        <f t="shared" si="33"/>
        <v>6</v>
      </c>
      <c r="H333" s="33">
        <f t="shared" si="34"/>
        <v>13</v>
      </c>
      <c r="I333" s="28">
        <v>40079</v>
      </c>
      <c r="J333" s="9" t="s">
        <v>110</v>
      </c>
      <c r="K333" s="9" t="s">
        <v>495</v>
      </c>
      <c r="L333" s="9" t="s">
        <v>147</v>
      </c>
      <c r="M333" s="9" t="s">
        <v>134</v>
      </c>
      <c r="N333" s="33">
        <v>7</v>
      </c>
      <c r="O333" s="12">
        <f t="shared" ca="1" si="35"/>
        <v>14.224657534246575</v>
      </c>
      <c r="P333" s="12">
        <f t="shared" ca="1" si="36"/>
        <v>21.224657534246575</v>
      </c>
      <c r="Q333" s="34" t="s">
        <v>26</v>
      </c>
      <c r="R333" s="24" t="s">
        <v>901</v>
      </c>
      <c r="S333" s="24" t="s">
        <v>36</v>
      </c>
      <c r="T333" s="9" t="s">
        <v>137</v>
      </c>
    </row>
    <row r="334" spans="1:20" ht="36" customHeight="1">
      <c r="A334" s="6">
        <f t="shared" si="37"/>
        <v>333</v>
      </c>
      <c r="B334" s="23" t="s">
        <v>1059</v>
      </c>
      <c r="C334" s="32" t="s">
        <v>1060</v>
      </c>
      <c r="D334" s="24" t="s">
        <v>26</v>
      </c>
      <c r="E334" s="28">
        <v>26288</v>
      </c>
      <c r="F334" s="11">
        <f t="shared" ca="1" si="32"/>
        <v>52.008219178082193</v>
      </c>
      <c r="G334" s="33">
        <f t="shared" si="33"/>
        <v>12</v>
      </c>
      <c r="H334" s="33">
        <f t="shared" si="34"/>
        <v>21</v>
      </c>
      <c r="I334" s="28">
        <v>40082</v>
      </c>
      <c r="J334" s="9" t="s">
        <v>32</v>
      </c>
      <c r="K334" s="9" t="s">
        <v>985</v>
      </c>
      <c r="L334" s="24" t="s">
        <v>490</v>
      </c>
      <c r="M334" s="9" t="s">
        <v>491</v>
      </c>
      <c r="N334" s="19">
        <v>17</v>
      </c>
      <c r="O334" s="12">
        <f t="shared" ca="1" si="35"/>
        <v>14.216438356164383</v>
      </c>
      <c r="P334" s="12">
        <f t="shared" ca="1" si="36"/>
        <v>31.216438356164382</v>
      </c>
      <c r="Q334" s="34" t="s">
        <v>26</v>
      </c>
      <c r="R334" s="9" t="s">
        <v>347</v>
      </c>
      <c r="S334" s="24" t="s">
        <v>28</v>
      </c>
      <c r="T334" s="9" t="s">
        <v>492</v>
      </c>
    </row>
    <row r="335" spans="1:20" ht="36" customHeight="1">
      <c r="A335" s="6">
        <f t="shared" si="37"/>
        <v>334</v>
      </c>
      <c r="B335" s="23" t="s">
        <v>1062</v>
      </c>
      <c r="C335" s="32" t="s">
        <v>1063</v>
      </c>
      <c r="D335" s="24" t="s">
        <v>26</v>
      </c>
      <c r="E335" s="28">
        <v>28621</v>
      </c>
      <c r="F335" s="11">
        <f t="shared" ca="1" si="32"/>
        <v>45.61643835616438</v>
      </c>
      <c r="G335" s="33">
        <f t="shared" si="33"/>
        <v>5</v>
      </c>
      <c r="H335" s="33">
        <f t="shared" si="34"/>
        <v>11</v>
      </c>
      <c r="I335" s="28">
        <v>40086</v>
      </c>
      <c r="J335" s="9" t="s">
        <v>226</v>
      </c>
      <c r="K335" s="9" t="s">
        <v>857</v>
      </c>
      <c r="L335" s="9" t="s">
        <v>377</v>
      </c>
      <c r="M335" s="9" t="s">
        <v>134</v>
      </c>
      <c r="N335" s="33">
        <v>11</v>
      </c>
      <c r="O335" s="12">
        <f t="shared" ca="1" si="35"/>
        <v>14.205479452054794</v>
      </c>
      <c r="P335" s="12">
        <f t="shared" ca="1" si="36"/>
        <v>25.205479452054796</v>
      </c>
      <c r="Q335" s="34" t="s">
        <v>26</v>
      </c>
      <c r="R335" s="24" t="s">
        <v>901</v>
      </c>
      <c r="S335" s="24" t="s">
        <v>36</v>
      </c>
      <c r="T335" s="9" t="s">
        <v>137</v>
      </c>
    </row>
    <row r="336" spans="1:20" ht="36" customHeight="1">
      <c r="A336" s="6">
        <f t="shared" si="37"/>
        <v>335</v>
      </c>
      <c r="B336" s="23" t="s">
        <v>1064</v>
      </c>
      <c r="C336" s="32" t="s">
        <v>1065</v>
      </c>
      <c r="D336" s="24" t="s">
        <v>26</v>
      </c>
      <c r="E336" s="28">
        <v>25389</v>
      </c>
      <c r="F336" s="11">
        <f t="shared" ca="1" si="32"/>
        <v>54.471232876712328</v>
      </c>
      <c r="G336" s="33">
        <f t="shared" si="33"/>
        <v>7</v>
      </c>
      <c r="H336" s="33">
        <f t="shared" si="34"/>
        <v>5</v>
      </c>
      <c r="I336" s="28">
        <v>40085</v>
      </c>
      <c r="J336" s="9" t="s">
        <v>50</v>
      </c>
      <c r="K336" s="9" t="s">
        <v>815</v>
      </c>
      <c r="L336" s="9" t="s">
        <v>563</v>
      </c>
      <c r="M336" s="9" t="s">
        <v>134</v>
      </c>
      <c r="N336" s="33">
        <v>12</v>
      </c>
      <c r="O336" s="12">
        <f t="shared" ca="1" si="35"/>
        <v>14.208219178082192</v>
      </c>
      <c r="P336" s="12">
        <f t="shared" ca="1" si="36"/>
        <v>26.208219178082192</v>
      </c>
      <c r="Q336" s="34" t="s">
        <v>26</v>
      </c>
      <c r="R336" s="24" t="s">
        <v>901</v>
      </c>
      <c r="S336" s="24" t="s">
        <v>36</v>
      </c>
      <c r="T336" s="9" t="s">
        <v>137</v>
      </c>
    </row>
    <row r="337" spans="1:20" ht="36" customHeight="1">
      <c r="A337" s="6">
        <f t="shared" si="37"/>
        <v>336</v>
      </c>
      <c r="B337" s="23" t="s">
        <v>1066</v>
      </c>
      <c r="C337" s="32" t="s">
        <v>1067</v>
      </c>
      <c r="D337" s="24" t="s">
        <v>26</v>
      </c>
      <c r="E337" s="28">
        <v>26912</v>
      </c>
      <c r="F337" s="11">
        <f t="shared" ca="1" si="32"/>
        <v>50.298630136986304</v>
      </c>
      <c r="G337" s="33">
        <f t="shared" si="33"/>
        <v>9</v>
      </c>
      <c r="H337" s="33">
        <f t="shared" si="34"/>
        <v>5</v>
      </c>
      <c r="I337" s="28">
        <v>40087</v>
      </c>
      <c r="J337" s="24" t="s">
        <v>58</v>
      </c>
      <c r="K337" s="24" t="s">
        <v>1068</v>
      </c>
      <c r="L337" s="24" t="s">
        <v>34</v>
      </c>
      <c r="M337" s="9" t="s">
        <v>35</v>
      </c>
      <c r="N337" s="33">
        <v>10</v>
      </c>
      <c r="O337" s="12">
        <f t="shared" ca="1" si="35"/>
        <v>14.202739726027398</v>
      </c>
      <c r="P337" s="12">
        <f t="shared" ca="1" si="36"/>
        <v>24.202739726027396</v>
      </c>
      <c r="Q337" s="34" t="s">
        <v>26</v>
      </c>
      <c r="R337" s="24" t="s">
        <v>901</v>
      </c>
      <c r="S337" s="24" t="s">
        <v>36</v>
      </c>
      <c r="T337" s="9" t="s">
        <v>976</v>
      </c>
    </row>
    <row r="338" spans="1:20" ht="36" customHeight="1">
      <c r="A338" s="6">
        <f t="shared" si="37"/>
        <v>337</v>
      </c>
      <c r="B338" s="23" t="s">
        <v>1069</v>
      </c>
      <c r="C338" s="32" t="s">
        <v>1070</v>
      </c>
      <c r="D338" s="24" t="s">
        <v>26</v>
      </c>
      <c r="E338" s="28">
        <v>31209</v>
      </c>
      <c r="F338" s="11">
        <f t="shared" ca="1" si="32"/>
        <v>38.526027397260272</v>
      </c>
      <c r="G338" s="33">
        <f t="shared" si="33"/>
        <v>6</v>
      </c>
      <c r="H338" s="33">
        <f t="shared" si="34"/>
        <v>11</v>
      </c>
      <c r="I338" s="28">
        <v>40087</v>
      </c>
      <c r="J338" s="9" t="s">
        <v>110</v>
      </c>
      <c r="K338" s="9" t="s">
        <v>212</v>
      </c>
      <c r="L338" s="24" t="s">
        <v>34</v>
      </c>
      <c r="M338" s="9" t="s">
        <v>35</v>
      </c>
      <c r="N338" s="33">
        <v>4</v>
      </c>
      <c r="O338" s="12">
        <f t="shared" ca="1" si="35"/>
        <v>14.202739726027398</v>
      </c>
      <c r="P338" s="12">
        <f t="shared" ca="1" si="36"/>
        <v>18.202739726027396</v>
      </c>
      <c r="Q338" s="34" t="s">
        <v>68</v>
      </c>
      <c r="R338" s="24" t="s">
        <v>901</v>
      </c>
      <c r="S338" s="24" t="s">
        <v>36</v>
      </c>
      <c r="T338" s="9" t="s">
        <v>1071</v>
      </c>
    </row>
    <row r="339" spans="1:20" ht="36" customHeight="1">
      <c r="A339" s="6">
        <f t="shared" si="37"/>
        <v>338</v>
      </c>
      <c r="B339" s="23" t="s">
        <v>1072</v>
      </c>
      <c r="C339" s="32" t="s">
        <v>1073</v>
      </c>
      <c r="D339" s="24" t="s">
        <v>26</v>
      </c>
      <c r="E339" s="28">
        <v>24289</v>
      </c>
      <c r="F339" s="11">
        <f t="shared" ca="1" si="32"/>
        <v>57.484931506849314</v>
      </c>
      <c r="G339" s="33">
        <f t="shared" si="33"/>
        <v>7</v>
      </c>
      <c r="H339" s="33">
        <f t="shared" si="34"/>
        <v>1</v>
      </c>
      <c r="I339" s="28">
        <v>40087</v>
      </c>
      <c r="J339" s="24" t="s">
        <v>32</v>
      </c>
      <c r="K339" s="24" t="s">
        <v>1074</v>
      </c>
      <c r="L339" s="24" t="s">
        <v>34</v>
      </c>
      <c r="M339" s="9" t="s">
        <v>205</v>
      </c>
      <c r="N339" s="33">
        <v>17</v>
      </c>
      <c r="O339" s="12">
        <f t="shared" ca="1" si="35"/>
        <v>14.202739726027398</v>
      </c>
      <c r="P339" s="12">
        <f t="shared" ca="1" si="36"/>
        <v>31.202739726027396</v>
      </c>
      <c r="Q339" s="34" t="s">
        <v>26</v>
      </c>
      <c r="R339" s="24" t="s">
        <v>901</v>
      </c>
      <c r="S339" s="24" t="s">
        <v>36</v>
      </c>
      <c r="T339" s="9" t="s">
        <v>137</v>
      </c>
    </row>
    <row r="340" spans="1:20" ht="36" customHeight="1">
      <c r="A340" s="6">
        <f t="shared" si="37"/>
        <v>339</v>
      </c>
      <c r="B340" s="23" t="s">
        <v>1075</v>
      </c>
      <c r="C340" s="32" t="s">
        <v>1076</v>
      </c>
      <c r="D340" s="24" t="s">
        <v>26</v>
      </c>
      <c r="E340" s="28">
        <v>30371</v>
      </c>
      <c r="F340" s="11">
        <f t="shared" ca="1" si="32"/>
        <v>40.821917808219176</v>
      </c>
      <c r="G340" s="33">
        <f t="shared" si="33"/>
        <v>2</v>
      </c>
      <c r="H340" s="33">
        <f t="shared" si="34"/>
        <v>24</v>
      </c>
      <c r="I340" s="28">
        <v>40085</v>
      </c>
      <c r="J340" s="9" t="s">
        <v>50</v>
      </c>
      <c r="K340" s="9" t="s">
        <v>146</v>
      </c>
      <c r="L340" s="24" t="s">
        <v>490</v>
      </c>
      <c r="M340" s="9" t="s">
        <v>491</v>
      </c>
      <c r="N340" s="19">
        <v>6</v>
      </c>
      <c r="O340" s="12">
        <f t="shared" ca="1" si="35"/>
        <v>14.208219178082192</v>
      </c>
      <c r="P340" s="12">
        <f t="shared" ca="1" si="36"/>
        <v>20.208219178082192</v>
      </c>
      <c r="Q340" s="34" t="s">
        <v>26</v>
      </c>
      <c r="R340" s="9" t="s">
        <v>792</v>
      </c>
      <c r="S340" s="24" t="s">
        <v>28</v>
      </c>
      <c r="T340" s="9" t="s">
        <v>492</v>
      </c>
    </row>
    <row r="341" spans="1:20" ht="36" customHeight="1">
      <c r="A341" s="6">
        <f t="shared" si="37"/>
        <v>340</v>
      </c>
      <c r="B341" s="23" t="s">
        <v>1078</v>
      </c>
      <c r="C341" s="32" t="s">
        <v>1079</v>
      </c>
      <c r="D341" s="24" t="s">
        <v>26</v>
      </c>
      <c r="E341" s="28">
        <v>28977</v>
      </c>
      <c r="F341" s="11">
        <f t="shared" ca="1" si="32"/>
        <v>44.641095890410959</v>
      </c>
      <c r="G341" s="33">
        <f t="shared" si="33"/>
        <v>5</v>
      </c>
      <c r="H341" s="33">
        <f t="shared" si="34"/>
        <v>2</v>
      </c>
      <c r="I341" s="28">
        <v>40100</v>
      </c>
      <c r="J341" s="24" t="s">
        <v>132</v>
      </c>
      <c r="K341" s="9" t="s">
        <v>103</v>
      </c>
      <c r="L341" s="9" t="s">
        <v>325</v>
      </c>
      <c r="M341" s="9" t="s">
        <v>165</v>
      </c>
      <c r="N341" s="33">
        <v>11</v>
      </c>
      <c r="O341" s="12">
        <f t="shared" ca="1" si="35"/>
        <v>14.167123287671233</v>
      </c>
      <c r="P341" s="12">
        <f t="shared" ca="1" si="36"/>
        <v>25.167123287671231</v>
      </c>
      <c r="Q341" s="34" t="s">
        <v>26</v>
      </c>
      <c r="R341" s="24" t="s">
        <v>901</v>
      </c>
      <c r="S341" s="24" t="s">
        <v>28</v>
      </c>
      <c r="T341" s="9" t="s">
        <v>29</v>
      </c>
    </row>
    <row r="342" spans="1:20" ht="36" customHeight="1">
      <c r="A342" s="6">
        <f t="shared" si="37"/>
        <v>341</v>
      </c>
      <c r="B342" s="23" t="s">
        <v>1080</v>
      </c>
      <c r="C342" s="32" t="s">
        <v>1081</v>
      </c>
      <c r="D342" s="24" t="s">
        <v>26</v>
      </c>
      <c r="E342" s="28">
        <v>28308</v>
      </c>
      <c r="F342" s="11">
        <f t="shared" ca="1" si="32"/>
        <v>46.473972602739728</v>
      </c>
      <c r="G342" s="33">
        <f t="shared" si="33"/>
        <v>7</v>
      </c>
      <c r="H342" s="33">
        <f t="shared" si="34"/>
        <v>2</v>
      </c>
      <c r="I342" s="28">
        <v>40095</v>
      </c>
      <c r="J342" s="9" t="s">
        <v>22</v>
      </c>
      <c r="K342" s="9" t="s">
        <v>241</v>
      </c>
      <c r="L342" s="9" t="s">
        <v>393</v>
      </c>
      <c r="M342" s="9" t="s">
        <v>61</v>
      </c>
      <c r="N342" s="33">
        <v>5</v>
      </c>
      <c r="O342" s="12">
        <f t="shared" ca="1" si="35"/>
        <v>14.180821917808219</v>
      </c>
      <c r="P342" s="12">
        <f t="shared" ca="1" si="36"/>
        <v>19.180821917808217</v>
      </c>
      <c r="Q342" s="34" t="s">
        <v>68</v>
      </c>
      <c r="R342" s="24" t="s">
        <v>901</v>
      </c>
      <c r="S342" s="24" t="s">
        <v>36</v>
      </c>
      <c r="T342" s="9" t="s">
        <v>72</v>
      </c>
    </row>
    <row r="343" spans="1:20" ht="36" customHeight="1">
      <c r="A343" s="6">
        <f t="shared" si="37"/>
        <v>342</v>
      </c>
      <c r="B343" s="23" t="s">
        <v>1082</v>
      </c>
      <c r="C343" s="32" t="s">
        <v>1083</v>
      </c>
      <c r="D343" s="24" t="s">
        <v>26</v>
      </c>
      <c r="E343" s="28">
        <v>29281</v>
      </c>
      <c r="F343" s="11">
        <f t="shared" ca="1" si="32"/>
        <v>43.80821917808219</v>
      </c>
      <c r="G343" s="33">
        <f t="shared" si="33"/>
        <v>3</v>
      </c>
      <c r="H343" s="33">
        <f t="shared" si="34"/>
        <v>1</v>
      </c>
      <c r="I343" s="28">
        <v>40105</v>
      </c>
      <c r="J343" s="9" t="s">
        <v>50</v>
      </c>
      <c r="K343" s="9" t="s">
        <v>146</v>
      </c>
      <c r="L343" s="24" t="s">
        <v>490</v>
      </c>
      <c r="M343" s="9" t="s">
        <v>491</v>
      </c>
      <c r="N343" s="19">
        <v>4.5999999999999996</v>
      </c>
      <c r="O343" s="12">
        <f t="shared" ca="1" si="35"/>
        <v>14.153424657534247</v>
      </c>
      <c r="P343" s="12">
        <f t="shared" ca="1" si="36"/>
        <v>18.753424657534246</v>
      </c>
      <c r="Q343" s="34" t="s">
        <v>26</v>
      </c>
      <c r="R343" s="9" t="s">
        <v>347</v>
      </c>
      <c r="S343" s="24" t="s">
        <v>28</v>
      </c>
      <c r="T343" s="9" t="s">
        <v>492</v>
      </c>
    </row>
    <row r="344" spans="1:20" ht="36" customHeight="1">
      <c r="A344" s="6">
        <f t="shared" si="37"/>
        <v>343</v>
      </c>
      <c r="B344" s="23" t="s">
        <v>1084</v>
      </c>
      <c r="C344" s="45" t="s">
        <v>1085</v>
      </c>
      <c r="D344" s="24" t="s">
        <v>21</v>
      </c>
      <c r="E344" s="28">
        <v>29229</v>
      </c>
      <c r="F344" s="11">
        <f t="shared" ca="1" si="32"/>
        <v>43.950684931506849</v>
      </c>
      <c r="G344" s="33">
        <f t="shared" si="33"/>
        <v>1</v>
      </c>
      <c r="H344" s="33">
        <f t="shared" si="34"/>
        <v>9</v>
      </c>
      <c r="I344" s="28">
        <v>40109</v>
      </c>
      <c r="J344" s="9" t="s">
        <v>32</v>
      </c>
      <c r="K344" s="9" t="s">
        <v>1086</v>
      </c>
      <c r="L344" s="24" t="s">
        <v>204</v>
      </c>
      <c r="M344" s="9" t="s">
        <v>165</v>
      </c>
      <c r="N344" s="33">
        <v>7</v>
      </c>
      <c r="O344" s="12">
        <f t="shared" ca="1" si="35"/>
        <v>14.142465753424657</v>
      </c>
      <c r="P344" s="12">
        <f t="shared" ca="1" si="36"/>
        <v>21.142465753424659</v>
      </c>
      <c r="Q344" s="34" t="s">
        <v>26</v>
      </c>
      <c r="R344" s="24" t="s">
        <v>901</v>
      </c>
      <c r="S344" s="24" t="s">
        <v>28</v>
      </c>
      <c r="T344" s="9" t="s">
        <v>29</v>
      </c>
    </row>
    <row r="345" spans="1:20" ht="36" customHeight="1">
      <c r="A345" s="6">
        <f t="shared" si="37"/>
        <v>344</v>
      </c>
      <c r="B345" s="23" t="s">
        <v>1087</v>
      </c>
      <c r="C345" s="32" t="s">
        <v>1088</v>
      </c>
      <c r="D345" s="24" t="s">
        <v>26</v>
      </c>
      <c r="E345" s="28">
        <v>30439</v>
      </c>
      <c r="F345" s="11">
        <f t="shared" ca="1" si="32"/>
        <v>40.635616438356166</v>
      </c>
      <c r="G345" s="33">
        <f t="shared" si="33"/>
        <v>5</v>
      </c>
      <c r="H345" s="33">
        <f t="shared" si="34"/>
        <v>3</v>
      </c>
      <c r="I345" s="28">
        <v>40110</v>
      </c>
      <c r="J345" s="9" t="s">
        <v>87</v>
      </c>
      <c r="K345" s="9" t="s">
        <v>298</v>
      </c>
      <c r="L345" s="24" t="s">
        <v>34</v>
      </c>
      <c r="M345" s="9" t="s">
        <v>35</v>
      </c>
      <c r="N345" s="33">
        <v>5</v>
      </c>
      <c r="O345" s="12">
        <f t="shared" ca="1" si="35"/>
        <v>14.139726027397261</v>
      </c>
      <c r="P345" s="12">
        <f t="shared" ca="1" si="36"/>
        <v>19.139726027397259</v>
      </c>
      <c r="Q345" s="34" t="s">
        <v>68</v>
      </c>
      <c r="R345" s="24" t="s">
        <v>901</v>
      </c>
      <c r="S345" s="24" t="s">
        <v>36</v>
      </c>
      <c r="T345" s="9" t="s">
        <v>137</v>
      </c>
    </row>
    <row r="346" spans="1:20" ht="36" customHeight="1">
      <c r="A346" s="6">
        <f t="shared" si="37"/>
        <v>345</v>
      </c>
      <c r="B346" s="23" t="s">
        <v>1089</v>
      </c>
      <c r="C346" s="32" t="s">
        <v>1090</v>
      </c>
      <c r="D346" s="24" t="s">
        <v>26</v>
      </c>
      <c r="E346" s="28">
        <v>26214</v>
      </c>
      <c r="F346" s="11">
        <f t="shared" ca="1" si="32"/>
        <v>52.210958904109589</v>
      </c>
      <c r="G346" s="33">
        <f t="shared" si="33"/>
        <v>10</v>
      </c>
      <c r="H346" s="33">
        <f t="shared" si="34"/>
        <v>8</v>
      </c>
      <c r="I346" s="28">
        <v>40116</v>
      </c>
      <c r="J346" s="24" t="s">
        <v>318</v>
      </c>
      <c r="K346" s="24" t="s">
        <v>319</v>
      </c>
      <c r="L346" s="24" t="s">
        <v>1091</v>
      </c>
      <c r="M346" s="9" t="s">
        <v>25</v>
      </c>
      <c r="N346" s="33">
        <v>14</v>
      </c>
      <c r="O346" s="12">
        <f t="shared" ca="1" si="35"/>
        <v>14.123287671232877</v>
      </c>
      <c r="P346" s="12">
        <f t="shared" ca="1" si="36"/>
        <v>28.123287671232877</v>
      </c>
      <c r="Q346" s="34" t="s">
        <v>26</v>
      </c>
      <c r="R346" s="24" t="s">
        <v>901</v>
      </c>
      <c r="S346" s="24" t="s">
        <v>28</v>
      </c>
      <c r="T346" s="9" t="s">
        <v>29</v>
      </c>
    </row>
    <row r="347" spans="1:20" ht="36" customHeight="1">
      <c r="A347" s="6">
        <f t="shared" si="37"/>
        <v>346</v>
      </c>
      <c r="B347" s="23" t="s">
        <v>1092</v>
      </c>
      <c r="C347" s="32" t="s">
        <v>1093</v>
      </c>
      <c r="D347" s="24" t="s">
        <v>21</v>
      </c>
      <c r="E347" s="28">
        <v>31791</v>
      </c>
      <c r="F347" s="11">
        <f t="shared" ca="1" si="32"/>
        <v>36.93150684931507</v>
      </c>
      <c r="G347" s="33">
        <f t="shared" si="33"/>
        <v>1</v>
      </c>
      <c r="H347" s="33">
        <f t="shared" si="34"/>
        <v>14</v>
      </c>
      <c r="I347" s="28">
        <v>40119</v>
      </c>
      <c r="J347" s="24" t="s">
        <v>87</v>
      </c>
      <c r="K347" s="24" t="s">
        <v>1094</v>
      </c>
      <c r="L347" s="24" t="s">
        <v>34</v>
      </c>
      <c r="M347" s="9" t="s">
        <v>156</v>
      </c>
      <c r="N347" s="33">
        <v>1</v>
      </c>
      <c r="O347" s="12">
        <f t="shared" ca="1" si="35"/>
        <v>14.115068493150686</v>
      </c>
      <c r="P347" s="12">
        <f t="shared" ca="1" si="36"/>
        <v>15.115068493150686</v>
      </c>
      <c r="Q347" s="34" t="s">
        <v>26</v>
      </c>
      <c r="R347" s="24" t="s">
        <v>901</v>
      </c>
      <c r="S347" s="9" t="s">
        <v>28</v>
      </c>
      <c r="T347" s="9" t="s">
        <v>29</v>
      </c>
    </row>
    <row r="348" spans="1:20" ht="36" customHeight="1">
      <c r="A348" s="6">
        <f t="shared" si="37"/>
        <v>347</v>
      </c>
      <c r="B348" s="23" t="s">
        <v>1095</v>
      </c>
      <c r="C348" s="32" t="s">
        <v>1096</v>
      </c>
      <c r="D348" s="24" t="s">
        <v>21</v>
      </c>
      <c r="E348" s="28">
        <v>31370</v>
      </c>
      <c r="F348" s="11">
        <f t="shared" ca="1" si="32"/>
        <v>38.084931506849315</v>
      </c>
      <c r="G348" s="33">
        <f t="shared" si="33"/>
        <v>11</v>
      </c>
      <c r="H348" s="33">
        <f t="shared" si="34"/>
        <v>19</v>
      </c>
      <c r="I348" s="28">
        <v>40121</v>
      </c>
      <c r="J348" s="24" t="s">
        <v>87</v>
      </c>
      <c r="K348" s="24" t="s">
        <v>1097</v>
      </c>
      <c r="L348" s="24" t="s">
        <v>34</v>
      </c>
      <c r="M348" s="9" t="s">
        <v>35</v>
      </c>
      <c r="N348" s="33">
        <v>5</v>
      </c>
      <c r="O348" s="12">
        <f t="shared" ca="1" si="35"/>
        <v>14.109589041095891</v>
      </c>
      <c r="P348" s="12">
        <f t="shared" ca="1" si="36"/>
        <v>19.109589041095891</v>
      </c>
      <c r="Q348" s="34" t="s">
        <v>26</v>
      </c>
      <c r="R348" s="24" t="s">
        <v>901</v>
      </c>
      <c r="S348" s="24" t="s">
        <v>28</v>
      </c>
      <c r="T348" s="9" t="s">
        <v>29</v>
      </c>
    </row>
    <row r="349" spans="1:20" ht="36" customHeight="1">
      <c r="A349" s="6">
        <f t="shared" si="37"/>
        <v>348</v>
      </c>
      <c r="B349" s="23" t="s">
        <v>1098</v>
      </c>
      <c r="C349" s="32" t="s">
        <v>1099</v>
      </c>
      <c r="D349" s="24" t="s">
        <v>26</v>
      </c>
      <c r="E349" s="28">
        <v>27410</v>
      </c>
      <c r="F349" s="11">
        <f t="shared" ca="1" si="32"/>
        <v>48.934246575342463</v>
      </c>
      <c r="G349" s="33">
        <f t="shared" si="33"/>
        <v>1</v>
      </c>
      <c r="H349" s="33">
        <f t="shared" si="34"/>
        <v>16</v>
      </c>
      <c r="I349" s="28">
        <v>40121</v>
      </c>
      <c r="J349" s="24" t="s">
        <v>32</v>
      </c>
      <c r="K349" s="24" t="s">
        <v>282</v>
      </c>
      <c r="L349" s="24" t="s">
        <v>34</v>
      </c>
      <c r="M349" s="9" t="s">
        <v>35</v>
      </c>
      <c r="N349" s="33">
        <v>10</v>
      </c>
      <c r="O349" s="12">
        <f t="shared" ca="1" si="35"/>
        <v>14.109589041095891</v>
      </c>
      <c r="P349" s="12">
        <f t="shared" ca="1" si="36"/>
        <v>24.109589041095891</v>
      </c>
      <c r="Q349" s="34" t="s">
        <v>26</v>
      </c>
      <c r="R349" s="24" t="s">
        <v>901</v>
      </c>
      <c r="S349" s="24" t="s">
        <v>28</v>
      </c>
      <c r="T349" s="9" t="s">
        <v>29</v>
      </c>
    </row>
    <row r="350" spans="1:20" ht="36" customHeight="1">
      <c r="A350" s="6">
        <f t="shared" si="37"/>
        <v>349</v>
      </c>
      <c r="B350" s="23" t="s">
        <v>1100</v>
      </c>
      <c r="C350" s="32" t="s">
        <v>1101</v>
      </c>
      <c r="D350" s="24" t="s">
        <v>26</v>
      </c>
      <c r="E350" s="28">
        <v>24786</v>
      </c>
      <c r="F350" s="11">
        <f t="shared" ca="1" si="32"/>
        <v>56.123287671232873</v>
      </c>
      <c r="G350" s="33">
        <f t="shared" si="33"/>
        <v>11</v>
      </c>
      <c r="H350" s="33">
        <f t="shared" si="34"/>
        <v>10</v>
      </c>
      <c r="I350" s="28">
        <v>40119</v>
      </c>
      <c r="J350" s="24" t="s">
        <v>87</v>
      </c>
      <c r="K350" s="24" t="s">
        <v>1102</v>
      </c>
      <c r="L350" s="24" t="s">
        <v>52</v>
      </c>
      <c r="M350" s="9" t="s">
        <v>134</v>
      </c>
      <c r="N350" s="33">
        <v>19</v>
      </c>
      <c r="O350" s="12">
        <f t="shared" ca="1" si="35"/>
        <v>14.115068493150686</v>
      </c>
      <c r="P350" s="12">
        <f t="shared" ca="1" si="36"/>
        <v>33.115068493150687</v>
      </c>
      <c r="Q350" s="34" t="s">
        <v>26</v>
      </c>
      <c r="R350" s="24" t="s">
        <v>901</v>
      </c>
      <c r="S350" s="9" t="s">
        <v>28</v>
      </c>
      <c r="T350" s="9" t="s">
        <v>29</v>
      </c>
    </row>
    <row r="351" spans="1:20" ht="36" customHeight="1">
      <c r="A351" s="6">
        <f t="shared" si="37"/>
        <v>350</v>
      </c>
      <c r="B351" s="23" t="s">
        <v>1103</v>
      </c>
      <c r="C351" s="32" t="s">
        <v>1104</v>
      </c>
      <c r="D351" s="24" t="s">
        <v>26</v>
      </c>
      <c r="E351" s="28">
        <v>24280</v>
      </c>
      <c r="F351" s="11">
        <f t="shared" ca="1" si="32"/>
        <v>57.509589041095893</v>
      </c>
      <c r="G351" s="33">
        <f t="shared" si="33"/>
        <v>6</v>
      </c>
      <c r="H351" s="33">
        <f t="shared" si="34"/>
        <v>22</v>
      </c>
      <c r="I351" s="28">
        <v>40124</v>
      </c>
      <c r="J351" s="24" t="s">
        <v>58</v>
      </c>
      <c r="K351" s="24" t="s">
        <v>1052</v>
      </c>
      <c r="L351" s="24" t="s">
        <v>675</v>
      </c>
      <c r="M351" s="9" t="s">
        <v>134</v>
      </c>
      <c r="N351" s="33">
        <v>20</v>
      </c>
      <c r="O351" s="12">
        <f t="shared" ca="1" si="35"/>
        <v>14.101369863013698</v>
      </c>
      <c r="P351" s="12">
        <f t="shared" ca="1" si="36"/>
        <v>34.101369863013701</v>
      </c>
      <c r="Q351" s="34" t="s">
        <v>26</v>
      </c>
      <c r="R351" s="24" t="s">
        <v>901</v>
      </c>
      <c r="S351" s="24" t="s">
        <v>36</v>
      </c>
      <c r="T351" s="9" t="s">
        <v>137</v>
      </c>
    </row>
    <row r="352" spans="1:20" ht="36" customHeight="1">
      <c r="A352" s="6">
        <f t="shared" si="37"/>
        <v>351</v>
      </c>
      <c r="B352" s="23" t="s">
        <v>1105</v>
      </c>
      <c r="C352" s="32" t="s">
        <v>1106</v>
      </c>
      <c r="D352" s="24" t="s">
        <v>26</v>
      </c>
      <c r="E352" s="28">
        <v>21680</v>
      </c>
      <c r="F352" s="11">
        <f t="shared" ca="1" si="32"/>
        <v>64.632876712328766</v>
      </c>
      <c r="G352" s="33">
        <f t="shared" si="33"/>
        <v>5</v>
      </c>
      <c r="H352" s="33">
        <f t="shared" si="34"/>
        <v>10</v>
      </c>
      <c r="I352" s="28">
        <v>40128</v>
      </c>
      <c r="J352" s="24" t="s">
        <v>132</v>
      </c>
      <c r="K352" s="24" t="s">
        <v>1107</v>
      </c>
      <c r="L352" s="24" t="s">
        <v>796</v>
      </c>
      <c r="M352" s="9" t="s">
        <v>35</v>
      </c>
      <c r="N352" s="33">
        <v>30</v>
      </c>
      <c r="O352" s="12">
        <f t="shared" ca="1" si="35"/>
        <v>14.09041095890411</v>
      </c>
      <c r="P352" s="12">
        <f t="shared" ca="1" si="36"/>
        <v>44.090410958904108</v>
      </c>
      <c r="Q352" s="34" t="s">
        <v>26</v>
      </c>
      <c r="R352" s="24" t="s">
        <v>922</v>
      </c>
      <c r="S352" s="9" t="s">
        <v>36</v>
      </c>
      <c r="T352" s="9" t="s">
        <v>137</v>
      </c>
    </row>
    <row r="353" spans="1:20" ht="36" customHeight="1">
      <c r="A353" s="6">
        <f t="shared" si="37"/>
        <v>352</v>
      </c>
      <c r="B353" s="23" t="s">
        <v>1108</v>
      </c>
      <c r="C353" s="32" t="s">
        <v>1109</v>
      </c>
      <c r="D353" s="24" t="s">
        <v>26</v>
      </c>
      <c r="E353" s="28">
        <v>25856</v>
      </c>
      <c r="F353" s="11">
        <f t="shared" ca="1" si="32"/>
        <v>53.19178082191781</v>
      </c>
      <c r="G353" s="33">
        <f t="shared" si="33"/>
        <v>10</v>
      </c>
      <c r="H353" s="33">
        <f t="shared" si="34"/>
        <v>15</v>
      </c>
      <c r="I353" s="28">
        <v>40129</v>
      </c>
      <c r="J353" s="9" t="s">
        <v>66</v>
      </c>
      <c r="K353" s="9" t="s">
        <v>489</v>
      </c>
      <c r="L353" s="24" t="s">
        <v>490</v>
      </c>
      <c r="M353" s="9" t="s">
        <v>491</v>
      </c>
      <c r="N353" s="19">
        <v>18</v>
      </c>
      <c r="O353" s="12">
        <f t="shared" ca="1" si="35"/>
        <v>14.087671232876712</v>
      </c>
      <c r="P353" s="12">
        <f t="shared" ca="1" si="36"/>
        <v>32.087671232876716</v>
      </c>
      <c r="Q353" s="34" t="s">
        <v>26</v>
      </c>
      <c r="R353" s="24" t="s">
        <v>898</v>
      </c>
      <c r="S353" s="24" t="s">
        <v>28</v>
      </c>
      <c r="T353" s="9" t="s">
        <v>492</v>
      </c>
    </row>
    <row r="354" spans="1:20" ht="36" customHeight="1">
      <c r="A354" s="6">
        <f t="shared" si="37"/>
        <v>353</v>
      </c>
      <c r="B354" s="23" t="s">
        <v>1110</v>
      </c>
      <c r="C354" s="32" t="s">
        <v>1111</v>
      </c>
      <c r="D354" s="24" t="s">
        <v>26</v>
      </c>
      <c r="E354" s="28">
        <v>30343</v>
      </c>
      <c r="F354" s="11">
        <f t="shared" ca="1" si="32"/>
        <v>40.898630136986299</v>
      </c>
      <c r="G354" s="33">
        <f t="shared" si="33"/>
        <v>1</v>
      </c>
      <c r="H354" s="33">
        <f t="shared" si="34"/>
        <v>27</v>
      </c>
      <c r="I354" s="28">
        <v>40118</v>
      </c>
      <c r="J354" s="9" t="s">
        <v>41</v>
      </c>
      <c r="K354" s="9" t="s">
        <v>307</v>
      </c>
      <c r="L354" s="9" t="s">
        <v>636</v>
      </c>
      <c r="M354" s="9" t="s">
        <v>25</v>
      </c>
      <c r="N354" s="33">
        <v>2.2999999999999998</v>
      </c>
      <c r="O354" s="12">
        <f t="shared" ca="1" si="35"/>
        <v>14.117808219178082</v>
      </c>
      <c r="P354" s="12">
        <f t="shared" ca="1" si="36"/>
        <v>16.417808219178081</v>
      </c>
      <c r="Q354" s="34" t="s">
        <v>68</v>
      </c>
      <c r="R354" s="24" t="s">
        <v>901</v>
      </c>
      <c r="S354" s="24" t="s">
        <v>28</v>
      </c>
      <c r="T354" s="9" t="s">
        <v>29</v>
      </c>
    </row>
    <row r="355" spans="1:20" ht="36" customHeight="1">
      <c r="A355" s="6">
        <f t="shared" si="37"/>
        <v>354</v>
      </c>
      <c r="B355" s="23" t="s">
        <v>1112</v>
      </c>
      <c r="C355" s="32" t="s">
        <v>1113</v>
      </c>
      <c r="D355" s="24" t="s">
        <v>26</v>
      </c>
      <c r="E355" s="28">
        <v>31224</v>
      </c>
      <c r="F355" s="11">
        <f t="shared" ca="1" si="32"/>
        <v>38.484931506849314</v>
      </c>
      <c r="G355" s="33">
        <f t="shared" si="33"/>
        <v>6</v>
      </c>
      <c r="H355" s="33">
        <f t="shared" si="34"/>
        <v>26</v>
      </c>
      <c r="I355" s="28">
        <v>40135</v>
      </c>
      <c r="J355" s="9" t="s">
        <v>50</v>
      </c>
      <c r="K355" s="9" t="s">
        <v>1114</v>
      </c>
      <c r="L355" s="24" t="s">
        <v>490</v>
      </c>
      <c r="M355" s="9" t="s">
        <v>491</v>
      </c>
      <c r="N355" s="19">
        <v>4</v>
      </c>
      <c r="O355" s="12">
        <f t="shared" ca="1" si="35"/>
        <v>14.07123287671233</v>
      </c>
      <c r="P355" s="12">
        <f t="shared" ca="1" si="36"/>
        <v>18.07123287671233</v>
      </c>
      <c r="Q355" s="34" t="s">
        <v>26</v>
      </c>
      <c r="R355" s="46" t="s">
        <v>1115</v>
      </c>
      <c r="S355" s="24" t="s">
        <v>28</v>
      </c>
      <c r="T355" s="9" t="s">
        <v>492</v>
      </c>
    </row>
    <row r="356" spans="1:20" ht="36" customHeight="1">
      <c r="A356" s="6">
        <f t="shared" si="37"/>
        <v>355</v>
      </c>
      <c r="B356" s="23" t="s">
        <v>1116</v>
      </c>
      <c r="C356" s="32" t="s">
        <v>1117</v>
      </c>
      <c r="D356" s="24" t="s">
        <v>26</v>
      </c>
      <c r="E356" s="28">
        <v>27327</v>
      </c>
      <c r="F356" s="11">
        <f t="shared" ca="1" si="32"/>
        <v>49.161643835616438</v>
      </c>
      <c r="G356" s="33">
        <f t="shared" si="33"/>
        <v>10</v>
      </c>
      <c r="H356" s="33">
        <f t="shared" si="34"/>
        <v>25</v>
      </c>
      <c r="I356" s="28">
        <v>40135</v>
      </c>
      <c r="J356" s="9" t="s">
        <v>50</v>
      </c>
      <c r="K356" s="9" t="s">
        <v>146</v>
      </c>
      <c r="L356" s="24" t="s">
        <v>147</v>
      </c>
      <c r="M356" s="9" t="s">
        <v>61</v>
      </c>
      <c r="N356" s="33">
        <v>15</v>
      </c>
      <c r="O356" s="12">
        <f t="shared" ca="1" si="35"/>
        <v>14.07123287671233</v>
      </c>
      <c r="P356" s="12">
        <f t="shared" ca="1" si="36"/>
        <v>29.07123287671233</v>
      </c>
      <c r="Q356" s="34" t="s">
        <v>26</v>
      </c>
      <c r="R356" s="24" t="s">
        <v>901</v>
      </c>
      <c r="S356" s="24" t="s">
        <v>28</v>
      </c>
      <c r="T356" s="9" t="s">
        <v>29</v>
      </c>
    </row>
    <row r="357" spans="1:20" ht="36" customHeight="1">
      <c r="A357" s="6">
        <f t="shared" si="37"/>
        <v>356</v>
      </c>
      <c r="B357" s="23" t="s">
        <v>1118</v>
      </c>
      <c r="C357" s="32" t="s">
        <v>1119</v>
      </c>
      <c r="D357" s="24" t="s">
        <v>26</v>
      </c>
      <c r="E357" s="28">
        <v>30385</v>
      </c>
      <c r="F357" s="11">
        <f t="shared" ca="1" si="32"/>
        <v>40.783561643835618</v>
      </c>
      <c r="G357" s="33">
        <f t="shared" si="33"/>
        <v>3</v>
      </c>
      <c r="H357" s="33">
        <f t="shared" si="34"/>
        <v>10</v>
      </c>
      <c r="I357" s="28">
        <v>40140</v>
      </c>
      <c r="J357" s="24" t="s">
        <v>41</v>
      </c>
      <c r="K357" s="24" t="s">
        <v>62</v>
      </c>
      <c r="L357" s="24" t="s">
        <v>34</v>
      </c>
      <c r="M357" s="9" t="s">
        <v>35</v>
      </c>
      <c r="N357" s="33">
        <v>5</v>
      </c>
      <c r="O357" s="12">
        <f t="shared" ca="1" si="35"/>
        <v>14.057534246575342</v>
      </c>
      <c r="P357" s="12">
        <f t="shared" ca="1" si="36"/>
        <v>19.057534246575344</v>
      </c>
      <c r="Q357" s="34" t="s">
        <v>68</v>
      </c>
      <c r="R357" s="24" t="s">
        <v>901</v>
      </c>
      <c r="S357" s="24" t="s">
        <v>36</v>
      </c>
      <c r="T357" s="9" t="s">
        <v>1071</v>
      </c>
    </row>
    <row r="358" spans="1:20" ht="36" customHeight="1">
      <c r="A358" s="6">
        <f t="shared" si="37"/>
        <v>357</v>
      </c>
      <c r="B358" s="23" t="s">
        <v>1120</v>
      </c>
      <c r="C358" s="32" t="s">
        <v>1121</v>
      </c>
      <c r="D358" s="24" t="s">
        <v>26</v>
      </c>
      <c r="E358" s="28">
        <v>26559</v>
      </c>
      <c r="F358" s="11">
        <f t="shared" ca="1" si="32"/>
        <v>51.265753424657532</v>
      </c>
      <c r="G358" s="33">
        <v>9</v>
      </c>
      <c r="H358" s="33">
        <v>17</v>
      </c>
      <c r="I358" s="28">
        <v>40142</v>
      </c>
      <c r="J358" s="9" t="s">
        <v>66</v>
      </c>
      <c r="K358" s="9" t="s">
        <v>1122</v>
      </c>
      <c r="L358" s="24" t="s">
        <v>490</v>
      </c>
      <c r="M358" s="9" t="s">
        <v>491</v>
      </c>
      <c r="N358" s="19">
        <v>17</v>
      </c>
      <c r="O358" s="12">
        <f t="shared" ca="1" si="35"/>
        <v>14.052054794520547</v>
      </c>
      <c r="P358" s="12">
        <f t="shared" ca="1" si="36"/>
        <v>31.052054794520547</v>
      </c>
      <c r="Q358" s="34" t="s">
        <v>26</v>
      </c>
      <c r="R358" s="9" t="s">
        <v>347</v>
      </c>
      <c r="S358" s="24" t="s">
        <v>28</v>
      </c>
      <c r="T358" s="9" t="s">
        <v>492</v>
      </c>
    </row>
    <row r="359" spans="1:20" ht="36" customHeight="1">
      <c r="A359" s="6">
        <f t="shared" si="37"/>
        <v>358</v>
      </c>
      <c r="B359" s="23" t="s">
        <v>1123</v>
      </c>
      <c r="C359" s="47" t="s">
        <v>1124</v>
      </c>
      <c r="D359" s="24" t="s">
        <v>26</v>
      </c>
      <c r="E359" s="28">
        <v>30581</v>
      </c>
      <c r="F359" s="11">
        <f t="shared" ca="1" si="32"/>
        <v>40.246575342465754</v>
      </c>
      <c r="G359" s="33">
        <v>9</v>
      </c>
      <c r="H359" s="33">
        <v>22</v>
      </c>
      <c r="I359" s="28">
        <v>40142</v>
      </c>
      <c r="J359" s="9" t="s">
        <v>22</v>
      </c>
      <c r="K359" s="9" t="s">
        <v>203</v>
      </c>
      <c r="L359" s="24" t="s">
        <v>490</v>
      </c>
      <c r="M359" s="9" t="s">
        <v>491</v>
      </c>
      <c r="N359" s="19">
        <v>3</v>
      </c>
      <c r="O359" s="12">
        <f t="shared" ca="1" si="35"/>
        <v>14.052054794520547</v>
      </c>
      <c r="P359" s="12">
        <f t="shared" ca="1" si="36"/>
        <v>17.052054794520547</v>
      </c>
      <c r="Q359" s="34" t="s">
        <v>26</v>
      </c>
      <c r="R359" s="9" t="s">
        <v>347</v>
      </c>
      <c r="S359" s="24" t="s">
        <v>28</v>
      </c>
      <c r="T359" s="9" t="s">
        <v>492</v>
      </c>
    </row>
    <row r="360" spans="1:20" ht="36" customHeight="1">
      <c r="A360" s="6">
        <f t="shared" si="37"/>
        <v>359</v>
      </c>
      <c r="B360" s="17" t="s">
        <v>1125</v>
      </c>
      <c r="C360" s="8" t="s">
        <v>1126</v>
      </c>
      <c r="D360" s="9" t="s">
        <v>26</v>
      </c>
      <c r="E360" s="10">
        <v>30822</v>
      </c>
      <c r="F360" s="11">
        <f t="shared" ca="1" si="32"/>
        <v>39.586301369863016</v>
      </c>
      <c r="G360" s="11">
        <f t="shared" ref="G360:G372" si="38">MONTH(E360)</f>
        <v>5</v>
      </c>
      <c r="H360" s="11">
        <f t="shared" ref="H360:H372" si="39">DAY(E360)</f>
        <v>20</v>
      </c>
      <c r="I360" s="10">
        <v>40147</v>
      </c>
      <c r="J360" s="9" t="s">
        <v>87</v>
      </c>
      <c r="K360" s="9" t="s">
        <v>1127</v>
      </c>
      <c r="L360" s="9" t="s">
        <v>208</v>
      </c>
      <c r="M360" s="9" t="s">
        <v>35</v>
      </c>
      <c r="N360" s="11">
        <v>0</v>
      </c>
      <c r="O360" s="12">
        <f t="shared" ca="1" si="35"/>
        <v>14.038356164383561</v>
      </c>
      <c r="P360" s="12">
        <f t="shared" ca="1" si="36"/>
        <v>14.038356164383561</v>
      </c>
      <c r="Q360" s="12" t="s">
        <v>68</v>
      </c>
      <c r="R360" s="9" t="s">
        <v>901</v>
      </c>
      <c r="S360" s="9" t="s">
        <v>28</v>
      </c>
      <c r="T360" s="9" t="s">
        <v>29</v>
      </c>
    </row>
    <row r="361" spans="1:20" ht="36" customHeight="1">
      <c r="A361" s="6">
        <f t="shared" si="37"/>
        <v>360</v>
      </c>
      <c r="B361" s="17" t="s">
        <v>1128</v>
      </c>
      <c r="C361" s="8" t="s">
        <v>1129</v>
      </c>
      <c r="D361" s="9" t="s">
        <v>26</v>
      </c>
      <c r="E361" s="10">
        <v>27848</v>
      </c>
      <c r="F361" s="11">
        <f t="shared" ca="1" si="32"/>
        <v>47.734246575342468</v>
      </c>
      <c r="G361" s="11">
        <f t="shared" si="38"/>
        <v>3</v>
      </c>
      <c r="H361" s="11">
        <f t="shared" si="39"/>
        <v>29</v>
      </c>
      <c r="I361" s="10">
        <v>40149</v>
      </c>
      <c r="J361" s="9" t="s">
        <v>318</v>
      </c>
      <c r="K361" s="9" t="s">
        <v>1130</v>
      </c>
      <c r="L361" s="9" t="s">
        <v>204</v>
      </c>
      <c r="M361" s="9" t="s">
        <v>156</v>
      </c>
      <c r="N361" s="11">
        <v>10.8</v>
      </c>
      <c r="O361" s="12">
        <f t="shared" ca="1" si="35"/>
        <v>14.032876712328767</v>
      </c>
      <c r="P361" s="12">
        <f t="shared" ca="1" si="36"/>
        <v>24.832876712328769</v>
      </c>
      <c r="Q361" s="12" t="s">
        <v>26</v>
      </c>
      <c r="R361" s="9" t="s">
        <v>901</v>
      </c>
      <c r="S361" s="9" t="s">
        <v>28</v>
      </c>
      <c r="T361" s="9" t="s">
        <v>29</v>
      </c>
    </row>
    <row r="362" spans="1:20" ht="36" customHeight="1">
      <c r="A362" s="6">
        <f t="shared" si="37"/>
        <v>361</v>
      </c>
      <c r="B362" s="17" t="s">
        <v>1132</v>
      </c>
      <c r="C362" s="8" t="s">
        <v>1133</v>
      </c>
      <c r="D362" s="9" t="s">
        <v>26</v>
      </c>
      <c r="E362" s="10">
        <v>21261</v>
      </c>
      <c r="F362" s="11">
        <f t="shared" ca="1" si="32"/>
        <v>65.780821917808225</v>
      </c>
      <c r="G362" s="11">
        <f t="shared" si="38"/>
        <v>3</v>
      </c>
      <c r="H362" s="11">
        <f t="shared" si="39"/>
        <v>17</v>
      </c>
      <c r="I362" s="10">
        <v>40149</v>
      </c>
      <c r="J362" s="9" t="s">
        <v>192</v>
      </c>
      <c r="K362" s="9" t="s">
        <v>1134</v>
      </c>
      <c r="L362" s="9" t="s">
        <v>1135</v>
      </c>
      <c r="M362" s="9" t="s">
        <v>134</v>
      </c>
      <c r="N362" s="11">
        <v>34</v>
      </c>
      <c r="O362" s="12">
        <f t="shared" ca="1" si="35"/>
        <v>14.032876712328767</v>
      </c>
      <c r="P362" s="12">
        <f t="shared" ca="1" si="36"/>
        <v>48.032876712328765</v>
      </c>
      <c r="Q362" s="12" t="s">
        <v>26</v>
      </c>
      <c r="R362" s="9" t="s">
        <v>901</v>
      </c>
      <c r="S362" s="9" t="s">
        <v>36</v>
      </c>
      <c r="T362" s="9" t="s">
        <v>137</v>
      </c>
    </row>
    <row r="363" spans="1:20" ht="36" customHeight="1">
      <c r="A363" s="6">
        <f t="shared" si="37"/>
        <v>362</v>
      </c>
      <c r="B363" s="17" t="s">
        <v>1136</v>
      </c>
      <c r="C363" s="8" t="s">
        <v>1137</v>
      </c>
      <c r="D363" s="48" t="s">
        <v>26</v>
      </c>
      <c r="E363" s="49">
        <v>24581</v>
      </c>
      <c r="F363" s="11">
        <f t="shared" ca="1" si="32"/>
        <v>56.684931506849317</v>
      </c>
      <c r="G363" s="50">
        <f t="shared" si="38"/>
        <v>4</v>
      </c>
      <c r="H363" s="50">
        <f t="shared" si="39"/>
        <v>19</v>
      </c>
      <c r="I363" s="49">
        <v>40149</v>
      </c>
      <c r="J363" s="48" t="s">
        <v>318</v>
      </c>
      <c r="K363" s="48" t="s">
        <v>1138</v>
      </c>
      <c r="L363" s="9" t="s">
        <v>34</v>
      </c>
      <c r="M363" s="9" t="s">
        <v>165</v>
      </c>
      <c r="N363" s="50">
        <v>11.2</v>
      </c>
      <c r="O363" s="12">
        <f t="shared" ca="1" si="35"/>
        <v>14.032876712328767</v>
      </c>
      <c r="P363" s="12">
        <f t="shared" ca="1" si="36"/>
        <v>25.232876712328768</v>
      </c>
      <c r="Q363" s="51" t="s">
        <v>26</v>
      </c>
      <c r="R363" s="48" t="s">
        <v>901</v>
      </c>
      <c r="S363" s="9" t="s">
        <v>28</v>
      </c>
      <c r="T363" s="9" t="s">
        <v>37</v>
      </c>
    </row>
    <row r="364" spans="1:20" ht="36" customHeight="1">
      <c r="A364" s="6">
        <f t="shared" si="37"/>
        <v>363</v>
      </c>
      <c r="B364" s="17" t="s">
        <v>1140</v>
      </c>
      <c r="C364" s="17" t="s">
        <v>1141</v>
      </c>
      <c r="D364" s="9" t="s">
        <v>26</v>
      </c>
      <c r="E364" s="10">
        <v>27555</v>
      </c>
      <c r="F364" s="11">
        <f t="shared" ca="1" si="32"/>
        <v>48.536986301369865</v>
      </c>
      <c r="G364" s="11">
        <f t="shared" si="38"/>
        <v>6</v>
      </c>
      <c r="H364" s="11">
        <f t="shared" si="39"/>
        <v>10</v>
      </c>
      <c r="I364" s="10">
        <v>40149</v>
      </c>
      <c r="J364" s="9" t="s">
        <v>41</v>
      </c>
      <c r="K364" s="9" t="s">
        <v>62</v>
      </c>
      <c r="L364" s="9" t="s">
        <v>34</v>
      </c>
      <c r="M364" s="9" t="s">
        <v>35</v>
      </c>
      <c r="N364" s="11">
        <v>4.9000000000000004</v>
      </c>
      <c r="O364" s="12">
        <f t="shared" ca="1" si="35"/>
        <v>14.032876712328767</v>
      </c>
      <c r="P364" s="12">
        <f t="shared" ca="1" si="36"/>
        <v>18.932876712328767</v>
      </c>
      <c r="Q364" s="12" t="s">
        <v>26</v>
      </c>
      <c r="R364" s="9" t="s">
        <v>95</v>
      </c>
      <c r="S364" s="9" t="s">
        <v>36</v>
      </c>
      <c r="T364" s="9" t="s">
        <v>137</v>
      </c>
    </row>
    <row r="365" spans="1:20" ht="36" customHeight="1">
      <c r="A365" s="6">
        <f t="shared" si="37"/>
        <v>364</v>
      </c>
      <c r="B365" s="17" t="s">
        <v>1142</v>
      </c>
      <c r="C365" s="17" t="s">
        <v>1143</v>
      </c>
      <c r="D365" s="9" t="s">
        <v>26</v>
      </c>
      <c r="E365" s="10">
        <v>28069</v>
      </c>
      <c r="F365" s="11">
        <f t="shared" ref="F365:F381" ca="1" si="40">(TODAY()-E365)/365</f>
        <v>47.128767123287673</v>
      </c>
      <c r="G365" s="11">
        <f t="shared" si="38"/>
        <v>11</v>
      </c>
      <c r="H365" s="11">
        <f t="shared" si="39"/>
        <v>5</v>
      </c>
      <c r="I365" s="10">
        <v>40149</v>
      </c>
      <c r="J365" s="9" t="s">
        <v>32</v>
      </c>
      <c r="K365" s="9" t="s">
        <v>313</v>
      </c>
      <c r="L365" s="9" t="s">
        <v>24</v>
      </c>
      <c r="M365" s="9" t="s">
        <v>156</v>
      </c>
      <c r="N365" s="11">
        <v>12</v>
      </c>
      <c r="O365" s="12">
        <f t="shared" ca="1" si="35"/>
        <v>14.032876712328767</v>
      </c>
      <c r="P365" s="12">
        <f t="shared" ca="1" si="36"/>
        <v>26.032876712328765</v>
      </c>
      <c r="Q365" s="12" t="s">
        <v>26</v>
      </c>
      <c r="R365" s="9" t="s">
        <v>901</v>
      </c>
      <c r="S365" s="9" t="s">
        <v>28</v>
      </c>
      <c r="T365" s="9" t="s">
        <v>29</v>
      </c>
    </row>
    <row r="366" spans="1:20" ht="36" customHeight="1">
      <c r="A366" s="6">
        <f t="shared" si="37"/>
        <v>365</v>
      </c>
      <c r="B366" s="17" t="s">
        <v>1144</v>
      </c>
      <c r="C366" s="17" t="s">
        <v>1145</v>
      </c>
      <c r="D366" s="9" t="s">
        <v>26</v>
      </c>
      <c r="E366" s="10">
        <v>25939</v>
      </c>
      <c r="F366" s="11">
        <f t="shared" ca="1" si="40"/>
        <v>52.964383561643835</v>
      </c>
      <c r="G366" s="11">
        <f t="shared" si="38"/>
        <v>1</v>
      </c>
      <c r="H366" s="11">
        <f t="shared" si="39"/>
        <v>6</v>
      </c>
      <c r="I366" s="10">
        <v>40154</v>
      </c>
      <c r="J366" s="9" t="s">
        <v>132</v>
      </c>
      <c r="K366" s="9" t="s">
        <v>1146</v>
      </c>
      <c r="L366" s="9" t="s">
        <v>147</v>
      </c>
      <c r="M366" s="9" t="s">
        <v>61</v>
      </c>
      <c r="N366" s="11">
        <v>20.7</v>
      </c>
      <c r="O366" s="12">
        <f t="shared" ca="1" si="35"/>
        <v>14.019178082191781</v>
      </c>
      <c r="P366" s="12">
        <f t="shared" ca="1" si="36"/>
        <v>34.719178082191782</v>
      </c>
      <c r="Q366" s="12" t="s">
        <v>26</v>
      </c>
      <c r="R366" s="9" t="s">
        <v>901</v>
      </c>
      <c r="S366" s="9" t="s">
        <v>28</v>
      </c>
      <c r="T366" s="9" t="s">
        <v>29</v>
      </c>
    </row>
    <row r="367" spans="1:20" ht="36" customHeight="1">
      <c r="A367" s="6">
        <f t="shared" si="37"/>
        <v>366</v>
      </c>
      <c r="B367" s="17" t="s">
        <v>1147</v>
      </c>
      <c r="C367" s="17" t="s">
        <v>1148</v>
      </c>
      <c r="D367" s="9" t="s">
        <v>26</v>
      </c>
      <c r="E367" s="10">
        <v>30717</v>
      </c>
      <c r="F367" s="11">
        <f t="shared" ca="1" si="40"/>
        <v>39.873972602739727</v>
      </c>
      <c r="G367" s="11">
        <f t="shared" si="38"/>
        <v>2</v>
      </c>
      <c r="H367" s="11">
        <f t="shared" si="39"/>
        <v>5</v>
      </c>
      <c r="I367" s="10">
        <v>40157</v>
      </c>
      <c r="J367" s="9" t="s">
        <v>87</v>
      </c>
      <c r="K367" s="9" t="s">
        <v>1149</v>
      </c>
      <c r="L367" s="9" t="s">
        <v>34</v>
      </c>
      <c r="M367" s="9" t="s">
        <v>35</v>
      </c>
      <c r="N367" s="11">
        <v>2.1</v>
      </c>
      <c r="O367" s="12">
        <f t="shared" ca="1" si="35"/>
        <v>14.010958904109589</v>
      </c>
      <c r="P367" s="12">
        <f t="shared" ca="1" si="36"/>
        <v>16.110958904109591</v>
      </c>
      <c r="Q367" s="12" t="s">
        <v>68</v>
      </c>
      <c r="R367" s="9" t="s">
        <v>901</v>
      </c>
      <c r="S367" s="9" t="s">
        <v>36</v>
      </c>
      <c r="T367" s="9" t="s">
        <v>186</v>
      </c>
    </row>
    <row r="368" spans="1:20" ht="36" customHeight="1">
      <c r="A368" s="6">
        <f t="shared" si="37"/>
        <v>367</v>
      </c>
      <c r="B368" s="17" t="s">
        <v>1150</v>
      </c>
      <c r="C368" s="17" t="s">
        <v>1151</v>
      </c>
      <c r="D368" s="9" t="s">
        <v>26</v>
      </c>
      <c r="E368" s="10">
        <v>31407</v>
      </c>
      <c r="F368" s="11">
        <f t="shared" ca="1" si="40"/>
        <v>37.983561643835614</v>
      </c>
      <c r="G368" s="11">
        <f t="shared" si="38"/>
        <v>12</v>
      </c>
      <c r="H368" s="11">
        <f t="shared" si="39"/>
        <v>26</v>
      </c>
      <c r="I368" s="10">
        <v>40157</v>
      </c>
      <c r="J368" s="9" t="s">
        <v>226</v>
      </c>
      <c r="K368" s="9" t="s">
        <v>1152</v>
      </c>
      <c r="L368" s="9" t="s">
        <v>34</v>
      </c>
      <c r="M368" s="9" t="s">
        <v>35</v>
      </c>
      <c r="N368" s="11">
        <v>0.5</v>
      </c>
      <c r="O368" s="12">
        <f t="shared" ca="1" si="35"/>
        <v>14.010958904109589</v>
      </c>
      <c r="P368" s="12">
        <f t="shared" ca="1" si="36"/>
        <v>14.510958904109589</v>
      </c>
      <c r="Q368" s="12" t="s">
        <v>68</v>
      </c>
      <c r="R368" s="9" t="s">
        <v>901</v>
      </c>
      <c r="S368" s="9" t="s">
        <v>36</v>
      </c>
      <c r="T368" s="9" t="s">
        <v>1153</v>
      </c>
    </row>
    <row r="369" spans="1:20" ht="36" customHeight="1">
      <c r="A369" s="6">
        <f t="shared" si="37"/>
        <v>368</v>
      </c>
      <c r="B369" s="17" t="s">
        <v>1154</v>
      </c>
      <c r="C369" s="17" t="s">
        <v>1155</v>
      </c>
      <c r="D369" s="9" t="s">
        <v>26</v>
      </c>
      <c r="E369" s="10">
        <v>30836</v>
      </c>
      <c r="F369" s="11">
        <f t="shared" ca="1" si="40"/>
        <v>39.547945205479451</v>
      </c>
      <c r="G369" s="11">
        <f t="shared" si="38"/>
        <v>6</v>
      </c>
      <c r="H369" s="11">
        <f t="shared" si="39"/>
        <v>3</v>
      </c>
      <c r="I369" s="10">
        <v>40157</v>
      </c>
      <c r="J369" s="9" t="s">
        <v>41</v>
      </c>
      <c r="K369" s="9" t="s">
        <v>1156</v>
      </c>
      <c r="L369" s="9" t="s">
        <v>208</v>
      </c>
      <c r="M369" s="9" t="s">
        <v>35</v>
      </c>
      <c r="N369" s="11">
        <v>4.1100000000000003</v>
      </c>
      <c r="O369" s="12">
        <f t="shared" ca="1" si="35"/>
        <v>14.010958904109589</v>
      </c>
      <c r="P369" s="12">
        <f t="shared" ca="1" si="36"/>
        <v>18.120958904109589</v>
      </c>
      <c r="Q369" s="12" t="s">
        <v>68</v>
      </c>
      <c r="R369" s="9" t="s">
        <v>901</v>
      </c>
      <c r="S369" s="9" t="s">
        <v>36</v>
      </c>
      <c r="T369" s="9" t="s">
        <v>860</v>
      </c>
    </row>
    <row r="370" spans="1:20" ht="36" customHeight="1">
      <c r="A370" s="6">
        <f t="shared" si="37"/>
        <v>369</v>
      </c>
      <c r="B370" s="17" t="s">
        <v>1157</v>
      </c>
      <c r="C370" s="17" t="s">
        <v>1158</v>
      </c>
      <c r="D370" s="9" t="s">
        <v>26</v>
      </c>
      <c r="E370" s="10">
        <v>23504</v>
      </c>
      <c r="F370" s="11">
        <f t="shared" ca="1" si="40"/>
        <v>59.635616438356166</v>
      </c>
      <c r="G370" s="11">
        <f t="shared" si="38"/>
        <v>5</v>
      </c>
      <c r="H370" s="11">
        <f t="shared" si="39"/>
        <v>7</v>
      </c>
      <c r="I370" s="10">
        <v>40151</v>
      </c>
      <c r="J370" s="9" t="s">
        <v>318</v>
      </c>
      <c r="K370" s="9" t="s">
        <v>1159</v>
      </c>
      <c r="L370" s="9" t="s">
        <v>34</v>
      </c>
      <c r="M370" s="9" t="s">
        <v>35</v>
      </c>
      <c r="N370" s="11">
        <v>15</v>
      </c>
      <c r="O370" s="12">
        <f t="shared" ca="1" si="35"/>
        <v>14.027397260273972</v>
      </c>
      <c r="P370" s="12">
        <f t="shared" ca="1" si="36"/>
        <v>29.027397260273972</v>
      </c>
      <c r="Q370" s="12" t="s">
        <v>26</v>
      </c>
      <c r="R370" s="9" t="s">
        <v>901</v>
      </c>
      <c r="S370" s="9" t="s">
        <v>36</v>
      </c>
      <c r="T370" s="9" t="s">
        <v>72</v>
      </c>
    </row>
    <row r="371" spans="1:20" ht="36" customHeight="1">
      <c r="A371" s="6">
        <f t="shared" si="37"/>
        <v>370</v>
      </c>
      <c r="B371" s="17" t="s">
        <v>1160</v>
      </c>
      <c r="C371" s="17" t="s">
        <v>1161</v>
      </c>
      <c r="D371" s="9" t="s">
        <v>26</v>
      </c>
      <c r="E371" s="10">
        <v>29244</v>
      </c>
      <c r="F371" s="11">
        <f t="shared" ca="1" si="40"/>
        <v>43.909589041095892</v>
      </c>
      <c r="G371" s="11">
        <f t="shared" si="38"/>
        <v>1</v>
      </c>
      <c r="H371" s="11">
        <f t="shared" si="39"/>
        <v>24</v>
      </c>
      <c r="I371" s="10">
        <v>40157</v>
      </c>
      <c r="J371" s="9" t="s">
        <v>58</v>
      </c>
      <c r="K371" s="9" t="s">
        <v>1162</v>
      </c>
      <c r="L371" s="9" t="s">
        <v>393</v>
      </c>
      <c r="M371" s="9" t="s">
        <v>61</v>
      </c>
      <c r="N371" s="11">
        <v>8</v>
      </c>
      <c r="O371" s="12">
        <f t="shared" ca="1" si="35"/>
        <v>14.010958904109589</v>
      </c>
      <c r="P371" s="12">
        <f t="shared" ca="1" si="36"/>
        <v>22.010958904109589</v>
      </c>
      <c r="Q371" s="34" t="s">
        <v>26</v>
      </c>
      <c r="R371" s="9" t="s">
        <v>901</v>
      </c>
      <c r="S371" s="24" t="s">
        <v>28</v>
      </c>
      <c r="T371" s="9" t="s">
        <v>114</v>
      </c>
    </row>
    <row r="372" spans="1:20" ht="36" customHeight="1">
      <c r="A372" s="6">
        <f t="shared" si="37"/>
        <v>371</v>
      </c>
      <c r="B372" s="17" t="s">
        <v>1163</v>
      </c>
      <c r="C372" s="17" t="s">
        <v>1164</v>
      </c>
      <c r="D372" s="9" t="s">
        <v>26</v>
      </c>
      <c r="E372" s="10">
        <v>27174</v>
      </c>
      <c r="F372" s="11">
        <f t="shared" ca="1" si="40"/>
        <v>49.580821917808223</v>
      </c>
      <c r="G372" s="11">
        <f t="shared" si="38"/>
        <v>5</v>
      </c>
      <c r="H372" s="11">
        <f t="shared" si="39"/>
        <v>25</v>
      </c>
      <c r="I372" s="10">
        <v>40163</v>
      </c>
      <c r="J372" s="9" t="s">
        <v>110</v>
      </c>
      <c r="K372" s="9" t="s">
        <v>1165</v>
      </c>
      <c r="L372" s="9" t="s">
        <v>34</v>
      </c>
      <c r="M372" s="9" t="s">
        <v>35</v>
      </c>
      <c r="N372" s="11">
        <v>12</v>
      </c>
      <c r="O372" s="12">
        <f t="shared" ca="1" si="35"/>
        <v>13.994520547945205</v>
      </c>
      <c r="P372" s="12">
        <f t="shared" ca="1" si="36"/>
        <v>25.994520547945207</v>
      </c>
      <c r="Q372" s="12" t="s">
        <v>26</v>
      </c>
      <c r="R372" s="9" t="s">
        <v>27</v>
      </c>
      <c r="S372" s="9" t="s">
        <v>36</v>
      </c>
      <c r="T372" s="9" t="s">
        <v>90</v>
      </c>
    </row>
    <row r="373" spans="1:20" ht="36" customHeight="1">
      <c r="A373" s="6">
        <f t="shared" si="37"/>
        <v>372</v>
      </c>
      <c r="B373" s="17" t="s">
        <v>1166</v>
      </c>
      <c r="C373" s="17" t="s">
        <v>1167</v>
      </c>
      <c r="D373" s="9" t="s">
        <v>26</v>
      </c>
      <c r="E373" s="10">
        <v>22646</v>
      </c>
      <c r="F373" s="11">
        <f t="shared" ca="1" si="40"/>
        <v>61.986301369863014</v>
      </c>
      <c r="G373" s="11">
        <v>12</v>
      </c>
      <c r="H373" s="11">
        <v>31</v>
      </c>
      <c r="I373" s="10">
        <v>40158</v>
      </c>
      <c r="J373" s="9" t="s">
        <v>66</v>
      </c>
      <c r="K373" s="9" t="s">
        <v>1168</v>
      </c>
      <c r="L373" s="24" t="s">
        <v>490</v>
      </c>
      <c r="M373" s="9" t="s">
        <v>491</v>
      </c>
      <c r="N373" s="19">
        <v>28</v>
      </c>
      <c r="O373" s="12">
        <f t="shared" ca="1" si="35"/>
        <v>14.008219178082191</v>
      </c>
      <c r="P373" s="12">
        <f t="shared" ca="1" si="36"/>
        <v>42.008219178082193</v>
      </c>
      <c r="Q373" s="12" t="s">
        <v>26</v>
      </c>
      <c r="R373" s="9" t="s">
        <v>347</v>
      </c>
      <c r="S373" s="9" t="s">
        <v>28</v>
      </c>
      <c r="T373" s="9" t="s">
        <v>492</v>
      </c>
    </row>
    <row r="374" spans="1:20" ht="36" customHeight="1">
      <c r="A374" s="6">
        <f t="shared" si="37"/>
        <v>373</v>
      </c>
      <c r="B374" s="17" t="s">
        <v>1169</v>
      </c>
      <c r="C374" s="17" t="s">
        <v>1170</v>
      </c>
      <c r="D374" s="9" t="s">
        <v>26</v>
      </c>
      <c r="E374" s="10">
        <v>30968</v>
      </c>
      <c r="F374" s="11">
        <f t="shared" ca="1" si="40"/>
        <v>39.186301369863017</v>
      </c>
      <c r="G374" s="11">
        <f t="shared" ref="G374:G381" si="41">MONTH(E374)</f>
        <v>10</v>
      </c>
      <c r="H374" s="11">
        <f t="shared" ref="H374:H381" si="42">DAY(E374)</f>
        <v>13</v>
      </c>
      <c r="I374" s="10">
        <v>40168</v>
      </c>
      <c r="J374" s="9" t="s">
        <v>22</v>
      </c>
      <c r="K374" s="9" t="s">
        <v>241</v>
      </c>
      <c r="L374" s="9" t="s">
        <v>128</v>
      </c>
      <c r="M374" s="9" t="s">
        <v>156</v>
      </c>
      <c r="N374" s="11">
        <v>2.7</v>
      </c>
      <c r="O374" s="12">
        <f t="shared" ca="1" si="35"/>
        <v>13.980821917808219</v>
      </c>
      <c r="P374" s="12">
        <f t="shared" ca="1" si="36"/>
        <v>16.68082191780822</v>
      </c>
      <c r="Q374" s="12" t="s">
        <v>68</v>
      </c>
      <c r="R374" s="9" t="s">
        <v>27</v>
      </c>
      <c r="S374" s="24" t="s">
        <v>28</v>
      </c>
      <c r="T374" s="9" t="s">
        <v>29</v>
      </c>
    </row>
    <row r="375" spans="1:20" ht="36" customHeight="1">
      <c r="A375" s="6">
        <f t="shared" si="37"/>
        <v>374</v>
      </c>
      <c r="B375" s="17" t="s">
        <v>1171</v>
      </c>
      <c r="C375" s="8" t="s">
        <v>1172</v>
      </c>
      <c r="D375" s="9" t="s">
        <v>26</v>
      </c>
      <c r="E375" s="10">
        <v>31514</v>
      </c>
      <c r="F375" s="11">
        <f t="shared" ca="1" si="40"/>
        <v>37.69041095890411</v>
      </c>
      <c r="G375" s="11">
        <f t="shared" si="41"/>
        <v>4</v>
      </c>
      <c r="H375" s="11">
        <f t="shared" si="42"/>
        <v>12</v>
      </c>
      <c r="I375" s="10">
        <v>40168</v>
      </c>
      <c r="J375" s="9" t="s">
        <v>50</v>
      </c>
      <c r="K375" s="9" t="s">
        <v>159</v>
      </c>
      <c r="L375" s="9" t="s">
        <v>393</v>
      </c>
      <c r="M375" s="9" t="s">
        <v>61</v>
      </c>
      <c r="N375" s="11">
        <v>0.3</v>
      </c>
      <c r="O375" s="12">
        <f t="shared" ca="1" si="35"/>
        <v>13.980821917808219</v>
      </c>
      <c r="P375" s="12">
        <f t="shared" ca="1" si="36"/>
        <v>14.28082191780822</v>
      </c>
      <c r="Q375" s="12" t="s">
        <v>68</v>
      </c>
      <c r="R375" s="9" t="s">
        <v>27</v>
      </c>
      <c r="S375" s="9" t="s">
        <v>36</v>
      </c>
      <c r="T375" s="9" t="s">
        <v>72</v>
      </c>
    </row>
    <row r="376" spans="1:20" ht="36" customHeight="1">
      <c r="A376" s="6">
        <f t="shared" si="37"/>
        <v>375</v>
      </c>
      <c r="B376" s="17" t="s">
        <v>1173</v>
      </c>
      <c r="C376" s="8" t="s">
        <v>1174</v>
      </c>
      <c r="D376" s="9" t="s">
        <v>26</v>
      </c>
      <c r="E376" s="10">
        <v>24826</v>
      </c>
      <c r="F376" s="11">
        <f t="shared" ca="1" si="40"/>
        <v>56.013698630136986</v>
      </c>
      <c r="G376" s="11">
        <f t="shared" si="41"/>
        <v>12</v>
      </c>
      <c r="H376" s="11">
        <f t="shared" si="42"/>
        <v>20</v>
      </c>
      <c r="I376" s="10">
        <v>40168</v>
      </c>
      <c r="J376" s="9" t="s">
        <v>110</v>
      </c>
      <c r="K376" s="9" t="s">
        <v>480</v>
      </c>
      <c r="L376" s="24" t="s">
        <v>490</v>
      </c>
      <c r="M376" s="9" t="s">
        <v>491</v>
      </c>
      <c r="N376" s="19">
        <v>16</v>
      </c>
      <c r="O376" s="12">
        <f t="shared" ca="1" si="35"/>
        <v>13.980821917808219</v>
      </c>
      <c r="P376" s="12">
        <f t="shared" ca="1" si="36"/>
        <v>29.980821917808221</v>
      </c>
      <c r="Q376" s="12" t="s">
        <v>26</v>
      </c>
      <c r="R376" s="9" t="s">
        <v>347</v>
      </c>
      <c r="S376" s="9" t="s">
        <v>28</v>
      </c>
      <c r="T376" s="9" t="s">
        <v>492</v>
      </c>
    </row>
    <row r="377" spans="1:20" ht="36" customHeight="1">
      <c r="A377" s="6">
        <f t="shared" si="37"/>
        <v>376</v>
      </c>
      <c r="B377" s="17" t="s">
        <v>1175</v>
      </c>
      <c r="C377" s="8" t="s">
        <v>1176</v>
      </c>
      <c r="D377" s="9" t="s">
        <v>26</v>
      </c>
      <c r="E377" s="10">
        <v>28311</v>
      </c>
      <c r="F377" s="11">
        <f t="shared" ca="1" si="40"/>
        <v>46.465753424657535</v>
      </c>
      <c r="G377" s="11">
        <f t="shared" si="41"/>
        <v>7</v>
      </c>
      <c r="H377" s="11">
        <f t="shared" si="42"/>
        <v>5</v>
      </c>
      <c r="I377" s="10">
        <v>40168</v>
      </c>
      <c r="J377" s="9" t="s">
        <v>110</v>
      </c>
      <c r="K377" s="9" t="s">
        <v>1177</v>
      </c>
      <c r="L377" s="24" t="s">
        <v>490</v>
      </c>
      <c r="M377" s="9" t="s">
        <v>491</v>
      </c>
      <c r="N377" s="19">
        <v>9</v>
      </c>
      <c r="O377" s="12">
        <f t="shared" ca="1" si="35"/>
        <v>13.980821917808219</v>
      </c>
      <c r="P377" s="12">
        <f t="shared" ca="1" si="36"/>
        <v>22.980821917808221</v>
      </c>
      <c r="Q377" s="12" t="s">
        <v>26</v>
      </c>
      <c r="R377" s="9" t="s">
        <v>792</v>
      </c>
      <c r="S377" s="9" t="s">
        <v>28</v>
      </c>
      <c r="T377" s="9" t="s">
        <v>492</v>
      </c>
    </row>
    <row r="378" spans="1:20" ht="36" customHeight="1">
      <c r="A378" s="6">
        <f t="shared" si="37"/>
        <v>377</v>
      </c>
      <c r="B378" s="17" t="s">
        <v>1178</v>
      </c>
      <c r="C378" s="8" t="s">
        <v>1179</v>
      </c>
      <c r="D378" s="9" t="s">
        <v>26</v>
      </c>
      <c r="E378" s="10">
        <v>28691</v>
      </c>
      <c r="F378" s="11">
        <f t="shared" ca="1" si="40"/>
        <v>45.424657534246577</v>
      </c>
      <c r="G378" s="11">
        <f t="shared" si="41"/>
        <v>7</v>
      </c>
      <c r="H378" s="11">
        <f t="shared" si="42"/>
        <v>20</v>
      </c>
      <c r="I378" s="10">
        <v>40142</v>
      </c>
      <c r="J378" s="9" t="s">
        <v>50</v>
      </c>
      <c r="K378" s="9" t="s">
        <v>543</v>
      </c>
      <c r="L378" s="24" t="s">
        <v>490</v>
      </c>
      <c r="M378" s="9" t="s">
        <v>491</v>
      </c>
      <c r="N378" s="19">
        <v>7</v>
      </c>
      <c r="O378" s="12">
        <f t="shared" ca="1" si="35"/>
        <v>14.052054794520547</v>
      </c>
      <c r="P378" s="12">
        <f t="shared" ca="1" si="36"/>
        <v>21.052054794520547</v>
      </c>
      <c r="Q378" s="12" t="s">
        <v>26</v>
      </c>
      <c r="R378" s="9" t="s">
        <v>792</v>
      </c>
      <c r="S378" s="9" t="s">
        <v>28</v>
      </c>
      <c r="T378" s="9" t="s">
        <v>492</v>
      </c>
    </row>
    <row r="379" spans="1:20" ht="36" customHeight="1">
      <c r="A379" s="6">
        <f t="shared" si="37"/>
        <v>378</v>
      </c>
      <c r="B379" s="17" t="s">
        <v>1180</v>
      </c>
      <c r="C379" s="8" t="s">
        <v>1181</v>
      </c>
      <c r="D379" s="9" t="s">
        <v>26</v>
      </c>
      <c r="E379" s="10">
        <v>26733</v>
      </c>
      <c r="F379" s="11">
        <f t="shared" ca="1" si="40"/>
        <v>50.789041095890411</v>
      </c>
      <c r="G379" s="11">
        <f t="shared" si="41"/>
        <v>3</v>
      </c>
      <c r="H379" s="11">
        <f t="shared" si="42"/>
        <v>10</v>
      </c>
      <c r="I379" s="10">
        <v>40158</v>
      </c>
      <c r="J379" s="9" t="s">
        <v>110</v>
      </c>
      <c r="K379" s="9" t="s">
        <v>1182</v>
      </c>
      <c r="L379" s="24" t="s">
        <v>490</v>
      </c>
      <c r="M379" s="9" t="s">
        <v>491</v>
      </c>
      <c r="N379" s="19">
        <v>13</v>
      </c>
      <c r="O379" s="12">
        <f t="shared" ca="1" si="35"/>
        <v>14.008219178082191</v>
      </c>
      <c r="P379" s="12">
        <f t="shared" ca="1" si="36"/>
        <v>27.008219178082193</v>
      </c>
      <c r="Q379" s="12" t="s">
        <v>26</v>
      </c>
      <c r="R379" s="9" t="s">
        <v>347</v>
      </c>
      <c r="S379" s="9" t="s">
        <v>28</v>
      </c>
      <c r="T379" s="9" t="s">
        <v>492</v>
      </c>
    </row>
    <row r="380" spans="1:20" ht="36" customHeight="1">
      <c r="A380" s="6">
        <f t="shared" si="37"/>
        <v>379</v>
      </c>
      <c r="B380" s="17" t="s">
        <v>1183</v>
      </c>
      <c r="C380" s="8" t="s">
        <v>1184</v>
      </c>
      <c r="D380" s="9" t="s">
        <v>26</v>
      </c>
      <c r="E380" s="10">
        <v>27961</v>
      </c>
      <c r="F380" s="11">
        <f t="shared" ca="1" si="40"/>
        <v>47.424657534246577</v>
      </c>
      <c r="G380" s="11">
        <f t="shared" si="41"/>
        <v>7</v>
      </c>
      <c r="H380" s="11">
        <f t="shared" si="42"/>
        <v>20</v>
      </c>
      <c r="I380" s="10">
        <v>40170</v>
      </c>
      <c r="J380" s="9" t="s">
        <v>22</v>
      </c>
      <c r="K380" s="9" t="s">
        <v>1185</v>
      </c>
      <c r="L380" s="9" t="s">
        <v>393</v>
      </c>
      <c r="M380" s="9" t="s">
        <v>156</v>
      </c>
      <c r="N380" s="11">
        <v>7</v>
      </c>
      <c r="O380" s="12">
        <f t="shared" ca="1" si="35"/>
        <v>13.975342465753425</v>
      </c>
      <c r="P380" s="12">
        <f t="shared" ca="1" si="36"/>
        <v>20.975342465753425</v>
      </c>
      <c r="Q380" s="12" t="s">
        <v>26</v>
      </c>
      <c r="R380" s="9" t="s">
        <v>27</v>
      </c>
      <c r="S380" s="9" t="s">
        <v>36</v>
      </c>
      <c r="T380" s="9" t="s">
        <v>29</v>
      </c>
    </row>
    <row r="381" spans="1:20" ht="36" customHeight="1">
      <c r="A381" s="6">
        <f t="shared" si="37"/>
        <v>380</v>
      </c>
      <c r="B381" s="17" t="s">
        <v>1186</v>
      </c>
      <c r="C381" s="8" t="s">
        <v>1187</v>
      </c>
      <c r="D381" s="9" t="s">
        <v>21</v>
      </c>
      <c r="E381" s="10">
        <v>29446</v>
      </c>
      <c r="F381" s="11">
        <f t="shared" ca="1" si="40"/>
        <v>43.356164383561641</v>
      </c>
      <c r="G381" s="11">
        <f t="shared" si="41"/>
        <v>8</v>
      </c>
      <c r="H381" s="11">
        <f t="shared" si="42"/>
        <v>13</v>
      </c>
      <c r="I381" s="10">
        <v>40168</v>
      </c>
      <c r="J381" s="9" t="s">
        <v>110</v>
      </c>
      <c r="K381" s="9" t="s">
        <v>63</v>
      </c>
      <c r="L381" s="9" t="s">
        <v>231</v>
      </c>
      <c r="M381" s="9" t="s">
        <v>61</v>
      </c>
      <c r="N381" s="11">
        <v>4</v>
      </c>
      <c r="O381" s="12">
        <f t="shared" ca="1" si="35"/>
        <v>13.980821917808219</v>
      </c>
      <c r="P381" s="12">
        <f t="shared" ca="1" si="36"/>
        <v>17.980821917808221</v>
      </c>
      <c r="Q381" s="12" t="s">
        <v>26</v>
      </c>
      <c r="R381" s="9" t="s">
        <v>27</v>
      </c>
      <c r="S381" s="24" t="s">
        <v>28</v>
      </c>
      <c r="T381" s="9" t="s">
        <v>114</v>
      </c>
    </row>
    <row r="382" spans="1:20" ht="36" customHeight="1">
      <c r="A382" s="6">
        <f t="shared" si="37"/>
        <v>381</v>
      </c>
      <c r="B382" s="17" t="s">
        <v>1188</v>
      </c>
      <c r="C382" s="8" t="s">
        <v>1189</v>
      </c>
      <c r="D382" s="9" t="s">
        <v>26</v>
      </c>
      <c r="E382" s="10">
        <v>30468</v>
      </c>
      <c r="F382" s="11">
        <v>27.230136986301371</v>
      </c>
      <c r="G382" s="11">
        <v>6</v>
      </c>
      <c r="H382" s="11">
        <v>1</v>
      </c>
      <c r="I382" s="10">
        <v>40148</v>
      </c>
      <c r="J382" s="9" t="s">
        <v>50</v>
      </c>
      <c r="K382" s="9" t="s">
        <v>543</v>
      </c>
      <c r="L382" s="24" t="s">
        <v>490</v>
      </c>
      <c r="M382" s="9" t="s">
        <v>491</v>
      </c>
      <c r="N382" s="19">
        <v>6</v>
      </c>
      <c r="O382" s="12">
        <f t="shared" ca="1" si="35"/>
        <v>14.035616438356165</v>
      </c>
      <c r="P382" s="12">
        <f t="shared" ca="1" si="36"/>
        <v>20.035616438356165</v>
      </c>
      <c r="Q382" s="12" t="s">
        <v>68</v>
      </c>
      <c r="R382" s="9" t="s">
        <v>27</v>
      </c>
      <c r="S382" s="24" t="s">
        <v>28</v>
      </c>
      <c r="T382" s="9" t="s">
        <v>492</v>
      </c>
    </row>
    <row r="383" spans="1:20" ht="36" customHeight="1">
      <c r="A383" s="6">
        <f t="shared" si="37"/>
        <v>382</v>
      </c>
      <c r="B383" s="17" t="s">
        <v>1190</v>
      </c>
      <c r="C383" s="8" t="s">
        <v>1191</v>
      </c>
      <c r="D383" s="9" t="s">
        <v>26</v>
      </c>
      <c r="E383" s="10">
        <v>31584</v>
      </c>
      <c r="F383" s="11">
        <f t="shared" ref="F383:F446" ca="1" si="43">(TODAY()-E383)/365</f>
        <v>37.4986301369863</v>
      </c>
      <c r="G383" s="11">
        <f t="shared" ref="G383:G446" si="44">MONTH(E383)</f>
        <v>6</v>
      </c>
      <c r="H383" s="11">
        <f t="shared" ref="H383:H446" si="45">DAY(E383)</f>
        <v>21</v>
      </c>
      <c r="I383" s="10">
        <v>40168</v>
      </c>
      <c r="J383" s="9" t="s">
        <v>45</v>
      </c>
      <c r="K383" s="9" t="s">
        <v>477</v>
      </c>
      <c r="L383" s="9" t="s">
        <v>34</v>
      </c>
      <c r="M383" s="9" t="s">
        <v>35</v>
      </c>
      <c r="N383" s="11">
        <v>0.2</v>
      </c>
      <c r="O383" s="12">
        <f t="shared" ca="1" si="35"/>
        <v>13.980821917808219</v>
      </c>
      <c r="P383" s="12">
        <f t="shared" ca="1" si="36"/>
        <v>14.180821917808219</v>
      </c>
      <c r="Q383" s="12" t="s">
        <v>68</v>
      </c>
      <c r="R383" s="9" t="s">
        <v>27</v>
      </c>
      <c r="S383" s="9" t="s">
        <v>36</v>
      </c>
      <c r="T383" s="9" t="s">
        <v>137</v>
      </c>
    </row>
    <row r="384" spans="1:20" ht="36" customHeight="1">
      <c r="A384" s="6">
        <f t="shared" si="37"/>
        <v>383</v>
      </c>
      <c r="B384" s="17" t="s">
        <v>1192</v>
      </c>
      <c r="C384" s="8" t="s">
        <v>1193</v>
      </c>
      <c r="D384" s="9" t="s">
        <v>26</v>
      </c>
      <c r="E384" s="10">
        <v>27620</v>
      </c>
      <c r="F384" s="11">
        <f t="shared" ca="1" si="43"/>
        <v>48.358904109589041</v>
      </c>
      <c r="G384" s="11">
        <f t="shared" si="44"/>
        <v>8</v>
      </c>
      <c r="H384" s="11">
        <f t="shared" si="45"/>
        <v>14</v>
      </c>
      <c r="I384" s="10">
        <v>40178</v>
      </c>
      <c r="J384" s="9" t="s">
        <v>87</v>
      </c>
      <c r="K384" s="9" t="s">
        <v>1194</v>
      </c>
      <c r="L384" s="9" t="s">
        <v>675</v>
      </c>
      <c r="M384" s="9" t="s">
        <v>134</v>
      </c>
      <c r="N384" s="11">
        <v>15</v>
      </c>
      <c r="O384" s="12">
        <f t="shared" ca="1" si="35"/>
        <v>13.953424657534246</v>
      </c>
      <c r="P384" s="12">
        <f t="shared" ca="1" si="36"/>
        <v>28.953424657534246</v>
      </c>
      <c r="Q384" s="12" t="s">
        <v>68</v>
      </c>
      <c r="R384" s="9" t="s">
        <v>27</v>
      </c>
      <c r="S384" s="9" t="s">
        <v>36</v>
      </c>
      <c r="T384" s="9" t="s">
        <v>137</v>
      </c>
    </row>
    <row r="385" spans="1:20" ht="36" customHeight="1">
      <c r="A385" s="6">
        <f t="shared" si="37"/>
        <v>384</v>
      </c>
      <c r="B385" s="17" t="s">
        <v>1195</v>
      </c>
      <c r="C385" s="8" t="s">
        <v>1196</v>
      </c>
      <c r="D385" s="9" t="s">
        <v>26</v>
      </c>
      <c r="E385" s="10">
        <v>25586</v>
      </c>
      <c r="F385" s="11">
        <f t="shared" ca="1" si="43"/>
        <v>53.93150684931507</v>
      </c>
      <c r="G385" s="11">
        <f t="shared" si="44"/>
        <v>1</v>
      </c>
      <c r="H385" s="11">
        <f t="shared" si="45"/>
        <v>18</v>
      </c>
      <c r="I385" s="10">
        <v>40179</v>
      </c>
      <c r="J385" s="9" t="s">
        <v>226</v>
      </c>
      <c r="K385" s="9" t="s">
        <v>96</v>
      </c>
      <c r="L385" s="9" t="s">
        <v>796</v>
      </c>
      <c r="M385" s="9" t="s">
        <v>35</v>
      </c>
      <c r="N385" s="11">
        <v>13.5</v>
      </c>
      <c r="O385" s="12">
        <f t="shared" ca="1" si="35"/>
        <v>13.950684931506849</v>
      </c>
      <c r="P385" s="12">
        <f t="shared" ca="1" si="36"/>
        <v>27.450684931506849</v>
      </c>
      <c r="Q385" s="12" t="s">
        <v>68</v>
      </c>
      <c r="R385" s="9" t="s">
        <v>442</v>
      </c>
      <c r="S385" s="9" t="s">
        <v>36</v>
      </c>
      <c r="T385" s="9" t="s">
        <v>137</v>
      </c>
    </row>
    <row r="386" spans="1:20" ht="36" customHeight="1">
      <c r="A386" s="6">
        <f t="shared" si="37"/>
        <v>385</v>
      </c>
      <c r="B386" s="17" t="s">
        <v>1197</v>
      </c>
      <c r="C386" s="8" t="s">
        <v>1198</v>
      </c>
      <c r="D386" s="9" t="s">
        <v>21</v>
      </c>
      <c r="E386" s="10">
        <v>27211</v>
      </c>
      <c r="F386" s="11">
        <f t="shared" ca="1" si="43"/>
        <v>49.479452054794521</v>
      </c>
      <c r="G386" s="11">
        <f t="shared" si="44"/>
        <v>7</v>
      </c>
      <c r="H386" s="11">
        <f t="shared" si="45"/>
        <v>1</v>
      </c>
      <c r="I386" s="10">
        <v>40182</v>
      </c>
      <c r="J386" s="9" t="s">
        <v>110</v>
      </c>
      <c r="K386" s="9" t="s">
        <v>63</v>
      </c>
      <c r="L386" s="9" t="s">
        <v>231</v>
      </c>
      <c r="M386" s="9" t="s">
        <v>156</v>
      </c>
      <c r="N386" s="11">
        <v>1.6</v>
      </c>
      <c r="O386" s="12">
        <f t="shared" ref="O386:O449" ca="1" si="46">(TODAY()-I386)/365</f>
        <v>13.942465753424658</v>
      </c>
      <c r="P386" s="12">
        <f t="shared" ref="P386:P449" ca="1" si="47">SUM(N386+O386)</f>
        <v>15.542465753424658</v>
      </c>
      <c r="Q386" s="12" t="s">
        <v>26</v>
      </c>
      <c r="R386" s="9" t="s">
        <v>95</v>
      </c>
      <c r="S386" s="9" t="s">
        <v>36</v>
      </c>
      <c r="T386" s="9" t="s">
        <v>90</v>
      </c>
    </row>
    <row r="387" spans="1:20" ht="36" customHeight="1">
      <c r="A387" s="6">
        <f t="shared" si="37"/>
        <v>386</v>
      </c>
      <c r="B387" s="17" t="s">
        <v>1199</v>
      </c>
      <c r="C387" s="17" t="s">
        <v>1200</v>
      </c>
      <c r="D387" s="6" t="s">
        <v>26</v>
      </c>
      <c r="E387" s="18">
        <v>29013</v>
      </c>
      <c r="F387" s="19">
        <f t="shared" ca="1" si="43"/>
        <v>44.542465753424658</v>
      </c>
      <c r="G387" s="19">
        <f t="shared" si="44"/>
        <v>6</v>
      </c>
      <c r="H387" s="19">
        <f t="shared" si="45"/>
        <v>7</v>
      </c>
      <c r="I387" s="18">
        <v>40182</v>
      </c>
      <c r="J387" s="6" t="s">
        <v>32</v>
      </c>
      <c r="K387" s="6" t="s">
        <v>33</v>
      </c>
      <c r="L387" s="6" t="s">
        <v>34</v>
      </c>
      <c r="M387" s="9" t="s">
        <v>156</v>
      </c>
      <c r="N387" s="19">
        <v>8</v>
      </c>
      <c r="O387" s="20">
        <f t="shared" ca="1" si="46"/>
        <v>13.942465753424658</v>
      </c>
      <c r="P387" s="20">
        <f t="shared" ca="1" si="47"/>
        <v>21.942465753424656</v>
      </c>
      <c r="Q387" s="20" t="s">
        <v>26</v>
      </c>
      <c r="R387" s="6" t="s">
        <v>27</v>
      </c>
      <c r="S387" s="6" t="s">
        <v>36</v>
      </c>
      <c r="T387" s="6" t="s">
        <v>72</v>
      </c>
    </row>
    <row r="388" spans="1:20" ht="36" customHeight="1">
      <c r="A388" s="6">
        <f t="shared" ref="A388:A451" si="48">+A387+1</f>
        <v>387</v>
      </c>
      <c r="B388" s="17" t="s">
        <v>1202</v>
      </c>
      <c r="C388" s="8" t="s">
        <v>1203</v>
      </c>
      <c r="D388" s="9" t="s">
        <v>26</v>
      </c>
      <c r="E388" s="10">
        <v>29346</v>
      </c>
      <c r="F388" s="11">
        <f t="shared" ca="1" si="43"/>
        <v>43.630136986301373</v>
      </c>
      <c r="G388" s="11">
        <f t="shared" si="44"/>
        <v>5</v>
      </c>
      <c r="H388" s="11">
        <f t="shared" si="45"/>
        <v>5</v>
      </c>
      <c r="I388" s="10">
        <v>40182</v>
      </c>
      <c r="J388" s="9" t="s">
        <v>87</v>
      </c>
      <c r="K388" s="9" t="s">
        <v>1204</v>
      </c>
      <c r="L388" s="9" t="s">
        <v>208</v>
      </c>
      <c r="M388" s="9" t="s">
        <v>35</v>
      </c>
      <c r="N388" s="11">
        <v>7.6</v>
      </c>
      <c r="O388" s="12">
        <f t="shared" ca="1" si="46"/>
        <v>13.942465753424658</v>
      </c>
      <c r="P388" s="12">
        <f t="shared" ca="1" si="47"/>
        <v>21.542465753424658</v>
      </c>
      <c r="Q388" s="12" t="s">
        <v>26</v>
      </c>
      <c r="R388" s="9" t="s">
        <v>27</v>
      </c>
      <c r="S388" s="24" t="s">
        <v>28</v>
      </c>
      <c r="T388" s="9" t="s">
        <v>137</v>
      </c>
    </row>
    <row r="389" spans="1:20" ht="36" customHeight="1">
      <c r="A389" s="6">
        <f t="shared" si="48"/>
        <v>388</v>
      </c>
      <c r="B389" s="17" t="s">
        <v>1205</v>
      </c>
      <c r="C389" s="8" t="s">
        <v>1206</v>
      </c>
      <c r="D389" s="9" t="s">
        <v>26</v>
      </c>
      <c r="E389" s="10">
        <v>32818</v>
      </c>
      <c r="F389" s="11">
        <f t="shared" ca="1" si="43"/>
        <v>34.11780821917808</v>
      </c>
      <c r="G389" s="11">
        <f t="shared" si="44"/>
        <v>11</v>
      </c>
      <c r="H389" s="11">
        <f t="shared" si="45"/>
        <v>6</v>
      </c>
      <c r="I389" s="10">
        <v>40182</v>
      </c>
      <c r="J389" s="9" t="s">
        <v>226</v>
      </c>
      <c r="K389" s="9" t="s">
        <v>1207</v>
      </c>
      <c r="L389" s="9" t="s">
        <v>34</v>
      </c>
      <c r="M389" s="9" t="s">
        <v>35</v>
      </c>
      <c r="N389" s="11">
        <v>0.5</v>
      </c>
      <c r="O389" s="12">
        <f t="shared" ca="1" si="46"/>
        <v>13.942465753424658</v>
      </c>
      <c r="P389" s="12">
        <f t="shared" ca="1" si="47"/>
        <v>14.442465753424658</v>
      </c>
      <c r="Q389" s="12" t="s">
        <v>68</v>
      </c>
      <c r="R389" s="9" t="s">
        <v>442</v>
      </c>
      <c r="S389" s="9" t="s">
        <v>36</v>
      </c>
      <c r="T389" s="9" t="s">
        <v>137</v>
      </c>
    </row>
    <row r="390" spans="1:20" s="52" customFormat="1" ht="36" customHeight="1">
      <c r="A390" s="6">
        <f t="shared" si="48"/>
        <v>389</v>
      </c>
      <c r="B390" s="17" t="s">
        <v>1208</v>
      </c>
      <c r="C390" s="8" t="s">
        <v>1209</v>
      </c>
      <c r="D390" s="9" t="s">
        <v>26</v>
      </c>
      <c r="E390" s="10">
        <v>29845</v>
      </c>
      <c r="F390" s="11">
        <f t="shared" ca="1" si="43"/>
        <v>42.263013698630139</v>
      </c>
      <c r="G390" s="11">
        <f t="shared" si="44"/>
        <v>9</v>
      </c>
      <c r="H390" s="11">
        <f t="shared" si="45"/>
        <v>16</v>
      </c>
      <c r="I390" s="10">
        <v>40175</v>
      </c>
      <c r="J390" s="9" t="s">
        <v>50</v>
      </c>
      <c r="K390" s="9" t="s">
        <v>543</v>
      </c>
      <c r="L390" s="24" t="s">
        <v>490</v>
      </c>
      <c r="M390" s="9" t="s">
        <v>491</v>
      </c>
      <c r="N390" s="19">
        <v>6.2</v>
      </c>
      <c r="O390" s="12">
        <f t="shared" ca="1" si="46"/>
        <v>13.961643835616439</v>
      </c>
      <c r="P390" s="12">
        <f t="shared" ca="1" si="47"/>
        <v>20.161643835616438</v>
      </c>
      <c r="Q390" s="12" t="s">
        <v>26</v>
      </c>
      <c r="R390" s="9" t="s">
        <v>347</v>
      </c>
      <c r="S390" s="24" t="s">
        <v>28</v>
      </c>
      <c r="T390" s="9" t="s">
        <v>492</v>
      </c>
    </row>
    <row r="391" spans="1:20" ht="36" customHeight="1">
      <c r="A391" s="6">
        <f t="shared" si="48"/>
        <v>390</v>
      </c>
      <c r="B391" s="17" t="s">
        <v>1210</v>
      </c>
      <c r="C391" s="8" t="s">
        <v>1211</v>
      </c>
      <c r="D391" s="9" t="s">
        <v>26</v>
      </c>
      <c r="E391" s="10">
        <v>23665</v>
      </c>
      <c r="F391" s="11">
        <f t="shared" ca="1" si="43"/>
        <v>59.194520547945203</v>
      </c>
      <c r="G391" s="11">
        <f t="shared" si="44"/>
        <v>10</v>
      </c>
      <c r="H391" s="11">
        <f t="shared" si="45"/>
        <v>15</v>
      </c>
      <c r="I391" s="10">
        <v>40179</v>
      </c>
      <c r="J391" s="9" t="s">
        <v>110</v>
      </c>
      <c r="K391" s="9" t="s">
        <v>1212</v>
      </c>
      <c r="L391" s="24" t="s">
        <v>490</v>
      </c>
      <c r="M391" s="9" t="s">
        <v>491</v>
      </c>
      <c r="N391" s="19">
        <v>7.5</v>
      </c>
      <c r="O391" s="12">
        <f t="shared" ca="1" si="46"/>
        <v>13.950684931506849</v>
      </c>
      <c r="P391" s="12">
        <f t="shared" ca="1" si="47"/>
        <v>21.450684931506849</v>
      </c>
      <c r="Q391" s="12" t="s">
        <v>26</v>
      </c>
      <c r="R391" s="9" t="s">
        <v>792</v>
      </c>
      <c r="S391" s="24" t="s">
        <v>28</v>
      </c>
      <c r="T391" s="9" t="s">
        <v>492</v>
      </c>
    </row>
    <row r="392" spans="1:20" ht="36" customHeight="1">
      <c r="A392" s="6">
        <f t="shared" si="48"/>
        <v>391</v>
      </c>
      <c r="B392" s="17" t="s">
        <v>1213</v>
      </c>
      <c r="C392" s="8" t="s">
        <v>1214</v>
      </c>
      <c r="D392" s="9" t="s">
        <v>26</v>
      </c>
      <c r="E392" s="10">
        <v>27089</v>
      </c>
      <c r="F392" s="11">
        <f t="shared" ca="1" si="43"/>
        <v>49.813698630136983</v>
      </c>
      <c r="G392" s="11">
        <f t="shared" si="44"/>
        <v>3</v>
      </c>
      <c r="H392" s="11">
        <f t="shared" si="45"/>
        <v>1</v>
      </c>
      <c r="I392" s="10">
        <v>40179</v>
      </c>
      <c r="J392" s="9" t="s">
        <v>87</v>
      </c>
      <c r="K392" s="9" t="s">
        <v>1215</v>
      </c>
      <c r="L392" s="24" t="s">
        <v>490</v>
      </c>
      <c r="M392" s="9" t="s">
        <v>491</v>
      </c>
      <c r="N392" s="19">
        <v>9</v>
      </c>
      <c r="O392" s="12">
        <f t="shared" ca="1" si="46"/>
        <v>13.950684931506849</v>
      </c>
      <c r="P392" s="12">
        <f t="shared" ca="1" si="47"/>
        <v>22.950684931506849</v>
      </c>
      <c r="Q392" s="12" t="s">
        <v>26</v>
      </c>
      <c r="R392" s="9" t="s">
        <v>347</v>
      </c>
      <c r="S392" s="24" t="s">
        <v>28</v>
      </c>
      <c r="T392" s="9" t="s">
        <v>492</v>
      </c>
    </row>
    <row r="393" spans="1:20" ht="36" customHeight="1">
      <c r="A393" s="6">
        <f t="shared" si="48"/>
        <v>392</v>
      </c>
      <c r="B393" s="17" t="s">
        <v>1216</v>
      </c>
      <c r="C393" s="8" t="s">
        <v>1217</v>
      </c>
      <c r="D393" s="9" t="s">
        <v>26</v>
      </c>
      <c r="E393" s="10">
        <v>30630</v>
      </c>
      <c r="F393" s="11">
        <f t="shared" ca="1" si="43"/>
        <v>40.112328767123287</v>
      </c>
      <c r="G393" s="11">
        <f t="shared" si="44"/>
        <v>11</v>
      </c>
      <c r="H393" s="11">
        <f t="shared" si="45"/>
        <v>10</v>
      </c>
      <c r="I393" s="10">
        <v>40175</v>
      </c>
      <c r="J393" s="9" t="s">
        <v>50</v>
      </c>
      <c r="K393" s="9" t="s">
        <v>146</v>
      </c>
      <c r="L393" s="24" t="s">
        <v>490</v>
      </c>
      <c r="M393" s="9" t="s">
        <v>491</v>
      </c>
      <c r="N393" s="19">
        <v>3.5</v>
      </c>
      <c r="O393" s="12">
        <f t="shared" ca="1" si="46"/>
        <v>13.961643835616439</v>
      </c>
      <c r="P393" s="12">
        <f t="shared" ca="1" si="47"/>
        <v>17.461643835616439</v>
      </c>
      <c r="Q393" s="12" t="s">
        <v>26</v>
      </c>
      <c r="R393" s="9" t="s">
        <v>347</v>
      </c>
      <c r="S393" s="24" t="s">
        <v>28</v>
      </c>
      <c r="T393" s="9" t="s">
        <v>492</v>
      </c>
    </row>
    <row r="394" spans="1:20" ht="36" customHeight="1">
      <c r="A394" s="6">
        <f t="shared" si="48"/>
        <v>393</v>
      </c>
      <c r="B394" s="17" t="s">
        <v>1218</v>
      </c>
      <c r="C394" s="8" t="s">
        <v>1219</v>
      </c>
      <c r="D394" s="9" t="s">
        <v>21</v>
      </c>
      <c r="E394" s="10">
        <v>31876</v>
      </c>
      <c r="F394" s="11">
        <f t="shared" ca="1" si="43"/>
        <v>36.698630136986303</v>
      </c>
      <c r="G394" s="11">
        <f t="shared" si="44"/>
        <v>4</v>
      </c>
      <c r="H394" s="11">
        <f t="shared" si="45"/>
        <v>9</v>
      </c>
      <c r="I394" s="10">
        <v>40189</v>
      </c>
      <c r="J394" s="9" t="s">
        <v>87</v>
      </c>
      <c r="K394" s="9" t="s">
        <v>216</v>
      </c>
      <c r="L394" s="9" t="s">
        <v>60</v>
      </c>
      <c r="M394" s="9" t="s">
        <v>134</v>
      </c>
      <c r="N394" s="11">
        <v>3</v>
      </c>
      <c r="O394" s="12">
        <f t="shared" ca="1" si="46"/>
        <v>13.923287671232877</v>
      </c>
      <c r="P394" s="12">
        <f t="shared" ca="1" si="47"/>
        <v>16.923287671232877</v>
      </c>
      <c r="Q394" s="12" t="s">
        <v>68</v>
      </c>
      <c r="R394" s="9" t="s">
        <v>27</v>
      </c>
      <c r="S394" s="24" t="s">
        <v>28</v>
      </c>
      <c r="T394" s="9" t="s">
        <v>29</v>
      </c>
    </row>
    <row r="395" spans="1:20" ht="36" customHeight="1">
      <c r="A395" s="6">
        <f t="shared" si="48"/>
        <v>394</v>
      </c>
      <c r="B395" s="17" t="s">
        <v>1220</v>
      </c>
      <c r="C395" s="8" t="s">
        <v>1221</v>
      </c>
      <c r="D395" s="9" t="s">
        <v>26</v>
      </c>
      <c r="E395" s="10">
        <v>28717</v>
      </c>
      <c r="F395" s="11">
        <f t="shared" ca="1" si="43"/>
        <v>45.353424657534248</v>
      </c>
      <c r="G395" s="11">
        <f t="shared" si="44"/>
        <v>8</v>
      </c>
      <c r="H395" s="11">
        <f t="shared" si="45"/>
        <v>15</v>
      </c>
      <c r="I395" s="10">
        <v>40190</v>
      </c>
      <c r="J395" s="9" t="s">
        <v>66</v>
      </c>
      <c r="K395" s="9" t="s">
        <v>1222</v>
      </c>
      <c r="L395" s="9" t="s">
        <v>636</v>
      </c>
      <c r="M395" s="9" t="s">
        <v>25</v>
      </c>
      <c r="N395" s="11">
        <v>6</v>
      </c>
      <c r="O395" s="12">
        <f t="shared" ca="1" si="46"/>
        <v>13.920547945205479</v>
      </c>
      <c r="P395" s="12">
        <f t="shared" ca="1" si="47"/>
        <v>19.920547945205477</v>
      </c>
      <c r="Q395" s="12" t="s">
        <v>26</v>
      </c>
      <c r="R395" s="9" t="s">
        <v>27</v>
      </c>
      <c r="S395" s="24" t="s">
        <v>28</v>
      </c>
      <c r="T395" s="9" t="s">
        <v>29</v>
      </c>
    </row>
    <row r="396" spans="1:20" ht="36" customHeight="1">
      <c r="A396" s="6">
        <f t="shared" si="48"/>
        <v>395</v>
      </c>
      <c r="B396" s="17" t="s">
        <v>1224</v>
      </c>
      <c r="C396" s="8" t="s">
        <v>1225</v>
      </c>
      <c r="D396" s="9" t="s">
        <v>26</v>
      </c>
      <c r="E396" s="10">
        <v>30691</v>
      </c>
      <c r="F396" s="11">
        <f t="shared" ca="1" si="43"/>
        <v>39.945205479452056</v>
      </c>
      <c r="G396" s="11">
        <f t="shared" si="44"/>
        <v>1</v>
      </c>
      <c r="H396" s="11">
        <f t="shared" si="45"/>
        <v>10</v>
      </c>
      <c r="I396" s="10">
        <v>40189</v>
      </c>
      <c r="J396" s="9" t="s">
        <v>87</v>
      </c>
      <c r="K396" s="9" t="s">
        <v>1226</v>
      </c>
      <c r="L396" s="9" t="s">
        <v>34</v>
      </c>
      <c r="M396" s="9" t="s">
        <v>35</v>
      </c>
      <c r="N396" s="11">
        <v>7</v>
      </c>
      <c r="O396" s="12">
        <f t="shared" ca="1" si="46"/>
        <v>13.923287671232877</v>
      </c>
      <c r="P396" s="12">
        <f t="shared" ca="1" si="47"/>
        <v>20.923287671232877</v>
      </c>
      <c r="Q396" s="12" t="s">
        <v>68</v>
      </c>
      <c r="R396" s="9" t="s">
        <v>27</v>
      </c>
      <c r="S396" s="24" t="s">
        <v>36</v>
      </c>
      <c r="T396" s="9" t="s">
        <v>72</v>
      </c>
    </row>
    <row r="397" spans="1:20" ht="36" customHeight="1">
      <c r="A397" s="6">
        <f t="shared" si="48"/>
        <v>396</v>
      </c>
      <c r="B397" s="17" t="s">
        <v>1227</v>
      </c>
      <c r="C397" s="8" t="s">
        <v>1228</v>
      </c>
      <c r="D397" s="9" t="s">
        <v>26</v>
      </c>
      <c r="E397" s="10">
        <v>21700</v>
      </c>
      <c r="F397" s="11">
        <f t="shared" ca="1" si="43"/>
        <v>64.578082191780823</v>
      </c>
      <c r="G397" s="11">
        <f t="shared" si="44"/>
        <v>5</v>
      </c>
      <c r="H397" s="11">
        <f t="shared" si="45"/>
        <v>30</v>
      </c>
      <c r="I397" s="10">
        <v>40196</v>
      </c>
      <c r="J397" s="9" t="s">
        <v>50</v>
      </c>
      <c r="K397" s="9" t="s">
        <v>159</v>
      </c>
      <c r="L397" s="9" t="s">
        <v>675</v>
      </c>
      <c r="M397" s="9" t="s">
        <v>134</v>
      </c>
      <c r="N397" s="11">
        <v>31</v>
      </c>
      <c r="O397" s="12">
        <f t="shared" ca="1" si="46"/>
        <v>13.904109589041095</v>
      </c>
      <c r="P397" s="12">
        <f t="shared" ca="1" si="47"/>
        <v>44.904109589041099</v>
      </c>
      <c r="Q397" s="12" t="s">
        <v>26</v>
      </c>
      <c r="R397" s="9" t="s">
        <v>901</v>
      </c>
      <c r="S397" s="24" t="s">
        <v>36</v>
      </c>
      <c r="T397" s="9" t="s">
        <v>137</v>
      </c>
    </row>
    <row r="398" spans="1:20" ht="35.25" customHeight="1">
      <c r="A398" s="6">
        <f t="shared" si="48"/>
        <v>397</v>
      </c>
      <c r="B398" s="17" t="s">
        <v>1229</v>
      </c>
      <c r="C398" s="17" t="s">
        <v>1230</v>
      </c>
      <c r="D398" s="6" t="s">
        <v>26</v>
      </c>
      <c r="E398" s="18">
        <v>28840</v>
      </c>
      <c r="F398" s="19">
        <f t="shared" ca="1" si="43"/>
        <v>45.016438356164386</v>
      </c>
      <c r="G398" s="19">
        <f t="shared" si="44"/>
        <v>12</v>
      </c>
      <c r="H398" s="19">
        <f t="shared" si="45"/>
        <v>16</v>
      </c>
      <c r="I398" s="18">
        <v>40194</v>
      </c>
      <c r="J398" s="6" t="s">
        <v>22</v>
      </c>
      <c r="K398" s="6" t="s">
        <v>241</v>
      </c>
      <c r="L398" s="6" t="s">
        <v>231</v>
      </c>
      <c r="M398" s="6" t="s">
        <v>61</v>
      </c>
      <c r="N398" s="19">
        <v>10</v>
      </c>
      <c r="O398" s="20">
        <f t="shared" ca="1" si="46"/>
        <v>13.90958904109589</v>
      </c>
      <c r="P398" s="20">
        <f t="shared" ca="1" si="47"/>
        <v>23.909589041095892</v>
      </c>
      <c r="Q398" s="20" t="s">
        <v>26</v>
      </c>
      <c r="R398" s="6" t="s">
        <v>901</v>
      </c>
      <c r="S398" s="21" t="s">
        <v>28</v>
      </c>
      <c r="T398" s="6" t="s">
        <v>114</v>
      </c>
    </row>
    <row r="399" spans="1:20" ht="36" customHeight="1">
      <c r="A399" s="6">
        <f t="shared" si="48"/>
        <v>398</v>
      </c>
      <c r="B399" s="17" t="s">
        <v>1231</v>
      </c>
      <c r="C399" s="8" t="s">
        <v>1232</v>
      </c>
      <c r="D399" s="9" t="s">
        <v>26</v>
      </c>
      <c r="E399" s="10">
        <v>26825</v>
      </c>
      <c r="F399" s="11">
        <f t="shared" ca="1" si="43"/>
        <v>50.536986301369865</v>
      </c>
      <c r="G399" s="11">
        <f t="shared" si="44"/>
        <v>6</v>
      </c>
      <c r="H399" s="11">
        <f t="shared" si="45"/>
        <v>10</v>
      </c>
      <c r="I399" s="10">
        <v>40196</v>
      </c>
      <c r="J399" s="9" t="s">
        <v>110</v>
      </c>
      <c r="K399" s="9" t="s">
        <v>1233</v>
      </c>
      <c r="L399" s="9" t="s">
        <v>55</v>
      </c>
      <c r="M399" s="9" t="s">
        <v>35</v>
      </c>
      <c r="N399" s="11">
        <v>14</v>
      </c>
      <c r="O399" s="12">
        <f t="shared" ca="1" si="46"/>
        <v>13.904109589041095</v>
      </c>
      <c r="P399" s="12">
        <f t="shared" ca="1" si="47"/>
        <v>27.904109589041095</v>
      </c>
      <c r="Q399" s="12" t="s">
        <v>26</v>
      </c>
      <c r="R399" s="9" t="s">
        <v>901</v>
      </c>
      <c r="S399" s="24" t="s">
        <v>36</v>
      </c>
      <c r="T399" s="9" t="s">
        <v>37</v>
      </c>
    </row>
    <row r="400" spans="1:20" ht="36" customHeight="1">
      <c r="A400" s="6">
        <f t="shared" si="48"/>
        <v>399</v>
      </c>
      <c r="B400" s="17" t="s">
        <v>1234</v>
      </c>
      <c r="C400" s="8" t="s">
        <v>1235</v>
      </c>
      <c r="D400" s="9" t="s">
        <v>26</v>
      </c>
      <c r="E400" s="10">
        <v>24914</v>
      </c>
      <c r="F400" s="11">
        <f t="shared" ca="1" si="43"/>
        <v>55.772602739726025</v>
      </c>
      <c r="G400" s="11">
        <f t="shared" si="44"/>
        <v>3</v>
      </c>
      <c r="H400" s="11">
        <f t="shared" si="45"/>
        <v>17</v>
      </c>
      <c r="I400" s="10">
        <v>40198</v>
      </c>
      <c r="J400" s="9" t="s">
        <v>318</v>
      </c>
      <c r="K400" s="9" t="s">
        <v>409</v>
      </c>
      <c r="L400" s="9" t="s">
        <v>34</v>
      </c>
      <c r="M400" s="9" t="s">
        <v>35</v>
      </c>
      <c r="N400" s="11">
        <v>22</v>
      </c>
      <c r="O400" s="12">
        <f t="shared" ca="1" si="46"/>
        <v>13.898630136986302</v>
      </c>
      <c r="P400" s="12">
        <f t="shared" ca="1" si="47"/>
        <v>35.898630136986299</v>
      </c>
      <c r="Q400" s="12" t="s">
        <v>26</v>
      </c>
      <c r="R400" s="9" t="s">
        <v>901</v>
      </c>
      <c r="S400" s="24" t="s">
        <v>28</v>
      </c>
      <c r="T400" s="9" t="s">
        <v>29</v>
      </c>
    </row>
    <row r="401" spans="1:20" ht="36" customHeight="1">
      <c r="A401" s="6">
        <f t="shared" si="48"/>
        <v>400</v>
      </c>
      <c r="B401" s="17" t="s">
        <v>1236</v>
      </c>
      <c r="C401" s="8" t="s">
        <v>1237</v>
      </c>
      <c r="D401" s="9" t="s">
        <v>26</v>
      </c>
      <c r="E401" s="10">
        <v>30435</v>
      </c>
      <c r="F401" s="11">
        <f t="shared" ca="1" si="43"/>
        <v>40.646575342465752</v>
      </c>
      <c r="G401" s="11">
        <f t="shared" si="44"/>
        <v>4</v>
      </c>
      <c r="H401" s="11">
        <f t="shared" si="45"/>
        <v>29</v>
      </c>
      <c r="I401" s="10">
        <v>40192</v>
      </c>
      <c r="J401" s="9" t="s">
        <v>87</v>
      </c>
      <c r="K401" s="9" t="s">
        <v>1238</v>
      </c>
      <c r="L401" s="24" t="s">
        <v>490</v>
      </c>
      <c r="M401" s="9" t="s">
        <v>491</v>
      </c>
      <c r="N401" s="19">
        <v>0.2</v>
      </c>
      <c r="O401" s="12">
        <f t="shared" ca="1" si="46"/>
        <v>13.915068493150685</v>
      </c>
      <c r="P401" s="12">
        <f t="shared" ca="1" si="47"/>
        <v>14.115068493150684</v>
      </c>
      <c r="Q401" s="12" t="s">
        <v>26</v>
      </c>
      <c r="R401" s="9" t="s">
        <v>347</v>
      </c>
      <c r="S401" s="24" t="s">
        <v>28</v>
      </c>
      <c r="T401" s="9" t="s">
        <v>492</v>
      </c>
    </row>
    <row r="402" spans="1:20" ht="36" customHeight="1">
      <c r="A402" s="6">
        <f t="shared" si="48"/>
        <v>401</v>
      </c>
      <c r="B402" s="17" t="s">
        <v>1239</v>
      </c>
      <c r="C402" s="8" t="s">
        <v>1240</v>
      </c>
      <c r="D402" s="9" t="s">
        <v>26</v>
      </c>
      <c r="E402" s="10">
        <v>30742</v>
      </c>
      <c r="F402" s="11">
        <f t="shared" ca="1" si="43"/>
        <v>39.805479452054797</v>
      </c>
      <c r="G402" s="11">
        <f t="shared" si="44"/>
        <v>3</v>
      </c>
      <c r="H402" s="11">
        <f t="shared" si="45"/>
        <v>1</v>
      </c>
      <c r="I402" s="10">
        <v>40182</v>
      </c>
      <c r="J402" s="9" t="s">
        <v>87</v>
      </c>
      <c r="K402" s="9" t="s">
        <v>1241</v>
      </c>
      <c r="L402" s="24" t="s">
        <v>490</v>
      </c>
      <c r="M402" s="9" t="s">
        <v>491</v>
      </c>
      <c r="N402" s="19">
        <v>4.5</v>
      </c>
      <c r="O402" s="12">
        <f t="shared" ca="1" si="46"/>
        <v>13.942465753424658</v>
      </c>
      <c r="P402" s="12">
        <f t="shared" ca="1" si="47"/>
        <v>18.442465753424656</v>
      </c>
      <c r="Q402" s="12" t="s">
        <v>26</v>
      </c>
      <c r="R402" s="9" t="s">
        <v>347</v>
      </c>
      <c r="S402" s="24" t="s">
        <v>28</v>
      </c>
      <c r="T402" s="9" t="s">
        <v>492</v>
      </c>
    </row>
    <row r="403" spans="1:20" ht="36" customHeight="1">
      <c r="A403" s="6">
        <f t="shared" si="48"/>
        <v>402</v>
      </c>
      <c r="B403" s="17" t="s">
        <v>1242</v>
      </c>
      <c r="C403" s="8" t="s">
        <v>1243</v>
      </c>
      <c r="D403" s="9" t="s">
        <v>26</v>
      </c>
      <c r="E403" s="10">
        <v>32206</v>
      </c>
      <c r="F403" s="11">
        <f t="shared" ca="1" si="43"/>
        <v>35.794520547945204</v>
      </c>
      <c r="G403" s="11">
        <f t="shared" si="44"/>
        <v>3</v>
      </c>
      <c r="H403" s="11">
        <f t="shared" si="45"/>
        <v>4</v>
      </c>
      <c r="I403" s="10">
        <v>40196</v>
      </c>
      <c r="J403" s="9" t="s">
        <v>41</v>
      </c>
      <c r="K403" s="9" t="s">
        <v>1156</v>
      </c>
      <c r="L403" s="9" t="s">
        <v>147</v>
      </c>
      <c r="M403" s="9" t="s">
        <v>25</v>
      </c>
      <c r="N403" s="11">
        <v>1.8</v>
      </c>
      <c r="O403" s="12">
        <f t="shared" ca="1" si="46"/>
        <v>13.904109589041095</v>
      </c>
      <c r="P403" s="12">
        <f t="shared" ca="1" si="47"/>
        <v>15.704109589041096</v>
      </c>
      <c r="Q403" s="12" t="s">
        <v>68</v>
      </c>
      <c r="R403" s="9" t="s">
        <v>901</v>
      </c>
      <c r="S403" s="24" t="s">
        <v>28</v>
      </c>
      <c r="T403" s="9" t="s">
        <v>29</v>
      </c>
    </row>
    <row r="404" spans="1:20" ht="36" customHeight="1">
      <c r="A404" s="6">
        <f t="shared" si="48"/>
        <v>403</v>
      </c>
      <c r="B404" s="17" t="s">
        <v>1244</v>
      </c>
      <c r="C404" s="8" t="s">
        <v>1245</v>
      </c>
      <c r="D404" s="9" t="s">
        <v>26</v>
      </c>
      <c r="E404" s="10">
        <v>23574</v>
      </c>
      <c r="F404" s="11">
        <f t="shared" ca="1" si="43"/>
        <v>59.443835616438356</v>
      </c>
      <c r="G404" s="11">
        <f t="shared" si="44"/>
        <v>7</v>
      </c>
      <c r="H404" s="11">
        <f t="shared" si="45"/>
        <v>16</v>
      </c>
      <c r="I404" s="10">
        <v>40210</v>
      </c>
      <c r="J404" s="9" t="s">
        <v>58</v>
      </c>
      <c r="K404" s="9" t="s">
        <v>1246</v>
      </c>
      <c r="L404" s="9" t="s">
        <v>1002</v>
      </c>
      <c r="M404" s="9" t="s">
        <v>35</v>
      </c>
      <c r="N404" s="11">
        <v>17</v>
      </c>
      <c r="O404" s="12">
        <f t="shared" ca="1" si="46"/>
        <v>13.865753424657534</v>
      </c>
      <c r="P404" s="12">
        <f t="shared" ca="1" si="47"/>
        <v>30.865753424657534</v>
      </c>
      <c r="Q404" s="12" t="s">
        <v>26</v>
      </c>
      <c r="R404" s="9" t="s">
        <v>980</v>
      </c>
      <c r="S404" s="24" t="s">
        <v>28</v>
      </c>
      <c r="T404" s="9" t="s">
        <v>358</v>
      </c>
    </row>
    <row r="405" spans="1:20" ht="36" customHeight="1">
      <c r="A405" s="6">
        <f t="shared" si="48"/>
        <v>404</v>
      </c>
      <c r="B405" s="17" t="s">
        <v>1247</v>
      </c>
      <c r="C405" s="8" t="s">
        <v>1248</v>
      </c>
      <c r="D405" s="9" t="s">
        <v>26</v>
      </c>
      <c r="E405" s="10">
        <v>28637</v>
      </c>
      <c r="F405" s="11">
        <f t="shared" ca="1" si="43"/>
        <v>45.57260273972603</v>
      </c>
      <c r="G405" s="11">
        <f t="shared" si="44"/>
        <v>5</v>
      </c>
      <c r="H405" s="11">
        <f t="shared" si="45"/>
        <v>27</v>
      </c>
      <c r="I405" s="10">
        <v>40210</v>
      </c>
      <c r="J405" s="9" t="s">
        <v>110</v>
      </c>
      <c r="K405" s="9" t="s">
        <v>495</v>
      </c>
      <c r="L405" s="9" t="s">
        <v>147</v>
      </c>
      <c r="M405" s="9" t="s">
        <v>156</v>
      </c>
      <c r="N405" s="11">
        <v>10</v>
      </c>
      <c r="O405" s="12">
        <f t="shared" ca="1" si="46"/>
        <v>13.865753424657534</v>
      </c>
      <c r="P405" s="12">
        <f t="shared" ca="1" si="47"/>
        <v>23.865753424657534</v>
      </c>
      <c r="Q405" s="12" t="s">
        <v>26</v>
      </c>
      <c r="R405" s="9" t="s">
        <v>901</v>
      </c>
      <c r="S405" s="24" t="s">
        <v>28</v>
      </c>
      <c r="T405" s="9" t="s">
        <v>29</v>
      </c>
    </row>
    <row r="406" spans="1:20" ht="36" customHeight="1">
      <c r="A406" s="6">
        <f t="shared" si="48"/>
        <v>405</v>
      </c>
      <c r="B406" s="17" t="s">
        <v>1249</v>
      </c>
      <c r="C406" s="8" t="s">
        <v>1250</v>
      </c>
      <c r="D406" s="9" t="s">
        <v>26</v>
      </c>
      <c r="E406" s="10">
        <v>21700</v>
      </c>
      <c r="F406" s="11">
        <f t="shared" ca="1" si="43"/>
        <v>64.578082191780823</v>
      </c>
      <c r="G406" s="11">
        <f t="shared" si="44"/>
        <v>5</v>
      </c>
      <c r="H406" s="11">
        <f t="shared" si="45"/>
        <v>30</v>
      </c>
      <c r="I406" s="10">
        <v>40213</v>
      </c>
      <c r="J406" s="9" t="s">
        <v>140</v>
      </c>
      <c r="K406" s="9" t="s">
        <v>1251</v>
      </c>
      <c r="L406" s="9" t="s">
        <v>1252</v>
      </c>
      <c r="M406" s="9" t="s">
        <v>61</v>
      </c>
      <c r="N406" s="11">
        <v>23</v>
      </c>
      <c r="O406" s="12">
        <f t="shared" ca="1" si="46"/>
        <v>13.857534246575343</v>
      </c>
      <c r="P406" s="12">
        <f t="shared" ca="1" si="47"/>
        <v>36.857534246575341</v>
      </c>
      <c r="Q406" s="12" t="s">
        <v>26</v>
      </c>
      <c r="R406" s="9" t="s">
        <v>901</v>
      </c>
      <c r="S406" s="24" t="s">
        <v>28</v>
      </c>
      <c r="T406" s="9" t="s">
        <v>29</v>
      </c>
    </row>
    <row r="407" spans="1:20" ht="36" customHeight="1">
      <c r="A407" s="6">
        <f t="shared" si="48"/>
        <v>406</v>
      </c>
      <c r="B407" s="17" t="s">
        <v>1253</v>
      </c>
      <c r="C407" s="8" t="s">
        <v>1254</v>
      </c>
      <c r="D407" s="9" t="s">
        <v>26</v>
      </c>
      <c r="E407" s="10">
        <v>25404</v>
      </c>
      <c r="F407" s="11">
        <f t="shared" ca="1" si="43"/>
        <v>54.43013698630137</v>
      </c>
      <c r="G407" s="11">
        <f t="shared" si="44"/>
        <v>7</v>
      </c>
      <c r="H407" s="11">
        <f t="shared" si="45"/>
        <v>20</v>
      </c>
      <c r="I407" s="10">
        <v>40213</v>
      </c>
      <c r="J407" s="9" t="s">
        <v>58</v>
      </c>
      <c r="K407" s="9" t="s">
        <v>1255</v>
      </c>
      <c r="L407" s="9" t="s">
        <v>34</v>
      </c>
      <c r="M407" s="9" t="s">
        <v>35</v>
      </c>
      <c r="N407" s="11">
        <v>18</v>
      </c>
      <c r="O407" s="12">
        <f t="shared" ca="1" si="46"/>
        <v>13.857534246575343</v>
      </c>
      <c r="P407" s="12">
        <f t="shared" ca="1" si="47"/>
        <v>31.857534246575341</v>
      </c>
      <c r="Q407" s="12" t="s">
        <v>26</v>
      </c>
      <c r="R407" s="9" t="s">
        <v>901</v>
      </c>
      <c r="S407" s="24" t="s">
        <v>28</v>
      </c>
      <c r="T407" s="9" t="s">
        <v>72</v>
      </c>
    </row>
    <row r="408" spans="1:20" ht="36" customHeight="1">
      <c r="A408" s="6">
        <f t="shared" si="48"/>
        <v>407</v>
      </c>
      <c r="B408" s="17" t="s">
        <v>1256</v>
      </c>
      <c r="C408" s="8" t="s">
        <v>1257</v>
      </c>
      <c r="D408" s="9" t="s">
        <v>21</v>
      </c>
      <c r="E408" s="10">
        <v>30732</v>
      </c>
      <c r="F408" s="11">
        <f t="shared" ca="1" si="43"/>
        <v>39.832876712328769</v>
      </c>
      <c r="G408" s="11">
        <f t="shared" si="44"/>
        <v>2</v>
      </c>
      <c r="H408" s="11">
        <f t="shared" si="45"/>
        <v>20</v>
      </c>
      <c r="I408" s="10">
        <v>40212</v>
      </c>
      <c r="J408" s="9" t="s">
        <v>87</v>
      </c>
      <c r="K408" s="9" t="s">
        <v>216</v>
      </c>
      <c r="L408" s="9" t="s">
        <v>180</v>
      </c>
      <c r="M408" s="9" t="s">
        <v>25</v>
      </c>
      <c r="N408" s="11">
        <v>3</v>
      </c>
      <c r="O408" s="12">
        <f t="shared" ca="1" si="46"/>
        <v>13.860273972602739</v>
      </c>
      <c r="P408" s="12">
        <f t="shared" ca="1" si="47"/>
        <v>16.860273972602741</v>
      </c>
      <c r="Q408" s="12" t="s">
        <v>68</v>
      </c>
      <c r="R408" s="9" t="s">
        <v>901</v>
      </c>
      <c r="S408" s="24" t="s">
        <v>28</v>
      </c>
      <c r="T408" s="9" t="s">
        <v>29</v>
      </c>
    </row>
    <row r="409" spans="1:20" ht="36" customHeight="1">
      <c r="A409" s="6">
        <f t="shared" si="48"/>
        <v>408</v>
      </c>
      <c r="B409" s="17" t="s">
        <v>1258</v>
      </c>
      <c r="C409" s="8" t="s">
        <v>1259</v>
      </c>
      <c r="D409" s="9" t="s">
        <v>26</v>
      </c>
      <c r="E409" s="10">
        <v>29041</v>
      </c>
      <c r="F409" s="11">
        <f t="shared" ca="1" si="43"/>
        <v>44.465753424657535</v>
      </c>
      <c r="G409" s="11">
        <f t="shared" si="44"/>
        <v>7</v>
      </c>
      <c r="H409" s="11">
        <f t="shared" si="45"/>
        <v>5</v>
      </c>
      <c r="I409" s="10">
        <v>40214</v>
      </c>
      <c r="J409" s="9" t="s">
        <v>87</v>
      </c>
      <c r="K409" s="9" t="s">
        <v>1260</v>
      </c>
      <c r="L409" s="9" t="s">
        <v>118</v>
      </c>
      <c r="M409" s="9" t="s">
        <v>25</v>
      </c>
      <c r="N409" s="11">
        <v>7</v>
      </c>
      <c r="O409" s="12">
        <f t="shared" ca="1" si="46"/>
        <v>13.854794520547944</v>
      </c>
      <c r="P409" s="12">
        <f t="shared" ca="1" si="47"/>
        <v>20.854794520547944</v>
      </c>
      <c r="Q409" s="12" t="s">
        <v>68</v>
      </c>
      <c r="R409" s="9" t="s">
        <v>901</v>
      </c>
      <c r="S409" s="24" t="s">
        <v>28</v>
      </c>
      <c r="T409" s="9" t="s">
        <v>29</v>
      </c>
    </row>
    <row r="410" spans="1:20" ht="36" customHeight="1">
      <c r="A410" s="6">
        <f t="shared" si="48"/>
        <v>409</v>
      </c>
      <c r="B410" s="17" t="s">
        <v>1261</v>
      </c>
      <c r="C410" s="8" t="s">
        <v>1262</v>
      </c>
      <c r="D410" s="9" t="s">
        <v>26</v>
      </c>
      <c r="E410" s="10">
        <v>29712</v>
      </c>
      <c r="F410" s="11">
        <f t="shared" ca="1" si="43"/>
        <v>42.627397260273973</v>
      </c>
      <c r="G410" s="11">
        <f t="shared" si="44"/>
        <v>5</v>
      </c>
      <c r="H410" s="11">
        <f t="shared" si="45"/>
        <v>6</v>
      </c>
      <c r="I410" s="10">
        <v>40219</v>
      </c>
      <c r="J410" s="9" t="s">
        <v>58</v>
      </c>
      <c r="K410" s="9" t="s">
        <v>1263</v>
      </c>
      <c r="L410" s="9" t="s">
        <v>393</v>
      </c>
      <c r="M410" s="9" t="s">
        <v>61</v>
      </c>
      <c r="N410" s="11">
        <v>5</v>
      </c>
      <c r="O410" s="12">
        <f t="shared" ca="1" si="46"/>
        <v>13.841095890410958</v>
      </c>
      <c r="P410" s="12">
        <f t="shared" ca="1" si="47"/>
        <v>18.841095890410958</v>
      </c>
      <c r="Q410" s="12" t="s">
        <v>26</v>
      </c>
      <c r="R410" s="9" t="s">
        <v>901</v>
      </c>
      <c r="S410" s="24" t="s">
        <v>28</v>
      </c>
      <c r="T410" s="9" t="s">
        <v>114</v>
      </c>
    </row>
    <row r="411" spans="1:20" ht="36" customHeight="1">
      <c r="A411" s="6">
        <f t="shared" si="48"/>
        <v>410</v>
      </c>
      <c r="B411" s="17" t="s">
        <v>1264</v>
      </c>
      <c r="C411" s="8" t="s">
        <v>1265</v>
      </c>
      <c r="D411" s="9" t="s">
        <v>26</v>
      </c>
      <c r="E411" s="10">
        <v>27903</v>
      </c>
      <c r="F411" s="11">
        <f t="shared" ca="1" si="43"/>
        <v>47.583561643835615</v>
      </c>
      <c r="G411" s="11">
        <f t="shared" si="44"/>
        <v>5</v>
      </c>
      <c r="H411" s="11">
        <f t="shared" si="45"/>
        <v>23</v>
      </c>
      <c r="I411" s="10">
        <v>40217</v>
      </c>
      <c r="J411" s="9" t="s">
        <v>58</v>
      </c>
      <c r="K411" s="9" t="s">
        <v>79</v>
      </c>
      <c r="L411" s="9" t="s">
        <v>34</v>
      </c>
      <c r="M411" s="9" t="s">
        <v>156</v>
      </c>
      <c r="N411" s="11">
        <v>13</v>
      </c>
      <c r="O411" s="12">
        <f t="shared" ca="1" si="46"/>
        <v>13.846575342465753</v>
      </c>
      <c r="P411" s="12">
        <f t="shared" ca="1" si="47"/>
        <v>26.846575342465755</v>
      </c>
      <c r="Q411" s="12" t="s">
        <v>26</v>
      </c>
      <c r="R411" s="9" t="s">
        <v>901</v>
      </c>
      <c r="S411" s="24" t="s">
        <v>36</v>
      </c>
      <c r="T411" s="9" t="s">
        <v>671</v>
      </c>
    </row>
    <row r="412" spans="1:20" ht="36" customHeight="1">
      <c r="A412" s="6">
        <f t="shared" si="48"/>
        <v>411</v>
      </c>
      <c r="B412" s="17" t="s">
        <v>1266</v>
      </c>
      <c r="C412" s="8" t="s">
        <v>1267</v>
      </c>
      <c r="D412" s="9" t="s">
        <v>26</v>
      </c>
      <c r="E412" s="10">
        <v>31214</v>
      </c>
      <c r="F412" s="11">
        <f t="shared" ca="1" si="43"/>
        <v>38.512328767123286</v>
      </c>
      <c r="G412" s="11">
        <f t="shared" si="44"/>
        <v>6</v>
      </c>
      <c r="H412" s="11">
        <f t="shared" si="45"/>
        <v>16</v>
      </c>
      <c r="I412" s="10">
        <v>40217</v>
      </c>
      <c r="J412" s="9" t="s">
        <v>87</v>
      </c>
      <c r="K412" s="9" t="s">
        <v>332</v>
      </c>
      <c r="L412" s="9" t="s">
        <v>34</v>
      </c>
      <c r="M412" s="9" t="s">
        <v>35</v>
      </c>
      <c r="N412" s="11">
        <v>2.5</v>
      </c>
      <c r="O412" s="12">
        <f t="shared" ca="1" si="46"/>
        <v>13.846575342465753</v>
      </c>
      <c r="P412" s="12">
        <f t="shared" ca="1" si="47"/>
        <v>16.346575342465755</v>
      </c>
      <c r="Q412" s="12" t="s">
        <v>68</v>
      </c>
      <c r="R412" s="9" t="s">
        <v>901</v>
      </c>
      <c r="S412" s="24" t="s">
        <v>36</v>
      </c>
      <c r="T412" s="9" t="s">
        <v>1071</v>
      </c>
    </row>
    <row r="413" spans="1:20" ht="36" customHeight="1">
      <c r="A413" s="6">
        <f t="shared" si="48"/>
        <v>412</v>
      </c>
      <c r="B413" s="17" t="s">
        <v>1268</v>
      </c>
      <c r="C413" s="8" t="s">
        <v>1269</v>
      </c>
      <c r="D413" s="9" t="s">
        <v>26</v>
      </c>
      <c r="E413" s="10">
        <v>26094</v>
      </c>
      <c r="F413" s="11">
        <f t="shared" ca="1" si="43"/>
        <v>52.539726027397258</v>
      </c>
      <c r="G413" s="11">
        <f t="shared" si="44"/>
        <v>6</v>
      </c>
      <c r="H413" s="11">
        <f t="shared" si="45"/>
        <v>10</v>
      </c>
      <c r="I413" s="10">
        <v>40224</v>
      </c>
      <c r="J413" s="9" t="s">
        <v>58</v>
      </c>
      <c r="K413" s="9" t="s">
        <v>1270</v>
      </c>
      <c r="L413" s="9" t="s">
        <v>24</v>
      </c>
      <c r="M413" s="9" t="s">
        <v>134</v>
      </c>
      <c r="N413" s="11">
        <v>20</v>
      </c>
      <c r="O413" s="12">
        <f t="shared" ca="1" si="46"/>
        <v>13.827397260273973</v>
      </c>
      <c r="P413" s="12">
        <f t="shared" ca="1" si="47"/>
        <v>33.827397260273969</v>
      </c>
      <c r="Q413" s="12" t="s">
        <v>26</v>
      </c>
      <c r="R413" s="9" t="s">
        <v>901</v>
      </c>
      <c r="S413" s="24" t="s">
        <v>36</v>
      </c>
      <c r="T413" s="9" t="s">
        <v>137</v>
      </c>
    </row>
    <row r="414" spans="1:20" ht="36" customHeight="1">
      <c r="A414" s="6">
        <f t="shared" si="48"/>
        <v>413</v>
      </c>
      <c r="B414" s="17" t="s">
        <v>1271</v>
      </c>
      <c r="C414" s="8" t="s">
        <v>1272</v>
      </c>
      <c r="D414" s="9" t="s">
        <v>21</v>
      </c>
      <c r="E414" s="10">
        <v>30529</v>
      </c>
      <c r="F414" s="11">
        <f t="shared" ca="1" si="43"/>
        <v>40.389041095890413</v>
      </c>
      <c r="G414" s="11">
        <f t="shared" si="44"/>
        <v>8</v>
      </c>
      <c r="H414" s="11">
        <f t="shared" si="45"/>
        <v>1</v>
      </c>
      <c r="I414" s="10">
        <v>40228</v>
      </c>
      <c r="J414" s="9" t="s">
        <v>50</v>
      </c>
      <c r="K414" s="9" t="s">
        <v>1273</v>
      </c>
      <c r="L414" s="9" t="s">
        <v>878</v>
      </c>
      <c r="M414" s="9" t="s">
        <v>878</v>
      </c>
      <c r="N414" s="11">
        <v>8</v>
      </c>
      <c r="O414" s="12">
        <f t="shared" ca="1" si="46"/>
        <v>13.816438356164383</v>
      </c>
      <c r="P414" s="12">
        <f t="shared" ca="1" si="47"/>
        <v>21.816438356164383</v>
      </c>
      <c r="Q414" s="12" t="s">
        <v>68</v>
      </c>
      <c r="R414" s="9" t="s">
        <v>901</v>
      </c>
      <c r="S414" s="24" t="s">
        <v>28</v>
      </c>
      <c r="T414" s="9" t="s">
        <v>29</v>
      </c>
    </row>
    <row r="415" spans="1:20" ht="35.25" customHeight="1">
      <c r="A415" s="6">
        <f t="shared" si="48"/>
        <v>414</v>
      </c>
      <c r="B415" s="17" t="s">
        <v>1274</v>
      </c>
      <c r="C415" s="8" t="s">
        <v>1275</v>
      </c>
      <c r="D415" s="9" t="s">
        <v>26</v>
      </c>
      <c r="E415" s="10">
        <v>30748</v>
      </c>
      <c r="F415" s="11">
        <f t="shared" ca="1" si="43"/>
        <v>39.789041095890411</v>
      </c>
      <c r="G415" s="11">
        <f t="shared" si="44"/>
        <v>3</v>
      </c>
      <c r="H415" s="11">
        <f t="shared" si="45"/>
        <v>7</v>
      </c>
      <c r="I415" s="10">
        <v>40231</v>
      </c>
      <c r="J415" s="9" t="s">
        <v>45</v>
      </c>
      <c r="K415" s="9" t="s">
        <v>477</v>
      </c>
      <c r="L415" s="9" t="s">
        <v>34</v>
      </c>
      <c r="M415" s="9" t="s">
        <v>35</v>
      </c>
      <c r="N415" s="11">
        <v>4</v>
      </c>
      <c r="O415" s="12">
        <f t="shared" ca="1" si="46"/>
        <v>13.808219178082192</v>
      </c>
      <c r="P415" s="12">
        <f t="shared" ca="1" si="47"/>
        <v>17.80821917808219</v>
      </c>
      <c r="Q415" s="12" t="s">
        <v>68</v>
      </c>
      <c r="R415" s="9" t="s">
        <v>442</v>
      </c>
      <c r="S415" s="24" t="s">
        <v>36</v>
      </c>
      <c r="T415" s="9" t="s">
        <v>137</v>
      </c>
    </row>
    <row r="416" spans="1:20" ht="35.25" customHeight="1">
      <c r="A416" s="6">
        <f t="shared" si="48"/>
        <v>415</v>
      </c>
      <c r="B416" s="17" t="s">
        <v>1276</v>
      </c>
      <c r="C416" s="8" t="s">
        <v>1277</v>
      </c>
      <c r="D416" s="9" t="s">
        <v>26</v>
      </c>
      <c r="E416" s="10">
        <v>28904</v>
      </c>
      <c r="F416" s="11">
        <f t="shared" ca="1" si="43"/>
        <v>44.841095890410962</v>
      </c>
      <c r="G416" s="11">
        <f t="shared" si="44"/>
        <v>2</v>
      </c>
      <c r="H416" s="11">
        <f t="shared" si="45"/>
        <v>18</v>
      </c>
      <c r="I416" s="10">
        <v>40231</v>
      </c>
      <c r="J416" s="9" t="s">
        <v>110</v>
      </c>
      <c r="K416" s="9" t="s">
        <v>1165</v>
      </c>
      <c r="L416" s="9" t="s">
        <v>34</v>
      </c>
      <c r="M416" s="9" t="s">
        <v>35</v>
      </c>
      <c r="N416" s="11">
        <v>10</v>
      </c>
      <c r="O416" s="12">
        <f t="shared" ca="1" si="46"/>
        <v>13.808219178082192</v>
      </c>
      <c r="P416" s="12">
        <f t="shared" ca="1" si="47"/>
        <v>23.80821917808219</v>
      </c>
      <c r="Q416" s="12" t="s">
        <v>26</v>
      </c>
      <c r="R416" s="9" t="s">
        <v>901</v>
      </c>
      <c r="S416" s="24" t="s">
        <v>36</v>
      </c>
      <c r="T416" s="9" t="s">
        <v>137</v>
      </c>
    </row>
    <row r="417" spans="1:20" ht="35.25" customHeight="1">
      <c r="A417" s="6">
        <f t="shared" si="48"/>
        <v>416</v>
      </c>
      <c r="B417" s="17" t="s">
        <v>1278</v>
      </c>
      <c r="C417" s="8" t="s">
        <v>1279</v>
      </c>
      <c r="D417" s="9" t="s">
        <v>26</v>
      </c>
      <c r="E417" s="10">
        <v>30387</v>
      </c>
      <c r="F417" s="11">
        <f t="shared" ca="1" si="43"/>
        <v>40.778082191780825</v>
      </c>
      <c r="G417" s="11">
        <f t="shared" si="44"/>
        <v>3</v>
      </c>
      <c r="H417" s="11">
        <f t="shared" si="45"/>
        <v>12</v>
      </c>
      <c r="I417" s="10">
        <v>40231</v>
      </c>
      <c r="J417" s="9" t="s">
        <v>41</v>
      </c>
      <c r="K417" s="9" t="s">
        <v>1280</v>
      </c>
      <c r="L417" s="9" t="s">
        <v>652</v>
      </c>
      <c r="M417" s="9" t="s">
        <v>35</v>
      </c>
      <c r="N417" s="11">
        <v>5</v>
      </c>
      <c r="O417" s="12">
        <f t="shared" ca="1" si="46"/>
        <v>13.808219178082192</v>
      </c>
      <c r="P417" s="12">
        <f t="shared" ca="1" si="47"/>
        <v>18.80821917808219</v>
      </c>
      <c r="Q417" s="12" t="s">
        <v>26</v>
      </c>
      <c r="R417" s="9" t="s">
        <v>95</v>
      </c>
      <c r="S417" s="24" t="s">
        <v>36</v>
      </c>
      <c r="T417" s="9" t="s">
        <v>72</v>
      </c>
    </row>
    <row r="418" spans="1:20" ht="35.25" customHeight="1">
      <c r="A418" s="6">
        <f t="shared" si="48"/>
        <v>417</v>
      </c>
      <c r="B418" s="17" t="s">
        <v>1281</v>
      </c>
      <c r="C418" s="8" t="s">
        <v>1282</v>
      </c>
      <c r="D418" s="9" t="s">
        <v>26</v>
      </c>
      <c r="E418" s="10">
        <v>29343</v>
      </c>
      <c r="F418" s="11">
        <f t="shared" ca="1" si="43"/>
        <v>43.638356164383559</v>
      </c>
      <c r="G418" s="11">
        <f t="shared" si="44"/>
        <v>5</v>
      </c>
      <c r="H418" s="11">
        <f t="shared" si="45"/>
        <v>2</v>
      </c>
      <c r="I418" s="10">
        <v>40241</v>
      </c>
      <c r="J418" s="9" t="s">
        <v>110</v>
      </c>
      <c r="K418" s="9" t="s">
        <v>1094</v>
      </c>
      <c r="L418" s="9" t="s">
        <v>34</v>
      </c>
      <c r="M418" s="9" t="s">
        <v>35</v>
      </c>
      <c r="N418" s="11">
        <v>11</v>
      </c>
      <c r="O418" s="12">
        <f t="shared" ca="1" si="46"/>
        <v>13.780821917808218</v>
      </c>
      <c r="P418" s="12">
        <f t="shared" ca="1" si="47"/>
        <v>24.780821917808218</v>
      </c>
      <c r="Q418" s="12" t="s">
        <v>68</v>
      </c>
      <c r="R418" s="9" t="s">
        <v>901</v>
      </c>
      <c r="S418" s="24" t="s">
        <v>36</v>
      </c>
      <c r="T418" s="9" t="s">
        <v>1283</v>
      </c>
    </row>
    <row r="419" spans="1:20" ht="35.25" customHeight="1">
      <c r="A419" s="6">
        <f t="shared" si="48"/>
        <v>418</v>
      </c>
      <c r="B419" s="17" t="s">
        <v>1284</v>
      </c>
      <c r="C419" s="8" t="s">
        <v>1285</v>
      </c>
      <c r="D419" s="9" t="s">
        <v>26</v>
      </c>
      <c r="E419" s="10">
        <v>31016</v>
      </c>
      <c r="F419" s="11">
        <f t="shared" ca="1" si="43"/>
        <v>39.054794520547944</v>
      </c>
      <c r="G419" s="11">
        <f t="shared" si="44"/>
        <v>11</v>
      </c>
      <c r="H419" s="11">
        <f t="shared" si="45"/>
        <v>30</v>
      </c>
      <c r="I419" s="10">
        <v>40240</v>
      </c>
      <c r="J419" s="9" t="s">
        <v>110</v>
      </c>
      <c r="K419" s="9" t="s">
        <v>415</v>
      </c>
      <c r="L419" s="9" t="s">
        <v>377</v>
      </c>
      <c r="M419" s="9" t="s">
        <v>134</v>
      </c>
      <c r="N419" s="11">
        <v>5</v>
      </c>
      <c r="O419" s="12">
        <f t="shared" ca="1" si="46"/>
        <v>13.783561643835617</v>
      </c>
      <c r="P419" s="12">
        <f t="shared" ca="1" si="47"/>
        <v>18.783561643835618</v>
      </c>
      <c r="Q419" s="12" t="s">
        <v>68</v>
      </c>
      <c r="R419" s="9" t="s">
        <v>901</v>
      </c>
      <c r="S419" s="24" t="s">
        <v>36</v>
      </c>
      <c r="T419" s="9" t="s">
        <v>137</v>
      </c>
    </row>
    <row r="420" spans="1:20" ht="35.25" customHeight="1">
      <c r="A420" s="6">
        <f t="shared" si="48"/>
        <v>419</v>
      </c>
      <c r="B420" s="17" t="s">
        <v>1286</v>
      </c>
      <c r="C420" s="8" t="s">
        <v>1287</v>
      </c>
      <c r="D420" s="9" t="s">
        <v>26</v>
      </c>
      <c r="E420" s="10">
        <v>22855</v>
      </c>
      <c r="F420" s="11">
        <f t="shared" ca="1" si="43"/>
        <v>61.413698630136984</v>
      </c>
      <c r="G420" s="11">
        <f t="shared" si="44"/>
        <v>7</v>
      </c>
      <c r="H420" s="11">
        <f t="shared" si="45"/>
        <v>28</v>
      </c>
      <c r="I420" s="10">
        <v>40242</v>
      </c>
      <c r="J420" s="9" t="s">
        <v>32</v>
      </c>
      <c r="K420" s="9" t="s">
        <v>1288</v>
      </c>
      <c r="L420" s="9" t="s">
        <v>60</v>
      </c>
      <c r="M420" s="9" t="s">
        <v>35</v>
      </c>
      <c r="N420" s="11">
        <v>25</v>
      </c>
      <c r="O420" s="12">
        <f t="shared" ca="1" si="46"/>
        <v>13.778082191780822</v>
      </c>
      <c r="P420" s="12">
        <f t="shared" ca="1" si="47"/>
        <v>38.778082191780825</v>
      </c>
      <c r="Q420" s="12" t="s">
        <v>26</v>
      </c>
      <c r="R420" s="9" t="s">
        <v>901</v>
      </c>
      <c r="S420" s="24" t="s">
        <v>28</v>
      </c>
      <c r="T420" s="9" t="s">
        <v>29</v>
      </c>
    </row>
    <row r="421" spans="1:20" ht="35.25" customHeight="1">
      <c r="A421" s="6">
        <f t="shared" si="48"/>
        <v>420</v>
      </c>
      <c r="B421" s="17" t="s">
        <v>1289</v>
      </c>
      <c r="C421" s="8" t="s">
        <v>1290</v>
      </c>
      <c r="D421" s="9" t="s">
        <v>26</v>
      </c>
      <c r="E421" s="10">
        <v>31321</v>
      </c>
      <c r="F421" s="11">
        <f t="shared" ca="1" si="43"/>
        <v>38.219178082191782</v>
      </c>
      <c r="G421" s="11">
        <f t="shared" si="44"/>
        <v>10</v>
      </c>
      <c r="H421" s="11">
        <f t="shared" si="45"/>
        <v>1</v>
      </c>
      <c r="I421" s="10">
        <v>40239</v>
      </c>
      <c r="J421" s="9" t="s">
        <v>50</v>
      </c>
      <c r="K421" s="9" t="s">
        <v>159</v>
      </c>
      <c r="L421" s="9" t="s">
        <v>393</v>
      </c>
      <c r="M421" s="9" t="s">
        <v>156</v>
      </c>
      <c r="N421" s="11">
        <v>0</v>
      </c>
      <c r="O421" s="12">
        <f t="shared" ca="1" si="46"/>
        <v>13.786301369863013</v>
      </c>
      <c r="P421" s="12">
        <f t="shared" ca="1" si="47"/>
        <v>13.786301369863013</v>
      </c>
      <c r="Q421" s="12" t="s">
        <v>68</v>
      </c>
      <c r="R421" s="9" t="s">
        <v>901</v>
      </c>
      <c r="S421" s="24" t="s">
        <v>28</v>
      </c>
      <c r="T421" s="9" t="s">
        <v>616</v>
      </c>
    </row>
    <row r="422" spans="1:20" ht="35.25" customHeight="1">
      <c r="A422" s="6">
        <f t="shared" si="48"/>
        <v>421</v>
      </c>
      <c r="B422" s="17" t="s">
        <v>1291</v>
      </c>
      <c r="C422" s="8" t="s">
        <v>1292</v>
      </c>
      <c r="D422" s="9" t="s">
        <v>26</v>
      </c>
      <c r="E422" s="10">
        <v>31163</v>
      </c>
      <c r="F422" s="11">
        <f t="shared" ca="1" si="43"/>
        <v>38.652054794520545</v>
      </c>
      <c r="G422" s="11">
        <f t="shared" si="44"/>
        <v>4</v>
      </c>
      <c r="H422" s="11">
        <f t="shared" si="45"/>
        <v>26</v>
      </c>
      <c r="I422" s="10">
        <v>40238</v>
      </c>
      <c r="J422" s="9" t="s">
        <v>45</v>
      </c>
      <c r="K422" s="9" t="s">
        <v>1293</v>
      </c>
      <c r="L422" s="9" t="s">
        <v>34</v>
      </c>
      <c r="M422" s="9" t="s">
        <v>35</v>
      </c>
      <c r="N422" s="11">
        <v>6</v>
      </c>
      <c r="O422" s="12">
        <f t="shared" ca="1" si="46"/>
        <v>13.789041095890411</v>
      </c>
      <c r="P422" s="12">
        <f t="shared" ca="1" si="47"/>
        <v>19.789041095890411</v>
      </c>
      <c r="Q422" s="12" t="s">
        <v>68</v>
      </c>
      <c r="R422" s="9" t="s">
        <v>442</v>
      </c>
      <c r="S422" s="24" t="s">
        <v>36</v>
      </c>
      <c r="T422" s="9" t="s">
        <v>137</v>
      </c>
    </row>
    <row r="423" spans="1:20" ht="35.25" customHeight="1">
      <c r="A423" s="6">
        <f t="shared" si="48"/>
        <v>422</v>
      </c>
      <c r="B423" s="17" t="s">
        <v>1294</v>
      </c>
      <c r="C423" s="8" t="s">
        <v>1295</v>
      </c>
      <c r="D423" s="9" t="s">
        <v>26</v>
      </c>
      <c r="E423" s="10">
        <v>32067</v>
      </c>
      <c r="F423" s="11">
        <f t="shared" ca="1" si="43"/>
        <v>36.175342465753424</v>
      </c>
      <c r="G423" s="11">
        <f t="shared" si="44"/>
        <v>10</v>
      </c>
      <c r="H423" s="11">
        <f t="shared" si="45"/>
        <v>17</v>
      </c>
      <c r="I423" s="10">
        <v>40238</v>
      </c>
      <c r="J423" s="9" t="s">
        <v>45</v>
      </c>
      <c r="K423" s="9" t="s">
        <v>477</v>
      </c>
      <c r="L423" s="9" t="s">
        <v>34</v>
      </c>
      <c r="M423" s="9" t="s">
        <v>35</v>
      </c>
      <c r="N423" s="11">
        <v>3</v>
      </c>
      <c r="O423" s="12">
        <f t="shared" ca="1" si="46"/>
        <v>13.789041095890411</v>
      </c>
      <c r="P423" s="12">
        <f t="shared" ca="1" si="47"/>
        <v>16.789041095890411</v>
      </c>
      <c r="Q423" s="12" t="s">
        <v>68</v>
      </c>
      <c r="R423" s="9" t="s">
        <v>442</v>
      </c>
      <c r="S423" s="24" t="s">
        <v>36</v>
      </c>
      <c r="T423" s="9" t="s">
        <v>137</v>
      </c>
    </row>
    <row r="424" spans="1:20" ht="35.25" customHeight="1">
      <c r="A424" s="6">
        <f t="shared" si="48"/>
        <v>423</v>
      </c>
      <c r="B424" s="17" t="s">
        <v>1296</v>
      </c>
      <c r="C424" s="8" t="s">
        <v>1297</v>
      </c>
      <c r="D424" s="9" t="s">
        <v>26</v>
      </c>
      <c r="E424" s="10">
        <v>28720</v>
      </c>
      <c r="F424" s="11">
        <f t="shared" ca="1" si="43"/>
        <v>45.345205479452055</v>
      </c>
      <c r="G424" s="11">
        <f t="shared" si="44"/>
        <v>8</v>
      </c>
      <c r="H424" s="11">
        <f t="shared" si="45"/>
        <v>18</v>
      </c>
      <c r="I424" s="10">
        <v>40238</v>
      </c>
      <c r="J424" s="9" t="s">
        <v>110</v>
      </c>
      <c r="K424" s="9" t="s">
        <v>495</v>
      </c>
      <c r="L424" s="9" t="s">
        <v>127</v>
      </c>
      <c r="M424" s="9" t="s">
        <v>25</v>
      </c>
      <c r="N424" s="11">
        <v>8</v>
      </c>
      <c r="O424" s="12">
        <f t="shared" ca="1" si="46"/>
        <v>13.789041095890411</v>
      </c>
      <c r="P424" s="12">
        <f t="shared" ca="1" si="47"/>
        <v>21.789041095890411</v>
      </c>
      <c r="Q424" s="12" t="s">
        <v>26</v>
      </c>
      <c r="R424" s="9" t="s">
        <v>901</v>
      </c>
      <c r="S424" s="24" t="s">
        <v>28</v>
      </c>
      <c r="T424" s="9" t="s">
        <v>170</v>
      </c>
    </row>
    <row r="425" spans="1:20" ht="35.25" customHeight="1">
      <c r="A425" s="6">
        <f t="shared" si="48"/>
        <v>424</v>
      </c>
      <c r="B425" s="17" t="s">
        <v>1298</v>
      </c>
      <c r="C425" s="8" t="s">
        <v>1299</v>
      </c>
      <c r="D425" s="9" t="s">
        <v>26</v>
      </c>
      <c r="E425" s="10">
        <v>29203</v>
      </c>
      <c r="F425" s="11">
        <f t="shared" ca="1" si="43"/>
        <v>44.021917808219179</v>
      </c>
      <c r="G425" s="11">
        <f t="shared" si="44"/>
        <v>12</v>
      </c>
      <c r="H425" s="11">
        <f t="shared" si="45"/>
        <v>14</v>
      </c>
      <c r="I425" s="10">
        <v>40245</v>
      </c>
      <c r="J425" s="9" t="s">
        <v>32</v>
      </c>
      <c r="K425" s="9" t="s">
        <v>33</v>
      </c>
      <c r="L425" s="9" t="s">
        <v>34</v>
      </c>
      <c r="M425" s="9" t="s">
        <v>156</v>
      </c>
      <c r="N425" s="11">
        <v>6</v>
      </c>
      <c r="O425" s="12">
        <f t="shared" ca="1" si="46"/>
        <v>13.769863013698631</v>
      </c>
      <c r="P425" s="12">
        <f t="shared" ca="1" si="47"/>
        <v>19.769863013698632</v>
      </c>
      <c r="Q425" s="12" t="s">
        <v>26</v>
      </c>
      <c r="R425" s="9" t="s">
        <v>901</v>
      </c>
      <c r="S425" s="24" t="s">
        <v>28</v>
      </c>
      <c r="T425" s="9" t="s">
        <v>29</v>
      </c>
    </row>
    <row r="426" spans="1:20" ht="35.25" customHeight="1">
      <c r="A426" s="6">
        <f t="shared" si="48"/>
        <v>425</v>
      </c>
      <c r="B426" s="17" t="s">
        <v>1300</v>
      </c>
      <c r="C426" s="8" t="s">
        <v>1301</v>
      </c>
      <c r="D426" s="9" t="s">
        <v>26</v>
      </c>
      <c r="E426" s="10">
        <v>31896</v>
      </c>
      <c r="F426" s="11">
        <f t="shared" ca="1" si="43"/>
        <v>36.643835616438359</v>
      </c>
      <c r="G426" s="11">
        <f t="shared" si="44"/>
        <v>4</v>
      </c>
      <c r="H426" s="11">
        <f t="shared" si="45"/>
        <v>29</v>
      </c>
      <c r="I426" s="10">
        <v>40245</v>
      </c>
      <c r="J426" s="9" t="s">
        <v>87</v>
      </c>
      <c r="K426" s="9" t="s">
        <v>1226</v>
      </c>
      <c r="L426" s="9" t="s">
        <v>34</v>
      </c>
      <c r="M426" s="9" t="s">
        <v>61</v>
      </c>
      <c r="N426" s="11">
        <v>4</v>
      </c>
      <c r="O426" s="12">
        <f t="shared" ca="1" si="46"/>
        <v>13.769863013698631</v>
      </c>
      <c r="P426" s="12">
        <f t="shared" ca="1" si="47"/>
        <v>17.769863013698632</v>
      </c>
      <c r="Q426" s="12" t="s">
        <v>68</v>
      </c>
      <c r="R426" s="9" t="s">
        <v>901</v>
      </c>
      <c r="S426" s="24" t="s">
        <v>36</v>
      </c>
      <c r="T426" s="9" t="s">
        <v>72</v>
      </c>
    </row>
    <row r="427" spans="1:20" ht="35.25" customHeight="1">
      <c r="A427" s="6">
        <f t="shared" si="48"/>
        <v>426</v>
      </c>
      <c r="B427" s="17" t="s">
        <v>1302</v>
      </c>
      <c r="C427" s="8" t="s">
        <v>1303</v>
      </c>
      <c r="D427" s="9" t="s">
        <v>26</v>
      </c>
      <c r="E427" s="10">
        <v>31358</v>
      </c>
      <c r="F427" s="11">
        <f t="shared" ca="1" si="43"/>
        <v>38.11780821917808</v>
      </c>
      <c r="G427" s="11">
        <f t="shared" si="44"/>
        <v>11</v>
      </c>
      <c r="H427" s="11">
        <f t="shared" si="45"/>
        <v>7</v>
      </c>
      <c r="I427" s="10">
        <v>40245</v>
      </c>
      <c r="J427" s="9" t="s">
        <v>226</v>
      </c>
      <c r="K427" s="9" t="s">
        <v>341</v>
      </c>
      <c r="L427" s="9" t="s">
        <v>34</v>
      </c>
      <c r="M427" s="9" t="s">
        <v>35</v>
      </c>
      <c r="N427" s="11">
        <v>2</v>
      </c>
      <c r="O427" s="12">
        <f t="shared" ca="1" si="46"/>
        <v>13.769863013698631</v>
      </c>
      <c r="P427" s="12">
        <f t="shared" ca="1" si="47"/>
        <v>15.769863013698631</v>
      </c>
      <c r="Q427" s="12" t="s">
        <v>68</v>
      </c>
      <c r="R427" s="9" t="s">
        <v>901</v>
      </c>
      <c r="S427" s="24" t="s">
        <v>36</v>
      </c>
      <c r="T427" s="9" t="s">
        <v>1304</v>
      </c>
    </row>
    <row r="428" spans="1:20" ht="35.25" customHeight="1">
      <c r="A428" s="6">
        <f t="shared" si="48"/>
        <v>427</v>
      </c>
      <c r="B428" s="17" t="s">
        <v>1305</v>
      </c>
      <c r="C428" s="8" t="s">
        <v>1306</v>
      </c>
      <c r="D428" s="9" t="s">
        <v>26</v>
      </c>
      <c r="E428" s="10">
        <v>31321</v>
      </c>
      <c r="F428" s="11">
        <f t="shared" ca="1" si="43"/>
        <v>38.219178082191782</v>
      </c>
      <c r="G428" s="11">
        <f t="shared" si="44"/>
        <v>10</v>
      </c>
      <c r="H428" s="11">
        <f t="shared" si="45"/>
        <v>1</v>
      </c>
      <c r="I428" s="10">
        <v>40245</v>
      </c>
      <c r="J428" s="9" t="s">
        <v>45</v>
      </c>
      <c r="K428" s="9" t="s">
        <v>477</v>
      </c>
      <c r="L428" s="9" t="s">
        <v>34</v>
      </c>
      <c r="M428" s="9" t="s">
        <v>35</v>
      </c>
      <c r="N428" s="11">
        <v>1</v>
      </c>
      <c r="O428" s="12">
        <f t="shared" ca="1" si="46"/>
        <v>13.769863013698631</v>
      </c>
      <c r="P428" s="12">
        <f t="shared" ca="1" si="47"/>
        <v>14.769863013698631</v>
      </c>
      <c r="Q428" s="12" t="s">
        <v>68</v>
      </c>
      <c r="R428" s="9" t="s">
        <v>901</v>
      </c>
      <c r="S428" s="24" t="s">
        <v>36</v>
      </c>
      <c r="T428" s="9" t="s">
        <v>72</v>
      </c>
    </row>
    <row r="429" spans="1:20" ht="35.25" customHeight="1">
      <c r="A429" s="6">
        <f t="shared" si="48"/>
        <v>428</v>
      </c>
      <c r="B429" s="17" t="s">
        <v>1307</v>
      </c>
      <c r="C429" s="8" t="s">
        <v>1308</v>
      </c>
      <c r="D429" s="9" t="s">
        <v>26</v>
      </c>
      <c r="E429" s="10">
        <v>29650</v>
      </c>
      <c r="F429" s="11">
        <f t="shared" ca="1" si="43"/>
        <v>42.797260273972604</v>
      </c>
      <c r="G429" s="11">
        <f t="shared" si="44"/>
        <v>3</v>
      </c>
      <c r="H429" s="11">
        <f t="shared" si="45"/>
        <v>5</v>
      </c>
      <c r="I429" s="10">
        <v>40240</v>
      </c>
      <c r="J429" s="9" t="s">
        <v>87</v>
      </c>
      <c r="K429" s="9" t="s">
        <v>670</v>
      </c>
      <c r="L429" s="24" t="s">
        <v>490</v>
      </c>
      <c r="M429" s="9" t="s">
        <v>491</v>
      </c>
      <c r="N429" s="19">
        <v>9.1999999999999993</v>
      </c>
      <c r="O429" s="12">
        <f t="shared" ca="1" si="46"/>
        <v>13.783561643835617</v>
      </c>
      <c r="P429" s="12">
        <f t="shared" ca="1" si="47"/>
        <v>22.983561643835614</v>
      </c>
      <c r="Q429" s="12" t="s">
        <v>26</v>
      </c>
      <c r="R429" s="9" t="s">
        <v>347</v>
      </c>
      <c r="S429" s="24" t="s">
        <v>28</v>
      </c>
      <c r="T429" s="9" t="s">
        <v>492</v>
      </c>
    </row>
    <row r="430" spans="1:20" ht="35.25" customHeight="1">
      <c r="A430" s="6">
        <f t="shared" si="48"/>
        <v>429</v>
      </c>
      <c r="B430" s="17" t="s">
        <v>1309</v>
      </c>
      <c r="C430" s="8" t="s">
        <v>291</v>
      </c>
      <c r="D430" s="9" t="s">
        <v>26</v>
      </c>
      <c r="E430" s="10">
        <v>31917</v>
      </c>
      <c r="F430" s="11">
        <f t="shared" ca="1" si="43"/>
        <v>36.586301369863016</v>
      </c>
      <c r="G430" s="11">
        <f t="shared" si="44"/>
        <v>5</v>
      </c>
      <c r="H430" s="11">
        <f t="shared" si="45"/>
        <v>20</v>
      </c>
      <c r="I430" s="10">
        <v>40252</v>
      </c>
      <c r="J430" s="9" t="s">
        <v>87</v>
      </c>
      <c r="K430" s="9" t="s">
        <v>1238</v>
      </c>
      <c r="L430" s="9" t="s">
        <v>204</v>
      </c>
      <c r="M430" s="9" t="s">
        <v>134</v>
      </c>
      <c r="N430" s="11">
        <v>2</v>
      </c>
      <c r="O430" s="12">
        <f t="shared" ca="1" si="46"/>
        <v>13.75068493150685</v>
      </c>
      <c r="P430" s="12">
        <f t="shared" ca="1" si="47"/>
        <v>15.75068493150685</v>
      </c>
      <c r="Q430" s="12" t="s">
        <v>68</v>
      </c>
      <c r="R430" s="9" t="s">
        <v>27</v>
      </c>
      <c r="S430" s="24" t="s">
        <v>36</v>
      </c>
      <c r="T430" s="9" t="s">
        <v>137</v>
      </c>
    </row>
    <row r="431" spans="1:20" ht="35.25" customHeight="1">
      <c r="A431" s="6">
        <f t="shared" si="48"/>
        <v>430</v>
      </c>
      <c r="B431" s="17" t="s">
        <v>1310</v>
      </c>
      <c r="C431" s="8" t="s">
        <v>1311</v>
      </c>
      <c r="D431" s="9" t="s">
        <v>26</v>
      </c>
      <c r="E431" s="10">
        <v>28301</v>
      </c>
      <c r="F431" s="11">
        <f t="shared" ca="1" si="43"/>
        <v>46.493150684931507</v>
      </c>
      <c r="G431" s="11">
        <f t="shared" si="44"/>
        <v>6</v>
      </c>
      <c r="H431" s="11">
        <f t="shared" si="45"/>
        <v>25</v>
      </c>
      <c r="I431" s="10">
        <v>40252</v>
      </c>
      <c r="J431" s="9" t="s">
        <v>22</v>
      </c>
      <c r="K431" s="9" t="s">
        <v>1312</v>
      </c>
      <c r="L431" s="9" t="s">
        <v>208</v>
      </c>
      <c r="M431" s="9" t="s">
        <v>35</v>
      </c>
      <c r="N431" s="11">
        <v>2</v>
      </c>
      <c r="O431" s="12">
        <f t="shared" ca="1" si="46"/>
        <v>13.75068493150685</v>
      </c>
      <c r="P431" s="12">
        <f t="shared" ca="1" si="47"/>
        <v>15.75068493150685</v>
      </c>
      <c r="Q431" s="12" t="s">
        <v>26</v>
      </c>
      <c r="R431" s="9" t="s">
        <v>27</v>
      </c>
      <c r="S431" s="24" t="s">
        <v>28</v>
      </c>
      <c r="T431" s="9" t="s">
        <v>29</v>
      </c>
    </row>
    <row r="432" spans="1:20" ht="35.25" customHeight="1">
      <c r="A432" s="6">
        <f t="shared" si="48"/>
        <v>431</v>
      </c>
      <c r="B432" s="17" t="s">
        <v>1313</v>
      </c>
      <c r="C432" s="8" t="s">
        <v>1314</v>
      </c>
      <c r="D432" s="9" t="s">
        <v>26</v>
      </c>
      <c r="E432" s="10">
        <v>30853</v>
      </c>
      <c r="F432" s="11">
        <f t="shared" ca="1" si="43"/>
        <v>39.5013698630137</v>
      </c>
      <c r="G432" s="11">
        <f t="shared" si="44"/>
        <v>6</v>
      </c>
      <c r="H432" s="11">
        <f t="shared" si="45"/>
        <v>20</v>
      </c>
      <c r="I432" s="10">
        <v>40252</v>
      </c>
      <c r="J432" s="9" t="s">
        <v>87</v>
      </c>
      <c r="K432" s="9" t="s">
        <v>1226</v>
      </c>
      <c r="L432" s="9" t="s">
        <v>34</v>
      </c>
      <c r="M432" s="9" t="s">
        <v>35</v>
      </c>
      <c r="N432" s="11">
        <v>5</v>
      </c>
      <c r="O432" s="12">
        <f t="shared" ca="1" si="46"/>
        <v>13.75068493150685</v>
      </c>
      <c r="P432" s="12">
        <f t="shared" ca="1" si="47"/>
        <v>18.75068493150685</v>
      </c>
      <c r="Q432" s="12" t="s">
        <v>68</v>
      </c>
      <c r="R432" s="9" t="s">
        <v>27</v>
      </c>
      <c r="S432" s="24" t="s">
        <v>36</v>
      </c>
      <c r="T432" s="9" t="s">
        <v>72</v>
      </c>
    </row>
    <row r="433" spans="1:20" ht="35.25" customHeight="1">
      <c r="A433" s="6">
        <f t="shared" si="48"/>
        <v>432</v>
      </c>
      <c r="B433" s="17" t="s">
        <v>1315</v>
      </c>
      <c r="C433" s="8" t="s">
        <v>1316</v>
      </c>
      <c r="D433" s="9" t="s">
        <v>26</v>
      </c>
      <c r="E433" s="10">
        <v>25004</v>
      </c>
      <c r="F433" s="11">
        <f t="shared" ca="1" si="43"/>
        <v>55.526027397260272</v>
      </c>
      <c r="G433" s="11">
        <f t="shared" si="44"/>
        <v>6</v>
      </c>
      <c r="H433" s="11">
        <f t="shared" si="45"/>
        <v>15</v>
      </c>
      <c r="I433" s="10">
        <v>40252</v>
      </c>
      <c r="J433" s="9" t="s">
        <v>58</v>
      </c>
      <c r="K433" s="9" t="s">
        <v>302</v>
      </c>
      <c r="L433" s="9" t="s">
        <v>885</v>
      </c>
      <c r="M433" s="9" t="s">
        <v>886</v>
      </c>
      <c r="N433" s="11">
        <v>23</v>
      </c>
      <c r="O433" s="12">
        <f t="shared" ca="1" si="46"/>
        <v>13.75068493150685</v>
      </c>
      <c r="P433" s="12">
        <f t="shared" ca="1" si="47"/>
        <v>36.750684931506854</v>
      </c>
      <c r="Q433" s="12" t="s">
        <v>26</v>
      </c>
      <c r="R433" s="9" t="s">
        <v>27</v>
      </c>
      <c r="S433" s="24" t="s">
        <v>28</v>
      </c>
      <c r="T433" s="9" t="s">
        <v>29</v>
      </c>
    </row>
    <row r="434" spans="1:20" ht="35.25" customHeight="1">
      <c r="A434" s="6">
        <f t="shared" si="48"/>
        <v>433</v>
      </c>
      <c r="B434" s="17" t="s">
        <v>1317</v>
      </c>
      <c r="C434" s="8" t="s">
        <v>1223</v>
      </c>
      <c r="D434" s="9" t="s">
        <v>21</v>
      </c>
      <c r="E434" s="10">
        <v>29174</v>
      </c>
      <c r="F434" s="11">
        <f t="shared" ca="1" si="43"/>
        <v>44.101369863013701</v>
      </c>
      <c r="G434" s="11">
        <f t="shared" si="44"/>
        <v>11</v>
      </c>
      <c r="H434" s="11">
        <f t="shared" si="45"/>
        <v>15</v>
      </c>
      <c r="I434" s="10">
        <v>40249</v>
      </c>
      <c r="J434" s="9" t="s">
        <v>32</v>
      </c>
      <c r="K434" s="9" t="s">
        <v>1318</v>
      </c>
      <c r="L434" s="9" t="s">
        <v>471</v>
      </c>
      <c r="M434" s="9" t="s">
        <v>472</v>
      </c>
      <c r="N434" s="11">
        <v>6</v>
      </c>
      <c r="O434" s="12">
        <f t="shared" ca="1" si="46"/>
        <v>13.758904109589041</v>
      </c>
      <c r="P434" s="12">
        <f t="shared" ca="1" si="47"/>
        <v>19.758904109589039</v>
      </c>
      <c r="Q434" s="12" t="s">
        <v>26</v>
      </c>
      <c r="R434" s="9" t="s">
        <v>27</v>
      </c>
      <c r="S434" s="24" t="s">
        <v>28</v>
      </c>
      <c r="T434" s="9" t="s">
        <v>29</v>
      </c>
    </row>
    <row r="435" spans="1:20" ht="35.25" customHeight="1">
      <c r="A435" s="6">
        <f t="shared" si="48"/>
        <v>434</v>
      </c>
      <c r="B435" s="17" t="s">
        <v>1319</v>
      </c>
      <c r="C435" s="8" t="s">
        <v>1320</v>
      </c>
      <c r="D435" s="9" t="s">
        <v>26</v>
      </c>
      <c r="E435" s="10">
        <v>26362</v>
      </c>
      <c r="F435" s="11">
        <f t="shared" ca="1" si="43"/>
        <v>51.805479452054797</v>
      </c>
      <c r="G435" s="11">
        <f t="shared" si="44"/>
        <v>3</v>
      </c>
      <c r="H435" s="11">
        <f t="shared" si="45"/>
        <v>4</v>
      </c>
      <c r="I435" s="10">
        <v>40240</v>
      </c>
      <c r="J435" s="9" t="s">
        <v>32</v>
      </c>
      <c r="K435" s="9" t="s">
        <v>33</v>
      </c>
      <c r="L435" s="24" t="s">
        <v>490</v>
      </c>
      <c r="M435" s="9" t="s">
        <v>491</v>
      </c>
      <c r="N435" s="19">
        <v>18</v>
      </c>
      <c r="O435" s="12">
        <f t="shared" ca="1" si="46"/>
        <v>13.783561643835617</v>
      </c>
      <c r="P435" s="12">
        <f t="shared" ca="1" si="47"/>
        <v>31.783561643835618</v>
      </c>
      <c r="Q435" s="12" t="s">
        <v>26</v>
      </c>
      <c r="R435" s="9" t="s">
        <v>792</v>
      </c>
      <c r="S435" s="24" t="s">
        <v>28</v>
      </c>
      <c r="T435" s="9" t="s">
        <v>492</v>
      </c>
    </row>
    <row r="436" spans="1:20" ht="35.25" customHeight="1">
      <c r="A436" s="6">
        <f t="shared" si="48"/>
        <v>435</v>
      </c>
      <c r="B436" s="17" t="s">
        <v>1321</v>
      </c>
      <c r="C436" s="8" t="s">
        <v>1322</v>
      </c>
      <c r="D436" s="9" t="s">
        <v>26</v>
      </c>
      <c r="E436" s="10">
        <v>24566</v>
      </c>
      <c r="F436" s="11">
        <f t="shared" ca="1" si="43"/>
        <v>56.726027397260275</v>
      </c>
      <c r="G436" s="11">
        <f t="shared" si="44"/>
        <v>4</v>
      </c>
      <c r="H436" s="11">
        <f t="shared" si="45"/>
        <v>4</v>
      </c>
      <c r="I436" s="10">
        <v>40261</v>
      </c>
      <c r="J436" s="9" t="s">
        <v>32</v>
      </c>
      <c r="K436" s="9" t="s">
        <v>33</v>
      </c>
      <c r="L436" s="24" t="s">
        <v>490</v>
      </c>
      <c r="M436" s="9" t="s">
        <v>491</v>
      </c>
      <c r="N436" s="19">
        <v>22</v>
      </c>
      <c r="O436" s="12">
        <f t="shared" ca="1" si="46"/>
        <v>13.726027397260275</v>
      </c>
      <c r="P436" s="12">
        <f t="shared" ca="1" si="47"/>
        <v>35.726027397260275</v>
      </c>
      <c r="Q436" s="12" t="s">
        <v>26</v>
      </c>
      <c r="R436" s="9" t="s">
        <v>898</v>
      </c>
      <c r="S436" s="24" t="s">
        <v>28</v>
      </c>
      <c r="T436" s="9" t="s">
        <v>492</v>
      </c>
    </row>
    <row r="437" spans="1:20" ht="35.25" customHeight="1">
      <c r="A437" s="6">
        <f t="shared" si="48"/>
        <v>436</v>
      </c>
      <c r="B437" s="17" t="s">
        <v>1323</v>
      </c>
      <c r="C437" s="8" t="s">
        <v>1324</v>
      </c>
      <c r="D437" s="9" t="s">
        <v>26</v>
      </c>
      <c r="E437" s="10">
        <v>27839</v>
      </c>
      <c r="F437" s="11">
        <f t="shared" ca="1" si="43"/>
        <v>47.758904109589039</v>
      </c>
      <c r="G437" s="11">
        <f t="shared" si="44"/>
        <v>3</v>
      </c>
      <c r="H437" s="11">
        <f t="shared" si="45"/>
        <v>20</v>
      </c>
      <c r="I437" s="10">
        <v>40269</v>
      </c>
      <c r="J437" s="9" t="s">
        <v>87</v>
      </c>
      <c r="K437" s="9" t="s">
        <v>216</v>
      </c>
      <c r="L437" s="9" t="s">
        <v>204</v>
      </c>
      <c r="M437" s="9" t="s">
        <v>134</v>
      </c>
      <c r="N437" s="11">
        <v>10</v>
      </c>
      <c r="O437" s="12">
        <f t="shared" ca="1" si="46"/>
        <v>13.704109589041096</v>
      </c>
      <c r="P437" s="12">
        <f t="shared" ca="1" si="47"/>
        <v>23.704109589041096</v>
      </c>
      <c r="Q437" s="12" t="s">
        <v>26</v>
      </c>
      <c r="R437" s="9" t="s">
        <v>27</v>
      </c>
      <c r="S437" s="24" t="s">
        <v>36</v>
      </c>
      <c r="T437" s="9" t="s">
        <v>137</v>
      </c>
    </row>
    <row r="438" spans="1:20" ht="35.25" customHeight="1">
      <c r="A438" s="6">
        <f t="shared" si="48"/>
        <v>437</v>
      </c>
      <c r="B438" s="17" t="s">
        <v>1325</v>
      </c>
      <c r="C438" s="8" t="s">
        <v>1326</v>
      </c>
      <c r="D438" s="9" t="s">
        <v>26</v>
      </c>
      <c r="E438" s="10">
        <v>29016</v>
      </c>
      <c r="F438" s="11">
        <f t="shared" ca="1" si="43"/>
        <v>44.534246575342465</v>
      </c>
      <c r="G438" s="11">
        <f t="shared" si="44"/>
        <v>6</v>
      </c>
      <c r="H438" s="11">
        <f t="shared" si="45"/>
        <v>10</v>
      </c>
      <c r="I438" s="10">
        <v>40269</v>
      </c>
      <c r="J438" s="9" t="s">
        <v>87</v>
      </c>
      <c r="K438" s="9" t="s">
        <v>216</v>
      </c>
      <c r="L438" s="9" t="s">
        <v>204</v>
      </c>
      <c r="M438" s="9" t="s">
        <v>134</v>
      </c>
      <c r="N438" s="11">
        <v>6</v>
      </c>
      <c r="O438" s="12">
        <f t="shared" ca="1" si="46"/>
        <v>13.704109589041096</v>
      </c>
      <c r="P438" s="12">
        <f t="shared" ca="1" si="47"/>
        <v>19.704109589041096</v>
      </c>
      <c r="Q438" s="12" t="s">
        <v>68</v>
      </c>
      <c r="R438" s="9" t="s">
        <v>27</v>
      </c>
      <c r="S438" s="24" t="s">
        <v>36</v>
      </c>
      <c r="T438" s="9" t="s">
        <v>137</v>
      </c>
    </row>
    <row r="439" spans="1:20" ht="35.25" customHeight="1">
      <c r="A439" s="6">
        <f t="shared" si="48"/>
        <v>438</v>
      </c>
      <c r="B439" s="17" t="s">
        <v>1327</v>
      </c>
      <c r="C439" s="8" t="s">
        <v>1328</v>
      </c>
      <c r="D439" s="9" t="s">
        <v>26</v>
      </c>
      <c r="E439" s="10">
        <v>30835</v>
      </c>
      <c r="F439" s="11">
        <f t="shared" ca="1" si="43"/>
        <v>39.550684931506851</v>
      </c>
      <c r="G439" s="11">
        <f t="shared" si="44"/>
        <v>6</v>
      </c>
      <c r="H439" s="11">
        <f t="shared" si="45"/>
        <v>2</v>
      </c>
      <c r="I439" s="10">
        <v>40269</v>
      </c>
      <c r="J439" s="9" t="s">
        <v>87</v>
      </c>
      <c r="K439" s="9" t="s">
        <v>1226</v>
      </c>
      <c r="L439" s="9" t="s">
        <v>34</v>
      </c>
      <c r="M439" s="9" t="s">
        <v>35</v>
      </c>
      <c r="N439" s="11">
        <v>2</v>
      </c>
      <c r="O439" s="12">
        <f t="shared" ca="1" si="46"/>
        <v>13.704109589041096</v>
      </c>
      <c r="P439" s="12">
        <f t="shared" ca="1" si="47"/>
        <v>15.704109589041096</v>
      </c>
      <c r="Q439" s="12" t="s">
        <v>68</v>
      </c>
      <c r="R439" s="9" t="s">
        <v>27</v>
      </c>
      <c r="S439" s="24" t="s">
        <v>36</v>
      </c>
      <c r="T439" s="9" t="s">
        <v>1329</v>
      </c>
    </row>
    <row r="440" spans="1:20" ht="35.25" customHeight="1">
      <c r="A440" s="6">
        <f t="shared" si="48"/>
        <v>439</v>
      </c>
      <c r="B440" s="17" t="s">
        <v>1330</v>
      </c>
      <c r="C440" s="8" t="s">
        <v>1331</v>
      </c>
      <c r="D440" s="9" t="s">
        <v>26</v>
      </c>
      <c r="E440" s="10">
        <v>26724</v>
      </c>
      <c r="F440" s="11">
        <f t="shared" ca="1" si="43"/>
        <v>50.813698630136983</v>
      </c>
      <c r="G440" s="11">
        <f t="shared" si="44"/>
        <v>3</v>
      </c>
      <c r="H440" s="11">
        <f t="shared" si="45"/>
        <v>1</v>
      </c>
      <c r="I440" s="10">
        <v>40269</v>
      </c>
      <c r="J440" s="9" t="s">
        <v>58</v>
      </c>
      <c r="K440" s="9" t="s">
        <v>1332</v>
      </c>
      <c r="L440" s="9" t="s">
        <v>1333</v>
      </c>
      <c r="M440" s="9" t="s">
        <v>35</v>
      </c>
      <c r="N440" s="11">
        <v>13</v>
      </c>
      <c r="O440" s="12">
        <f t="shared" ca="1" si="46"/>
        <v>13.704109589041096</v>
      </c>
      <c r="P440" s="12">
        <f t="shared" ca="1" si="47"/>
        <v>26.704109589041096</v>
      </c>
      <c r="Q440" s="12" t="s">
        <v>26</v>
      </c>
      <c r="R440" s="9" t="s">
        <v>27</v>
      </c>
      <c r="S440" s="24" t="s">
        <v>28</v>
      </c>
      <c r="T440" s="9" t="s">
        <v>29</v>
      </c>
    </row>
    <row r="441" spans="1:20" ht="35.25" customHeight="1">
      <c r="A441" s="6">
        <f t="shared" si="48"/>
        <v>440</v>
      </c>
      <c r="B441" s="17" t="s">
        <v>1334</v>
      </c>
      <c r="C441" s="8" t="s">
        <v>1131</v>
      </c>
      <c r="D441" s="9" t="s">
        <v>21</v>
      </c>
      <c r="E441" s="10">
        <v>32198</v>
      </c>
      <c r="F441" s="11">
        <f t="shared" ca="1" si="43"/>
        <v>35.816438356164383</v>
      </c>
      <c r="G441" s="11">
        <f t="shared" si="44"/>
        <v>2</v>
      </c>
      <c r="H441" s="11">
        <f t="shared" si="45"/>
        <v>25</v>
      </c>
      <c r="I441" s="10">
        <v>40273</v>
      </c>
      <c r="J441" s="9" t="s">
        <v>226</v>
      </c>
      <c r="K441" s="9" t="s">
        <v>600</v>
      </c>
      <c r="L441" s="9" t="s">
        <v>34</v>
      </c>
      <c r="M441" s="9" t="s">
        <v>35</v>
      </c>
      <c r="N441" s="11">
        <v>1</v>
      </c>
      <c r="O441" s="12">
        <f t="shared" ca="1" si="46"/>
        <v>13.693150684931506</v>
      </c>
      <c r="P441" s="12">
        <f t="shared" ca="1" si="47"/>
        <v>14.693150684931506</v>
      </c>
      <c r="Q441" s="12" t="s">
        <v>68</v>
      </c>
      <c r="R441" s="9" t="s">
        <v>27</v>
      </c>
      <c r="S441" s="24" t="s">
        <v>28</v>
      </c>
      <c r="T441" s="9" t="s">
        <v>29</v>
      </c>
    </row>
    <row r="442" spans="1:20" ht="35.25" customHeight="1">
      <c r="A442" s="6">
        <f t="shared" si="48"/>
        <v>441</v>
      </c>
      <c r="B442" s="17" t="s">
        <v>1335</v>
      </c>
      <c r="C442" s="8" t="s">
        <v>1336</v>
      </c>
      <c r="D442" s="9" t="s">
        <v>26</v>
      </c>
      <c r="E442" s="10">
        <v>28339</v>
      </c>
      <c r="F442" s="11">
        <f t="shared" ca="1" si="43"/>
        <v>46.389041095890413</v>
      </c>
      <c r="G442" s="11">
        <f t="shared" si="44"/>
        <v>8</v>
      </c>
      <c r="H442" s="11">
        <f t="shared" si="45"/>
        <v>2</v>
      </c>
      <c r="I442" s="10">
        <v>40273</v>
      </c>
      <c r="J442" s="9" t="s">
        <v>50</v>
      </c>
      <c r="K442" s="9" t="s">
        <v>146</v>
      </c>
      <c r="L442" s="9" t="s">
        <v>208</v>
      </c>
      <c r="M442" s="9" t="s">
        <v>35</v>
      </c>
      <c r="N442" s="11">
        <v>9</v>
      </c>
      <c r="O442" s="12">
        <f t="shared" ca="1" si="46"/>
        <v>13.693150684931506</v>
      </c>
      <c r="P442" s="12">
        <f t="shared" ca="1" si="47"/>
        <v>22.693150684931506</v>
      </c>
      <c r="Q442" s="12" t="s">
        <v>26</v>
      </c>
      <c r="R442" s="9" t="s">
        <v>27</v>
      </c>
      <c r="S442" s="24" t="s">
        <v>28</v>
      </c>
      <c r="T442" s="9" t="s">
        <v>29</v>
      </c>
    </row>
    <row r="443" spans="1:20" ht="35.25" customHeight="1">
      <c r="A443" s="6">
        <f t="shared" si="48"/>
        <v>442</v>
      </c>
      <c r="B443" s="17" t="s">
        <v>1337</v>
      </c>
      <c r="C443" s="8" t="s">
        <v>1338</v>
      </c>
      <c r="D443" s="9" t="s">
        <v>26</v>
      </c>
      <c r="E443" s="10">
        <v>30125</v>
      </c>
      <c r="F443" s="11">
        <f t="shared" ca="1" si="43"/>
        <v>41.495890410958907</v>
      </c>
      <c r="G443" s="11">
        <f t="shared" si="44"/>
        <v>6</v>
      </c>
      <c r="H443" s="11">
        <f t="shared" si="45"/>
        <v>23</v>
      </c>
      <c r="I443" s="10">
        <v>40273</v>
      </c>
      <c r="J443" s="9" t="s">
        <v>22</v>
      </c>
      <c r="K443" s="9" t="s">
        <v>241</v>
      </c>
      <c r="L443" s="9" t="s">
        <v>231</v>
      </c>
      <c r="M443" s="9" t="s">
        <v>156</v>
      </c>
      <c r="N443" s="11">
        <v>6.4</v>
      </c>
      <c r="O443" s="12">
        <f t="shared" ca="1" si="46"/>
        <v>13.693150684931506</v>
      </c>
      <c r="P443" s="12">
        <f t="shared" ca="1" si="47"/>
        <v>20.093150684931508</v>
      </c>
      <c r="Q443" s="12" t="s">
        <v>26</v>
      </c>
      <c r="R443" s="9" t="s">
        <v>27</v>
      </c>
      <c r="S443" s="24" t="s">
        <v>28</v>
      </c>
      <c r="T443" s="9" t="s">
        <v>114</v>
      </c>
    </row>
    <row r="444" spans="1:20" ht="35.25" customHeight="1">
      <c r="A444" s="6">
        <f t="shared" si="48"/>
        <v>443</v>
      </c>
      <c r="B444" s="17" t="s">
        <v>1339</v>
      </c>
      <c r="C444" s="8" t="s">
        <v>1340</v>
      </c>
      <c r="D444" s="9" t="s">
        <v>26</v>
      </c>
      <c r="E444" s="10">
        <v>27473</v>
      </c>
      <c r="F444" s="11">
        <f t="shared" ca="1" si="43"/>
        <v>48.761643835616439</v>
      </c>
      <c r="G444" s="11">
        <f t="shared" si="44"/>
        <v>3</v>
      </c>
      <c r="H444" s="11">
        <f t="shared" si="45"/>
        <v>20</v>
      </c>
      <c r="I444" s="10">
        <v>40264</v>
      </c>
      <c r="J444" s="9" t="s">
        <v>140</v>
      </c>
      <c r="K444" s="9" t="s">
        <v>1341</v>
      </c>
      <c r="L444" s="9" t="s">
        <v>101</v>
      </c>
      <c r="M444" s="9" t="s">
        <v>156</v>
      </c>
      <c r="N444" s="11">
        <v>11</v>
      </c>
      <c r="O444" s="12">
        <f t="shared" ca="1" si="46"/>
        <v>13.717808219178082</v>
      </c>
      <c r="P444" s="12">
        <f t="shared" ca="1" si="47"/>
        <v>24.717808219178082</v>
      </c>
      <c r="Q444" s="12" t="s">
        <v>26</v>
      </c>
      <c r="R444" s="9" t="s">
        <v>27</v>
      </c>
      <c r="S444" s="24" t="s">
        <v>28</v>
      </c>
      <c r="T444" s="9" t="s">
        <v>29</v>
      </c>
    </row>
    <row r="445" spans="1:20" ht="35.25" customHeight="1">
      <c r="A445" s="6">
        <f t="shared" si="48"/>
        <v>444</v>
      </c>
      <c r="B445" s="17" t="s">
        <v>1342</v>
      </c>
      <c r="C445" s="8" t="s">
        <v>1343</v>
      </c>
      <c r="D445" s="9" t="s">
        <v>26</v>
      </c>
      <c r="E445" s="10">
        <v>27942</v>
      </c>
      <c r="F445" s="11">
        <f t="shared" ca="1" si="43"/>
        <v>47.476712328767121</v>
      </c>
      <c r="G445" s="11">
        <f t="shared" si="44"/>
        <v>7</v>
      </c>
      <c r="H445" s="11">
        <f t="shared" si="45"/>
        <v>1</v>
      </c>
      <c r="I445" s="10">
        <v>40266</v>
      </c>
      <c r="J445" s="9" t="s">
        <v>318</v>
      </c>
      <c r="K445" s="9" t="s">
        <v>258</v>
      </c>
      <c r="L445" s="9" t="s">
        <v>325</v>
      </c>
      <c r="M445" s="9" t="s">
        <v>61</v>
      </c>
      <c r="N445" s="11">
        <v>13</v>
      </c>
      <c r="O445" s="12">
        <f t="shared" ca="1" si="46"/>
        <v>13.712328767123287</v>
      </c>
      <c r="P445" s="12">
        <f t="shared" ca="1" si="47"/>
        <v>26.712328767123289</v>
      </c>
      <c r="Q445" s="12" t="s">
        <v>26</v>
      </c>
      <c r="R445" s="9" t="s">
        <v>792</v>
      </c>
      <c r="S445" s="24" t="s">
        <v>28</v>
      </c>
      <c r="T445" s="9" t="s">
        <v>29</v>
      </c>
    </row>
    <row r="446" spans="1:20" ht="35.25" customHeight="1">
      <c r="A446" s="6">
        <f t="shared" si="48"/>
        <v>445</v>
      </c>
      <c r="B446" s="17" t="s">
        <v>1344</v>
      </c>
      <c r="C446" s="8" t="s">
        <v>1345</v>
      </c>
      <c r="D446" s="9" t="s">
        <v>26</v>
      </c>
      <c r="E446" s="10">
        <v>31566</v>
      </c>
      <c r="F446" s="11">
        <f t="shared" ca="1" si="43"/>
        <v>37.547945205479451</v>
      </c>
      <c r="G446" s="11">
        <f t="shared" si="44"/>
        <v>6</v>
      </c>
      <c r="H446" s="11">
        <f t="shared" si="45"/>
        <v>3</v>
      </c>
      <c r="I446" s="10">
        <v>40277</v>
      </c>
      <c r="J446" s="9" t="s">
        <v>226</v>
      </c>
      <c r="K446" s="9" t="s">
        <v>341</v>
      </c>
      <c r="L446" s="9" t="s">
        <v>34</v>
      </c>
      <c r="M446" s="9" t="s">
        <v>35</v>
      </c>
      <c r="N446" s="11">
        <v>2</v>
      </c>
      <c r="O446" s="12">
        <f t="shared" ca="1" si="46"/>
        <v>13.682191780821919</v>
      </c>
      <c r="P446" s="12">
        <f t="shared" ca="1" si="47"/>
        <v>15.682191780821919</v>
      </c>
      <c r="Q446" s="12" t="s">
        <v>68</v>
      </c>
      <c r="R446" s="9" t="s">
        <v>27</v>
      </c>
      <c r="S446" s="24" t="s">
        <v>36</v>
      </c>
      <c r="T446" s="9" t="s">
        <v>1346</v>
      </c>
    </row>
    <row r="447" spans="1:20" ht="35.25" customHeight="1">
      <c r="A447" s="6">
        <f t="shared" si="48"/>
        <v>446</v>
      </c>
      <c r="B447" s="17" t="s">
        <v>1347</v>
      </c>
      <c r="C447" s="17" t="s">
        <v>1348</v>
      </c>
      <c r="D447" s="6" t="s">
        <v>26</v>
      </c>
      <c r="E447" s="18">
        <v>29849</v>
      </c>
      <c r="F447" s="19">
        <f t="shared" ref="F447:F510" ca="1" si="49">(TODAY()-E447)/365</f>
        <v>42.252054794520546</v>
      </c>
      <c r="G447" s="19">
        <f t="shared" ref="G447:G453" si="50">MONTH(E447)</f>
        <v>9</v>
      </c>
      <c r="H447" s="19">
        <f t="shared" ref="H447:H453" si="51">DAY(E447)</f>
        <v>20</v>
      </c>
      <c r="I447" s="18">
        <v>40275</v>
      </c>
      <c r="J447" s="6" t="s">
        <v>32</v>
      </c>
      <c r="K447" s="6" t="s">
        <v>1349</v>
      </c>
      <c r="L447" s="21" t="s">
        <v>878</v>
      </c>
      <c r="M447" s="6" t="s">
        <v>25</v>
      </c>
      <c r="N447" s="19">
        <v>4</v>
      </c>
      <c r="O447" s="20">
        <f t="shared" ca="1" si="46"/>
        <v>13.687671232876712</v>
      </c>
      <c r="P447" s="20">
        <f t="shared" ca="1" si="47"/>
        <v>17.68767123287671</v>
      </c>
      <c r="Q447" s="20" t="s">
        <v>68</v>
      </c>
      <c r="R447" s="6" t="s">
        <v>792</v>
      </c>
      <c r="S447" s="21" t="s">
        <v>28</v>
      </c>
      <c r="T447" s="6" t="s">
        <v>492</v>
      </c>
    </row>
    <row r="448" spans="1:20" ht="35.25" customHeight="1">
      <c r="A448" s="6">
        <f t="shared" si="48"/>
        <v>447</v>
      </c>
      <c r="B448" s="17" t="s">
        <v>1350</v>
      </c>
      <c r="C448" s="8" t="s">
        <v>1351</v>
      </c>
      <c r="D448" s="9" t="s">
        <v>26</v>
      </c>
      <c r="E448" s="10">
        <v>29504</v>
      </c>
      <c r="F448" s="11">
        <f t="shared" ca="1" si="49"/>
        <v>43.197260273972603</v>
      </c>
      <c r="G448" s="11">
        <f t="shared" si="50"/>
        <v>10</v>
      </c>
      <c r="H448" s="11">
        <f t="shared" si="51"/>
        <v>10</v>
      </c>
      <c r="I448" s="10">
        <v>39814</v>
      </c>
      <c r="J448" s="9" t="s">
        <v>87</v>
      </c>
      <c r="K448" s="9" t="s">
        <v>1238</v>
      </c>
      <c r="L448" s="9" t="s">
        <v>204</v>
      </c>
      <c r="M448" s="9" t="s">
        <v>25</v>
      </c>
      <c r="N448" s="11">
        <v>11</v>
      </c>
      <c r="O448" s="12">
        <f t="shared" ca="1" si="46"/>
        <v>14.950684931506849</v>
      </c>
      <c r="P448" s="12">
        <f t="shared" ca="1" si="47"/>
        <v>25.950684931506849</v>
      </c>
      <c r="Q448" s="12" t="s">
        <v>26</v>
      </c>
      <c r="R448" s="9" t="s">
        <v>901</v>
      </c>
      <c r="S448" s="24" t="s">
        <v>28</v>
      </c>
      <c r="T448" s="9" t="s">
        <v>29</v>
      </c>
    </row>
    <row r="449" spans="1:20" ht="35.25" customHeight="1">
      <c r="A449" s="6">
        <f t="shared" si="48"/>
        <v>448</v>
      </c>
      <c r="B449" s="17" t="s">
        <v>1352</v>
      </c>
      <c r="C449" s="8" t="s">
        <v>1353</v>
      </c>
      <c r="D449" s="9" t="s">
        <v>26</v>
      </c>
      <c r="E449" s="10">
        <v>30531</v>
      </c>
      <c r="F449" s="11">
        <f t="shared" ca="1" si="49"/>
        <v>40.38356164383562</v>
      </c>
      <c r="G449" s="11">
        <f t="shared" si="50"/>
        <v>8</v>
      </c>
      <c r="H449" s="11">
        <f t="shared" si="51"/>
        <v>3</v>
      </c>
      <c r="I449" s="10">
        <v>40280</v>
      </c>
      <c r="J449" s="9" t="s">
        <v>87</v>
      </c>
      <c r="K449" s="9" t="s">
        <v>216</v>
      </c>
      <c r="L449" s="9" t="s">
        <v>24</v>
      </c>
      <c r="M449" s="9" t="s">
        <v>156</v>
      </c>
      <c r="N449" s="11">
        <v>3.4</v>
      </c>
      <c r="O449" s="12">
        <f t="shared" ca="1" si="46"/>
        <v>13.673972602739726</v>
      </c>
      <c r="P449" s="12">
        <f t="shared" ca="1" si="47"/>
        <v>17.073972602739726</v>
      </c>
      <c r="Q449" s="12" t="s">
        <v>68</v>
      </c>
      <c r="R449" s="9" t="s">
        <v>27</v>
      </c>
      <c r="S449" s="24" t="s">
        <v>28</v>
      </c>
      <c r="T449" s="9" t="s">
        <v>114</v>
      </c>
    </row>
    <row r="450" spans="1:20" ht="35.25" customHeight="1">
      <c r="A450" s="6">
        <f t="shared" si="48"/>
        <v>449</v>
      </c>
      <c r="B450" s="17" t="s">
        <v>1354</v>
      </c>
      <c r="C450" s="8" t="s">
        <v>1355</v>
      </c>
      <c r="D450" s="9" t="s">
        <v>26</v>
      </c>
      <c r="E450" s="10">
        <v>24178</v>
      </c>
      <c r="F450" s="11">
        <f t="shared" ca="1" si="49"/>
        <v>57.789041095890411</v>
      </c>
      <c r="G450" s="11">
        <f t="shared" si="50"/>
        <v>3</v>
      </c>
      <c r="H450" s="11">
        <f t="shared" si="51"/>
        <v>12</v>
      </c>
      <c r="I450" s="10">
        <v>40282</v>
      </c>
      <c r="J450" s="9" t="s">
        <v>32</v>
      </c>
      <c r="K450" s="9" t="s">
        <v>1356</v>
      </c>
      <c r="L450" s="9" t="s">
        <v>208</v>
      </c>
      <c r="M450" s="9" t="s">
        <v>35</v>
      </c>
      <c r="N450" s="11">
        <v>17</v>
      </c>
      <c r="O450" s="12">
        <f t="shared" ref="O450:O513" ca="1" si="52">(TODAY()-I450)/365</f>
        <v>13.668493150684931</v>
      </c>
      <c r="P450" s="12">
        <f t="shared" ref="P450:P513" ca="1" si="53">SUM(N450+O450)</f>
        <v>30.668493150684931</v>
      </c>
      <c r="Q450" s="12" t="s">
        <v>26</v>
      </c>
      <c r="R450" s="9" t="s">
        <v>27</v>
      </c>
      <c r="S450" s="24" t="s">
        <v>28</v>
      </c>
      <c r="T450" s="9" t="s">
        <v>29</v>
      </c>
    </row>
    <row r="451" spans="1:20" ht="35.25" customHeight="1">
      <c r="A451" s="6">
        <f t="shared" si="48"/>
        <v>450</v>
      </c>
      <c r="B451" s="17" t="s">
        <v>1357</v>
      </c>
      <c r="C451" s="8" t="s">
        <v>1358</v>
      </c>
      <c r="D451" s="9" t="s">
        <v>26</v>
      </c>
      <c r="E451" s="10">
        <v>30107</v>
      </c>
      <c r="F451" s="11">
        <f t="shared" ca="1" si="49"/>
        <v>41.545205479452058</v>
      </c>
      <c r="G451" s="11">
        <f t="shared" si="50"/>
        <v>6</v>
      </c>
      <c r="H451" s="11">
        <f t="shared" si="51"/>
        <v>5</v>
      </c>
      <c r="I451" s="10">
        <v>40282</v>
      </c>
      <c r="J451" s="9" t="s">
        <v>87</v>
      </c>
      <c r="K451" s="9" t="s">
        <v>1226</v>
      </c>
      <c r="L451" s="9" t="s">
        <v>34</v>
      </c>
      <c r="M451" s="9" t="s">
        <v>35</v>
      </c>
      <c r="N451" s="11">
        <v>8</v>
      </c>
      <c r="O451" s="12">
        <f t="shared" ca="1" si="52"/>
        <v>13.668493150684931</v>
      </c>
      <c r="P451" s="12">
        <f t="shared" ca="1" si="53"/>
        <v>21.668493150684931</v>
      </c>
      <c r="Q451" s="12" t="s">
        <v>68</v>
      </c>
      <c r="R451" s="9" t="s">
        <v>356</v>
      </c>
      <c r="S451" s="24" t="s">
        <v>36</v>
      </c>
      <c r="T451" s="9" t="s">
        <v>295</v>
      </c>
    </row>
    <row r="452" spans="1:20" ht="35.25" customHeight="1">
      <c r="A452" s="6">
        <f t="shared" ref="A452:A515" si="54">+A451+1</f>
        <v>451</v>
      </c>
      <c r="B452" s="17" t="s">
        <v>1359</v>
      </c>
      <c r="C452" s="8" t="s">
        <v>1360</v>
      </c>
      <c r="D452" s="9" t="s">
        <v>26</v>
      </c>
      <c r="E452" s="10">
        <v>25374</v>
      </c>
      <c r="F452" s="11">
        <f t="shared" ca="1" si="49"/>
        <v>54.512328767123286</v>
      </c>
      <c r="G452" s="11">
        <f t="shared" si="50"/>
        <v>6</v>
      </c>
      <c r="H452" s="11">
        <f t="shared" si="51"/>
        <v>20</v>
      </c>
      <c r="I452" s="10">
        <v>40282</v>
      </c>
      <c r="J452" s="9" t="s">
        <v>110</v>
      </c>
      <c r="K452" s="9" t="s">
        <v>412</v>
      </c>
      <c r="L452" s="9" t="s">
        <v>1333</v>
      </c>
      <c r="M452" s="9" t="s">
        <v>35</v>
      </c>
      <c r="N452" s="11">
        <v>21</v>
      </c>
      <c r="O452" s="12">
        <f t="shared" ca="1" si="52"/>
        <v>13.668493150684931</v>
      </c>
      <c r="P452" s="12">
        <f t="shared" ca="1" si="53"/>
        <v>34.668493150684931</v>
      </c>
      <c r="Q452" s="12" t="s">
        <v>26</v>
      </c>
      <c r="R452" s="9" t="s">
        <v>95</v>
      </c>
      <c r="S452" s="24" t="s">
        <v>36</v>
      </c>
      <c r="T452" s="9" t="s">
        <v>90</v>
      </c>
    </row>
    <row r="453" spans="1:20" ht="35.25" customHeight="1">
      <c r="A453" s="6">
        <f t="shared" si="54"/>
        <v>452</v>
      </c>
      <c r="B453" s="17" t="s">
        <v>1361</v>
      </c>
      <c r="C453" s="8" t="s">
        <v>1362</v>
      </c>
      <c r="D453" s="9" t="s">
        <v>26</v>
      </c>
      <c r="E453" s="10">
        <v>30256</v>
      </c>
      <c r="F453" s="11">
        <f t="shared" ca="1" si="49"/>
        <v>41.136986301369866</v>
      </c>
      <c r="G453" s="11">
        <f t="shared" si="50"/>
        <v>11</v>
      </c>
      <c r="H453" s="11">
        <f t="shared" si="51"/>
        <v>1</v>
      </c>
      <c r="I453" s="10">
        <v>40271</v>
      </c>
      <c r="J453" s="9" t="s">
        <v>50</v>
      </c>
      <c r="K453" s="9" t="s">
        <v>1363</v>
      </c>
      <c r="L453" s="24" t="s">
        <v>490</v>
      </c>
      <c r="M453" s="9" t="s">
        <v>491</v>
      </c>
      <c r="N453" s="19">
        <v>3.9</v>
      </c>
      <c r="O453" s="12">
        <f t="shared" ca="1" si="52"/>
        <v>13.698630136986301</v>
      </c>
      <c r="P453" s="12">
        <f t="shared" ca="1" si="53"/>
        <v>17.598630136986301</v>
      </c>
      <c r="Q453" s="12" t="s">
        <v>26</v>
      </c>
      <c r="R453" s="9" t="s">
        <v>347</v>
      </c>
      <c r="S453" s="24" t="s">
        <v>28</v>
      </c>
      <c r="T453" s="9" t="s">
        <v>492</v>
      </c>
    </row>
    <row r="454" spans="1:20" ht="35.25" customHeight="1">
      <c r="A454" s="6">
        <f t="shared" si="54"/>
        <v>453</v>
      </c>
      <c r="B454" s="17" t="s">
        <v>1364</v>
      </c>
      <c r="C454" s="8" t="s">
        <v>1365</v>
      </c>
      <c r="D454" s="9" t="s">
        <v>26</v>
      </c>
      <c r="E454" s="10">
        <v>31182</v>
      </c>
      <c r="F454" s="11">
        <f t="shared" ca="1" si="49"/>
        <v>38.6</v>
      </c>
      <c r="G454" s="11">
        <f>MONTH(E454)</f>
        <v>5</v>
      </c>
      <c r="H454" s="11">
        <f>DAY(E454)</f>
        <v>15</v>
      </c>
      <c r="I454" s="10">
        <v>40282</v>
      </c>
      <c r="J454" s="9" t="s">
        <v>22</v>
      </c>
      <c r="K454" s="9" t="s">
        <v>1185</v>
      </c>
      <c r="L454" s="9" t="s">
        <v>393</v>
      </c>
      <c r="M454" s="9" t="s">
        <v>156</v>
      </c>
      <c r="N454" s="11">
        <v>2.2999999999999998</v>
      </c>
      <c r="O454" s="12">
        <f t="shared" ca="1" si="52"/>
        <v>13.668493150684931</v>
      </c>
      <c r="P454" s="12">
        <f t="shared" ca="1" si="53"/>
        <v>15.968493150684932</v>
      </c>
      <c r="Q454" s="12" t="s">
        <v>68</v>
      </c>
      <c r="R454" s="9" t="s">
        <v>27</v>
      </c>
      <c r="S454" s="24" t="s">
        <v>28</v>
      </c>
      <c r="T454" s="9" t="s">
        <v>114</v>
      </c>
    </row>
    <row r="455" spans="1:20" ht="35.25" customHeight="1">
      <c r="A455" s="6">
        <f t="shared" si="54"/>
        <v>454</v>
      </c>
      <c r="B455" s="17" t="s">
        <v>1366</v>
      </c>
      <c r="C455" s="8" t="s">
        <v>1367</v>
      </c>
      <c r="D455" s="9" t="s">
        <v>21</v>
      </c>
      <c r="E455" s="10">
        <v>31089</v>
      </c>
      <c r="F455" s="11">
        <f t="shared" ca="1" si="49"/>
        <v>38.854794520547948</v>
      </c>
      <c r="G455" s="11">
        <f>MONTH(E455)</f>
        <v>2</v>
      </c>
      <c r="H455" s="11">
        <f>DAY(E455)</f>
        <v>11</v>
      </c>
      <c r="I455" s="10">
        <v>40269</v>
      </c>
      <c r="J455" s="9" t="s">
        <v>87</v>
      </c>
      <c r="K455" s="9" t="s">
        <v>1368</v>
      </c>
      <c r="L455" s="9" t="s">
        <v>204</v>
      </c>
      <c r="M455" s="9" t="s">
        <v>35</v>
      </c>
      <c r="N455" s="11">
        <v>3</v>
      </c>
      <c r="O455" s="12">
        <f t="shared" ca="1" si="52"/>
        <v>13.704109589041096</v>
      </c>
      <c r="P455" s="12">
        <f t="shared" ca="1" si="53"/>
        <v>16.704109589041096</v>
      </c>
      <c r="Q455" s="12" t="s">
        <v>68</v>
      </c>
      <c r="R455" s="9" t="s">
        <v>27</v>
      </c>
      <c r="S455" s="24" t="s">
        <v>28</v>
      </c>
      <c r="T455" s="9" t="s">
        <v>29</v>
      </c>
    </row>
    <row r="456" spans="1:20" ht="35.25" customHeight="1">
      <c r="A456" s="6">
        <f t="shared" si="54"/>
        <v>455</v>
      </c>
      <c r="B456" s="17" t="s">
        <v>1370</v>
      </c>
      <c r="C456" s="8" t="s">
        <v>1371</v>
      </c>
      <c r="D456" s="9" t="s">
        <v>26</v>
      </c>
      <c r="E456" s="10">
        <v>31051</v>
      </c>
      <c r="F456" s="11">
        <f t="shared" ca="1" si="49"/>
        <v>38.958904109589042</v>
      </c>
      <c r="G456" s="11">
        <f>MONTH(E456)</f>
        <v>1</v>
      </c>
      <c r="H456" s="11">
        <f>DAY(E456)</f>
        <v>4</v>
      </c>
      <c r="I456" s="10">
        <v>40288</v>
      </c>
      <c r="J456" s="9" t="s">
        <v>87</v>
      </c>
      <c r="K456" s="9" t="s">
        <v>1372</v>
      </c>
      <c r="L456" s="9" t="s">
        <v>180</v>
      </c>
      <c r="M456" s="9" t="s">
        <v>25</v>
      </c>
      <c r="N456" s="11">
        <v>2</v>
      </c>
      <c r="O456" s="12">
        <f t="shared" ca="1" si="52"/>
        <v>13.652054794520549</v>
      </c>
      <c r="P456" s="12">
        <f t="shared" ca="1" si="53"/>
        <v>15.652054794520549</v>
      </c>
      <c r="Q456" s="12" t="s">
        <v>68</v>
      </c>
      <c r="R456" s="9" t="s">
        <v>27</v>
      </c>
      <c r="S456" s="24" t="s">
        <v>28</v>
      </c>
      <c r="T456" s="9" t="s">
        <v>29</v>
      </c>
    </row>
    <row r="457" spans="1:20" ht="35.25" customHeight="1">
      <c r="A457" s="6">
        <f t="shared" si="54"/>
        <v>456</v>
      </c>
      <c r="B457" s="17" t="s">
        <v>1373</v>
      </c>
      <c r="C457" s="8" t="s">
        <v>1374</v>
      </c>
      <c r="D457" s="9" t="s">
        <v>26</v>
      </c>
      <c r="E457" s="10">
        <v>26309</v>
      </c>
      <c r="F457" s="11">
        <f t="shared" ca="1" si="49"/>
        <v>51.950684931506849</v>
      </c>
      <c r="G457" s="11">
        <f>MONTH(E457)</f>
        <v>1</v>
      </c>
      <c r="H457" s="11">
        <f>DAY(E457)</f>
        <v>11</v>
      </c>
      <c r="I457" s="10">
        <v>40289</v>
      </c>
      <c r="J457" s="9" t="s">
        <v>22</v>
      </c>
      <c r="K457" s="9" t="s">
        <v>203</v>
      </c>
      <c r="L457" s="9" t="s">
        <v>204</v>
      </c>
      <c r="M457" s="9" t="s">
        <v>35</v>
      </c>
      <c r="N457" s="11">
        <v>13</v>
      </c>
      <c r="O457" s="12">
        <f t="shared" ca="1" si="52"/>
        <v>13.64931506849315</v>
      </c>
      <c r="P457" s="12">
        <f t="shared" ca="1" si="53"/>
        <v>26.649315068493152</v>
      </c>
      <c r="Q457" s="12" t="s">
        <v>26</v>
      </c>
      <c r="R457" s="9" t="s">
        <v>442</v>
      </c>
      <c r="S457" s="9" t="s">
        <v>36</v>
      </c>
      <c r="T457" s="9" t="s">
        <v>137</v>
      </c>
    </row>
    <row r="458" spans="1:20" ht="35.25" customHeight="1">
      <c r="A458" s="6">
        <f t="shared" si="54"/>
        <v>457</v>
      </c>
      <c r="B458" s="17" t="s">
        <v>1375</v>
      </c>
      <c r="C458" s="8" t="s">
        <v>1376</v>
      </c>
      <c r="D458" s="9" t="s">
        <v>26</v>
      </c>
      <c r="E458" s="10">
        <v>30744</v>
      </c>
      <c r="F458" s="11">
        <f t="shared" ca="1" si="49"/>
        <v>39.799999999999997</v>
      </c>
      <c r="G458" s="11">
        <f>MONTH(E458)</f>
        <v>3</v>
      </c>
      <c r="H458" s="11">
        <f>DAY(E458)</f>
        <v>3</v>
      </c>
      <c r="I458" s="10">
        <v>40287</v>
      </c>
      <c r="J458" s="9" t="s">
        <v>87</v>
      </c>
      <c r="K458" s="9" t="s">
        <v>332</v>
      </c>
      <c r="L458" s="9" t="s">
        <v>34</v>
      </c>
      <c r="M458" s="9" t="s">
        <v>35</v>
      </c>
      <c r="N458" s="11">
        <v>5</v>
      </c>
      <c r="O458" s="12">
        <f t="shared" ca="1" si="52"/>
        <v>13.654794520547945</v>
      </c>
      <c r="P458" s="12">
        <f t="shared" ca="1" si="53"/>
        <v>18.654794520547945</v>
      </c>
      <c r="Q458" s="12" t="s">
        <v>26</v>
      </c>
      <c r="R458" s="9" t="s">
        <v>901</v>
      </c>
      <c r="S458" s="24" t="s">
        <v>36</v>
      </c>
      <c r="T458" s="9" t="s">
        <v>186</v>
      </c>
    </row>
    <row r="459" spans="1:20" ht="35.25" customHeight="1">
      <c r="A459" s="6">
        <f t="shared" si="54"/>
        <v>458</v>
      </c>
      <c r="B459" s="17" t="s">
        <v>1377</v>
      </c>
      <c r="C459" s="8" t="s">
        <v>1378</v>
      </c>
      <c r="D459" s="9" t="s">
        <v>26</v>
      </c>
      <c r="E459" s="10">
        <v>29014</v>
      </c>
      <c r="F459" s="11">
        <f t="shared" ca="1" si="49"/>
        <v>44.539726027397258</v>
      </c>
      <c r="G459" s="11">
        <f t="shared" ref="G459:G522" si="55">MONTH(E459)</f>
        <v>6</v>
      </c>
      <c r="H459" s="11">
        <f t="shared" ref="H459:H522" si="56">DAY(E459)</f>
        <v>8</v>
      </c>
      <c r="I459" s="10">
        <v>40252</v>
      </c>
      <c r="J459" s="9" t="s">
        <v>45</v>
      </c>
      <c r="K459" s="9" t="s">
        <v>1379</v>
      </c>
      <c r="L459" s="9" t="s">
        <v>118</v>
      </c>
      <c r="M459" s="9" t="s">
        <v>25</v>
      </c>
      <c r="N459" s="11">
        <v>4</v>
      </c>
      <c r="O459" s="12">
        <f t="shared" ca="1" si="52"/>
        <v>13.75068493150685</v>
      </c>
      <c r="P459" s="12">
        <f t="shared" ca="1" si="53"/>
        <v>17.75068493150685</v>
      </c>
      <c r="Q459" s="12" t="s">
        <v>68</v>
      </c>
      <c r="R459" s="9" t="s">
        <v>27</v>
      </c>
      <c r="S459" s="24" t="s">
        <v>28</v>
      </c>
      <c r="T459" s="9" t="s">
        <v>29</v>
      </c>
    </row>
    <row r="460" spans="1:20" ht="35.25" customHeight="1">
      <c r="A460" s="6">
        <f t="shared" si="54"/>
        <v>459</v>
      </c>
      <c r="B460" s="17" t="s">
        <v>1380</v>
      </c>
      <c r="C460" s="8" t="s">
        <v>1381</v>
      </c>
      <c r="D460" s="9" t="s">
        <v>26</v>
      </c>
      <c r="E460" s="10">
        <v>31242</v>
      </c>
      <c r="F460" s="11">
        <f t="shared" ca="1" si="49"/>
        <v>38.435616438356163</v>
      </c>
      <c r="G460" s="11">
        <f t="shared" si="55"/>
        <v>7</v>
      </c>
      <c r="H460" s="11">
        <f t="shared" si="56"/>
        <v>14</v>
      </c>
      <c r="I460" s="10">
        <v>40196</v>
      </c>
      <c r="J460" s="9" t="s">
        <v>110</v>
      </c>
      <c r="K460" s="9" t="s">
        <v>1382</v>
      </c>
      <c r="L460" s="9" t="s">
        <v>636</v>
      </c>
      <c r="M460" s="9" t="s">
        <v>25</v>
      </c>
      <c r="N460" s="11">
        <v>2</v>
      </c>
      <c r="O460" s="12">
        <f t="shared" ca="1" si="52"/>
        <v>13.904109589041095</v>
      </c>
      <c r="P460" s="12">
        <f t="shared" ca="1" si="53"/>
        <v>15.904109589041095</v>
      </c>
      <c r="Q460" s="12" t="s">
        <v>68</v>
      </c>
      <c r="R460" s="9" t="s">
        <v>27</v>
      </c>
      <c r="S460" s="24" t="s">
        <v>28</v>
      </c>
      <c r="T460" s="9" t="s">
        <v>29</v>
      </c>
    </row>
    <row r="461" spans="1:20" ht="35.25" customHeight="1">
      <c r="A461" s="6">
        <f t="shared" si="54"/>
        <v>460</v>
      </c>
      <c r="B461" s="17" t="s">
        <v>1383</v>
      </c>
      <c r="C461" s="8" t="s">
        <v>1384</v>
      </c>
      <c r="D461" s="9" t="s">
        <v>26</v>
      </c>
      <c r="E461" s="10">
        <v>29658</v>
      </c>
      <c r="F461" s="11">
        <f t="shared" ca="1" si="49"/>
        <v>42.775342465753425</v>
      </c>
      <c r="G461" s="11">
        <f t="shared" si="55"/>
        <v>3</v>
      </c>
      <c r="H461" s="11">
        <f t="shared" si="56"/>
        <v>13</v>
      </c>
      <c r="I461" s="10">
        <v>40292</v>
      </c>
      <c r="J461" s="9" t="s">
        <v>58</v>
      </c>
      <c r="K461" s="9" t="s">
        <v>698</v>
      </c>
      <c r="L461" s="24" t="s">
        <v>490</v>
      </c>
      <c r="M461" s="9" t="s">
        <v>491</v>
      </c>
      <c r="N461" s="19">
        <v>6.5</v>
      </c>
      <c r="O461" s="12">
        <f t="shared" ca="1" si="52"/>
        <v>13.641095890410959</v>
      </c>
      <c r="P461" s="12">
        <f t="shared" ca="1" si="53"/>
        <v>20.141095890410959</v>
      </c>
      <c r="Q461" s="12" t="s">
        <v>26</v>
      </c>
      <c r="R461" s="9" t="s">
        <v>95</v>
      </c>
      <c r="S461" s="24" t="s">
        <v>28</v>
      </c>
      <c r="T461" s="9" t="s">
        <v>492</v>
      </c>
    </row>
    <row r="462" spans="1:20" ht="35.25" customHeight="1">
      <c r="A462" s="6">
        <f t="shared" si="54"/>
        <v>461</v>
      </c>
      <c r="B462" s="17" t="s">
        <v>1385</v>
      </c>
      <c r="C462" s="8" t="s">
        <v>1386</v>
      </c>
      <c r="D462" s="9" t="s">
        <v>26</v>
      </c>
      <c r="E462" s="10">
        <v>25211</v>
      </c>
      <c r="F462" s="11">
        <f t="shared" ca="1" si="49"/>
        <v>54.958904109589042</v>
      </c>
      <c r="G462" s="11">
        <f t="shared" si="55"/>
        <v>1</v>
      </c>
      <c r="H462" s="11">
        <f t="shared" si="56"/>
        <v>8</v>
      </c>
      <c r="I462" s="10">
        <v>40269</v>
      </c>
      <c r="J462" s="9" t="s">
        <v>58</v>
      </c>
      <c r="K462" s="9" t="s">
        <v>1270</v>
      </c>
      <c r="L462" s="9" t="s">
        <v>24</v>
      </c>
      <c r="M462" s="9" t="s">
        <v>156</v>
      </c>
      <c r="N462" s="11">
        <v>15</v>
      </c>
      <c r="O462" s="12">
        <f t="shared" ca="1" si="52"/>
        <v>13.704109589041096</v>
      </c>
      <c r="P462" s="12">
        <f t="shared" ca="1" si="53"/>
        <v>28.704109589041096</v>
      </c>
      <c r="Q462" s="12" t="s">
        <v>68</v>
      </c>
      <c r="R462" s="9" t="s">
        <v>1387</v>
      </c>
      <c r="S462" s="24" t="s">
        <v>36</v>
      </c>
      <c r="T462" s="9" t="s">
        <v>671</v>
      </c>
    </row>
    <row r="463" spans="1:20" ht="35.25" customHeight="1">
      <c r="A463" s="6">
        <f t="shared" si="54"/>
        <v>462</v>
      </c>
      <c r="B463" s="17" t="s">
        <v>1388</v>
      </c>
      <c r="C463" s="8" t="s">
        <v>1389</v>
      </c>
      <c r="D463" s="9" t="s">
        <v>21</v>
      </c>
      <c r="E463" s="10">
        <v>31117</v>
      </c>
      <c r="F463" s="11">
        <f t="shared" ca="1" si="49"/>
        <v>38.778082191780825</v>
      </c>
      <c r="G463" s="11">
        <f t="shared" si="55"/>
        <v>3</v>
      </c>
      <c r="H463" s="11">
        <f t="shared" si="56"/>
        <v>11</v>
      </c>
      <c r="I463" s="10">
        <v>40269</v>
      </c>
      <c r="J463" s="9" t="s">
        <v>87</v>
      </c>
      <c r="K463" s="9" t="s">
        <v>216</v>
      </c>
      <c r="L463" s="9" t="s">
        <v>231</v>
      </c>
      <c r="M463" s="9" t="s">
        <v>61</v>
      </c>
      <c r="N463" s="11"/>
      <c r="O463" s="12">
        <f t="shared" ca="1" si="52"/>
        <v>13.704109589041096</v>
      </c>
      <c r="P463" s="12">
        <f t="shared" ca="1" si="53"/>
        <v>13.704109589041096</v>
      </c>
      <c r="Q463" s="12" t="s">
        <v>68</v>
      </c>
      <c r="R463" s="9" t="s">
        <v>442</v>
      </c>
      <c r="S463" s="24" t="s">
        <v>28</v>
      </c>
      <c r="T463" s="9" t="s">
        <v>114</v>
      </c>
    </row>
    <row r="464" spans="1:20" ht="35.25" customHeight="1">
      <c r="A464" s="6">
        <f t="shared" si="54"/>
        <v>463</v>
      </c>
      <c r="B464" s="17" t="s">
        <v>1390</v>
      </c>
      <c r="C464" s="8" t="s">
        <v>1391</v>
      </c>
      <c r="D464" s="9" t="s">
        <v>26</v>
      </c>
      <c r="E464" s="10">
        <v>27943</v>
      </c>
      <c r="F464" s="11">
        <f t="shared" ca="1" si="49"/>
        <v>47.473972602739728</v>
      </c>
      <c r="G464" s="11">
        <f t="shared" si="55"/>
        <v>7</v>
      </c>
      <c r="H464" s="11">
        <f t="shared" si="56"/>
        <v>2</v>
      </c>
      <c r="I464" s="10">
        <v>40273</v>
      </c>
      <c r="J464" s="9" t="s">
        <v>110</v>
      </c>
      <c r="K464" s="9" t="s">
        <v>1392</v>
      </c>
      <c r="L464" s="9" t="s">
        <v>24</v>
      </c>
      <c r="M464" s="9" t="s">
        <v>25</v>
      </c>
      <c r="N464" s="11">
        <v>10</v>
      </c>
      <c r="O464" s="12">
        <f t="shared" ca="1" si="52"/>
        <v>13.693150684931506</v>
      </c>
      <c r="P464" s="12">
        <f t="shared" ca="1" si="53"/>
        <v>23.693150684931506</v>
      </c>
      <c r="Q464" s="12" t="s">
        <v>68</v>
      </c>
      <c r="R464" s="9" t="s">
        <v>197</v>
      </c>
      <c r="S464" s="24" t="s">
        <v>36</v>
      </c>
      <c r="T464" s="9" t="s">
        <v>143</v>
      </c>
    </row>
    <row r="465" spans="1:20" ht="35.25" customHeight="1">
      <c r="A465" s="6">
        <f t="shared" si="54"/>
        <v>464</v>
      </c>
      <c r="B465" s="17" t="s">
        <v>1393</v>
      </c>
      <c r="C465" s="8" t="s">
        <v>1394</v>
      </c>
      <c r="D465" s="9" t="s">
        <v>26</v>
      </c>
      <c r="E465" s="10">
        <v>29303</v>
      </c>
      <c r="F465" s="11">
        <f t="shared" ca="1" si="49"/>
        <v>43.747945205479454</v>
      </c>
      <c r="G465" s="11">
        <f t="shared" si="55"/>
        <v>3</v>
      </c>
      <c r="H465" s="11">
        <f t="shared" si="56"/>
        <v>23</v>
      </c>
      <c r="I465" s="10">
        <v>40294</v>
      </c>
      <c r="J465" s="9" t="s">
        <v>45</v>
      </c>
      <c r="K465" s="9" t="s">
        <v>1395</v>
      </c>
      <c r="L465" s="9" t="s">
        <v>916</v>
      </c>
      <c r="M465" s="9" t="s">
        <v>35</v>
      </c>
      <c r="N465" s="11">
        <v>8</v>
      </c>
      <c r="O465" s="12">
        <f t="shared" ca="1" si="52"/>
        <v>13.635616438356164</v>
      </c>
      <c r="P465" s="12">
        <f t="shared" ca="1" si="53"/>
        <v>21.635616438356166</v>
      </c>
      <c r="Q465" s="12" t="s">
        <v>26</v>
      </c>
      <c r="R465" s="9" t="s">
        <v>27</v>
      </c>
      <c r="S465" s="24" t="s">
        <v>36</v>
      </c>
      <c r="T465" s="9" t="s">
        <v>976</v>
      </c>
    </row>
    <row r="466" spans="1:20" ht="35.25" customHeight="1">
      <c r="A466" s="6">
        <f t="shared" si="54"/>
        <v>465</v>
      </c>
      <c r="B466" s="17" t="s">
        <v>1396</v>
      </c>
      <c r="C466" s="8" t="s">
        <v>1397</v>
      </c>
      <c r="D466" s="9" t="s">
        <v>26</v>
      </c>
      <c r="E466" s="10">
        <v>22228</v>
      </c>
      <c r="F466" s="11">
        <f t="shared" ca="1" si="49"/>
        <v>63.131506849315066</v>
      </c>
      <c r="G466" s="11">
        <f t="shared" si="55"/>
        <v>11</v>
      </c>
      <c r="H466" s="11">
        <f t="shared" si="56"/>
        <v>8</v>
      </c>
      <c r="I466" s="10">
        <v>40292</v>
      </c>
      <c r="J466" s="9" t="s">
        <v>58</v>
      </c>
      <c r="K466" s="9" t="s">
        <v>1398</v>
      </c>
      <c r="L466" s="9" t="s">
        <v>208</v>
      </c>
      <c r="M466" s="9" t="s">
        <v>35</v>
      </c>
      <c r="N466" s="11">
        <v>27</v>
      </c>
      <c r="O466" s="12">
        <f t="shared" ca="1" si="52"/>
        <v>13.641095890410959</v>
      </c>
      <c r="P466" s="12">
        <f t="shared" ca="1" si="53"/>
        <v>40.641095890410959</v>
      </c>
      <c r="Q466" s="12" t="s">
        <v>26</v>
      </c>
      <c r="R466" s="9" t="s">
        <v>27</v>
      </c>
      <c r="S466" s="24" t="s">
        <v>28</v>
      </c>
      <c r="T466" s="9" t="s">
        <v>29</v>
      </c>
    </row>
    <row r="467" spans="1:20" ht="35.25" customHeight="1">
      <c r="A467" s="6">
        <f t="shared" si="54"/>
        <v>466</v>
      </c>
      <c r="B467" s="17" t="s">
        <v>1399</v>
      </c>
      <c r="C467" s="8" t="s">
        <v>1400</v>
      </c>
      <c r="D467" s="9" t="s">
        <v>26</v>
      </c>
      <c r="E467" s="10">
        <v>23747</v>
      </c>
      <c r="F467" s="11">
        <f t="shared" ca="1" si="49"/>
        <v>58.969863013698628</v>
      </c>
      <c r="G467" s="11">
        <f t="shared" si="55"/>
        <v>1</v>
      </c>
      <c r="H467" s="11">
        <f t="shared" si="56"/>
        <v>5</v>
      </c>
      <c r="I467" s="10">
        <v>40299</v>
      </c>
      <c r="J467" s="9" t="s">
        <v>66</v>
      </c>
      <c r="K467" s="9" t="s">
        <v>1401</v>
      </c>
      <c r="L467" s="24" t="s">
        <v>490</v>
      </c>
      <c r="M467" s="9" t="s">
        <v>491</v>
      </c>
      <c r="N467" s="19">
        <v>20</v>
      </c>
      <c r="O467" s="12">
        <f t="shared" ca="1" si="52"/>
        <v>13.621917808219179</v>
      </c>
      <c r="P467" s="12">
        <f t="shared" ca="1" si="53"/>
        <v>33.62191780821918</v>
      </c>
      <c r="Q467" s="12" t="s">
        <v>26</v>
      </c>
      <c r="R467" s="9" t="s">
        <v>898</v>
      </c>
      <c r="S467" s="24" t="s">
        <v>28</v>
      </c>
      <c r="T467" s="9" t="s">
        <v>492</v>
      </c>
    </row>
    <row r="468" spans="1:20" ht="35.25" customHeight="1">
      <c r="A468" s="6">
        <f t="shared" si="54"/>
        <v>467</v>
      </c>
      <c r="B468" s="17" t="s">
        <v>1402</v>
      </c>
      <c r="C468" s="8" t="s">
        <v>1403</v>
      </c>
      <c r="D468" s="9" t="s">
        <v>26</v>
      </c>
      <c r="E468" s="10">
        <v>32353</v>
      </c>
      <c r="F468" s="11">
        <f t="shared" ca="1" si="49"/>
        <v>35.391780821917806</v>
      </c>
      <c r="G468" s="11">
        <f t="shared" si="55"/>
        <v>7</v>
      </c>
      <c r="H468" s="11">
        <f t="shared" si="56"/>
        <v>29</v>
      </c>
      <c r="I468" s="10">
        <v>40297</v>
      </c>
      <c r="J468" s="9" t="s">
        <v>226</v>
      </c>
      <c r="K468" s="9" t="s">
        <v>341</v>
      </c>
      <c r="L468" s="9" t="s">
        <v>34</v>
      </c>
      <c r="M468" s="9" t="s">
        <v>35</v>
      </c>
      <c r="N468" s="11">
        <v>1.6</v>
      </c>
      <c r="O468" s="12">
        <f t="shared" ca="1" si="52"/>
        <v>13.627397260273973</v>
      </c>
      <c r="P468" s="12">
        <f t="shared" ca="1" si="53"/>
        <v>15.227397260273973</v>
      </c>
      <c r="Q468" s="12" t="s">
        <v>68</v>
      </c>
      <c r="R468" s="9" t="s">
        <v>27</v>
      </c>
      <c r="S468" s="24" t="s">
        <v>36</v>
      </c>
      <c r="T468" s="9" t="s">
        <v>1404</v>
      </c>
    </row>
    <row r="469" spans="1:20" ht="35.25" customHeight="1">
      <c r="A469" s="6">
        <f t="shared" si="54"/>
        <v>468</v>
      </c>
      <c r="B469" s="17" t="s">
        <v>1405</v>
      </c>
      <c r="C469" s="8" t="s">
        <v>1406</v>
      </c>
      <c r="D469" s="9" t="s">
        <v>26</v>
      </c>
      <c r="E469" s="10">
        <v>29962</v>
      </c>
      <c r="F469" s="11">
        <f t="shared" ca="1" si="49"/>
        <v>41.942465753424656</v>
      </c>
      <c r="G469" s="11">
        <f t="shared" si="55"/>
        <v>1</v>
      </c>
      <c r="H469" s="11">
        <f t="shared" si="56"/>
        <v>11</v>
      </c>
      <c r="I469" s="10">
        <v>40303</v>
      </c>
      <c r="J469" s="9" t="s">
        <v>22</v>
      </c>
      <c r="K469" s="9" t="s">
        <v>1407</v>
      </c>
      <c r="L469" s="9" t="s">
        <v>204</v>
      </c>
      <c r="M469" s="9" t="s">
        <v>156</v>
      </c>
      <c r="N469" s="11">
        <v>5</v>
      </c>
      <c r="O469" s="12">
        <f t="shared" ca="1" si="52"/>
        <v>13.610958904109589</v>
      </c>
      <c r="P469" s="12">
        <f t="shared" ca="1" si="53"/>
        <v>18.610958904109587</v>
      </c>
      <c r="Q469" s="12" t="s">
        <v>26</v>
      </c>
      <c r="R469" s="9" t="s">
        <v>27</v>
      </c>
      <c r="S469" s="24" t="s">
        <v>28</v>
      </c>
      <c r="T469" s="9" t="s">
        <v>29</v>
      </c>
    </row>
    <row r="470" spans="1:20" ht="35.25" customHeight="1">
      <c r="A470" s="6">
        <f t="shared" si="54"/>
        <v>469</v>
      </c>
      <c r="B470" s="17" t="s">
        <v>1408</v>
      </c>
      <c r="C470" s="8" t="s">
        <v>1409</v>
      </c>
      <c r="D470" s="9" t="s">
        <v>26</v>
      </c>
      <c r="E470" s="10">
        <v>28419</v>
      </c>
      <c r="F470" s="11">
        <f t="shared" ca="1" si="49"/>
        <v>46.169863013698631</v>
      </c>
      <c r="G470" s="11">
        <f t="shared" si="55"/>
        <v>10</v>
      </c>
      <c r="H470" s="11">
        <f t="shared" si="56"/>
        <v>21</v>
      </c>
      <c r="I470" s="10">
        <v>40301</v>
      </c>
      <c r="J470" s="9" t="s">
        <v>66</v>
      </c>
      <c r="K470" s="9" t="s">
        <v>1410</v>
      </c>
      <c r="L470" s="9" t="s">
        <v>128</v>
      </c>
      <c r="M470" s="9" t="s">
        <v>61</v>
      </c>
      <c r="N470" s="11">
        <v>7</v>
      </c>
      <c r="O470" s="12">
        <f t="shared" ca="1" si="52"/>
        <v>13.616438356164384</v>
      </c>
      <c r="P470" s="12">
        <f t="shared" ca="1" si="53"/>
        <v>20.616438356164384</v>
      </c>
      <c r="Q470" s="12" t="s">
        <v>26</v>
      </c>
      <c r="R470" s="9" t="s">
        <v>560</v>
      </c>
      <c r="S470" s="24" t="s">
        <v>28</v>
      </c>
      <c r="T470" s="9" t="s">
        <v>29</v>
      </c>
    </row>
    <row r="471" spans="1:20" ht="35.25" customHeight="1">
      <c r="A471" s="6">
        <f t="shared" si="54"/>
        <v>470</v>
      </c>
      <c r="B471" s="17" t="s">
        <v>1411</v>
      </c>
      <c r="C471" s="8" t="s">
        <v>1412</v>
      </c>
      <c r="D471" s="9" t="s">
        <v>26</v>
      </c>
      <c r="E471" s="10">
        <v>31239</v>
      </c>
      <c r="F471" s="11">
        <f t="shared" ca="1" si="49"/>
        <v>38.443835616438356</v>
      </c>
      <c r="G471" s="11">
        <f t="shared" si="55"/>
        <v>7</v>
      </c>
      <c r="H471" s="11">
        <f t="shared" si="56"/>
        <v>11</v>
      </c>
      <c r="I471" s="10">
        <v>40305</v>
      </c>
      <c r="J471" s="9" t="s">
        <v>45</v>
      </c>
      <c r="K471" s="9" t="s">
        <v>335</v>
      </c>
      <c r="L471" s="9" t="s">
        <v>34</v>
      </c>
      <c r="M471" s="9" t="s">
        <v>35</v>
      </c>
      <c r="N471" s="11">
        <v>2.7</v>
      </c>
      <c r="O471" s="12">
        <f t="shared" ca="1" si="52"/>
        <v>13.605479452054794</v>
      </c>
      <c r="P471" s="12">
        <f t="shared" ca="1" si="53"/>
        <v>16.305479452054794</v>
      </c>
      <c r="Q471" s="12" t="s">
        <v>68</v>
      </c>
      <c r="R471" s="9" t="s">
        <v>27</v>
      </c>
      <c r="S471" s="24" t="s">
        <v>28</v>
      </c>
      <c r="T471" s="9" t="s">
        <v>29</v>
      </c>
    </row>
    <row r="472" spans="1:20" ht="35.25" customHeight="1">
      <c r="A472" s="6">
        <f t="shared" si="54"/>
        <v>471</v>
      </c>
      <c r="B472" s="17" t="s">
        <v>1413</v>
      </c>
      <c r="C472" s="8" t="s">
        <v>1414</v>
      </c>
      <c r="D472" s="9" t="s">
        <v>26</v>
      </c>
      <c r="E472" s="10">
        <v>25001</v>
      </c>
      <c r="F472" s="11">
        <f t="shared" ca="1" si="49"/>
        <v>55.534246575342465</v>
      </c>
      <c r="G472" s="11">
        <f t="shared" si="55"/>
        <v>6</v>
      </c>
      <c r="H472" s="11">
        <f t="shared" si="56"/>
        <v>12</v>
      </c>
      <c r="I472" s="10">
        <v>40305</v>
      </c>
      <c r="J472" s="9" t="s">
        <v>132</v>
      </c>
      <c r="K472" s="9" t="s">
        <v>301</v>
      </c>
      <c r="L472" s="9" t="s">
        <v>34</v>
      </c>
      <c r="M472" s="9" t="s">
        <v>35</v>
      </c>
      <c r="N472" s="11">
        <v>21</v>
      </c>
      <c r="O472" s="12">
        <f t="shared" ca="1" si="52"/>
        <v>13.605479452054794</v>
      </c>
      <c r="P472" s="12">
        <f t="shared" ca="1" si="53"/>
        <v>34.605479452054794</v>
      </c>
      <c r="Q472" s="12" t="s">
        <v>26</v>
      </c>
      <c r="R472" s="9" t="s">
        <v>27</v>
      </c>
      <c r="S472" s="24" t="s">
        <v>36</v>
      </c>
      <c r="T472" s="9" t="s">
        <v>186</v>
      </c>
    </row>
    <row r="473" spans="1:20" ht="35.25" customHeight="1">
      <c r="A473" s="6">
        <f t="shared" si="54"/>
        <v>472</v>
      </c>
      <c r="B473" s="17" t="s">
        <v>1415</v>
      </c>
      <c r="C473" s="8" t="s">
        <v>1416</v>
      </c>
      <c r="D473" s="9" t="s">
        <v>26</v>
      </c>
      <c r="E473" s="10">
        <v>29227</v>
      </c>
      <c r="F473" s="11">
        <f t="shared" ca="1" si="49"/>
        <v>43.956164383561642</v>
      </c>
      <c r="G473" s="11">
        <f t="shared" si="55"/>
        <v>1</v>
      </c>
      <c r="H473" s="11">
        <f t="shared" si="56"/>
        <v>7</v>
      </c>
      <c r="I473" s="10">
        <v>40301</v>
      </c>
      <c r="J473" s="9" t="s">
        <v>50</v>
      </c>
      <c r="K473" s="9" t="s">
        <v>543</v>
      </c>
      <c r="L473" s="9" t="s">
        <v>34</v>
      </c>
      <c r="M473" s="9" t="s">
        <v>156</v>
      </c>
      <c r="N473" s="11">
        <v>11</v>
      </c>
      <c r="O473" s="12">
        <f t="shared" ca="1" si="52"/>
        <v>13.616438356164384</v>
      </c>
      <c r="P473" s="12">
        <f t="shared" ca="1" si="53"/>
        <v>24.616438356164384</v>
      </c>
      <c r="Q473" s="12" t="s">
        <v>68</v>
      </c>
      <c r="R473" s="9" t="s">
        <v>27</v>
      </c>
      <c r="S473" s="24" t="s">
        <v>36</v>
      </c>
      <c r="T473" s="9" t="s">
        <v>186</v>
      </c>
    </row>
    <row r="474" spans="1:20" ht="35.25" customHeight="1">
      <c r="A474" s="6">
        <f t="shared" si="54"/>
        <v>473</v>
      </c>
      <c r="B474" s="17" t="s">
        <v>1417</v>
      </c>
      <c r="C474" s="8" t="s">
        <v>1418</v>
      </c>
      <c r="D474" s="9" t="s">
        <v>26</v>
      </c>
      <c r="E474" s="10">
        <v>27184</v>
      </c>
      <c r="F474" s="11">
        <f t="shared" ca="1" si="49"/>
        <v>49.553424657534244</v>
      </c>
      <c r="G474" s="11">
        <f t="shared" si="55"/>
        <v>6</v>
      </c>
      <c r="H474" s="11">
        <f t="shared" si="56"/>
        <v>4</v>
      </c>
      <c r="I474" s="10">
        <v>40301</v>
      </c>
      <c r="J474" s="9" t="s">
        <v>58</v>
      </c>
      <c r="K474" s="9" t="s">
        <v>79</v>
      </c>
      <c r="L474" s="9" t="s">
        <v>34</v>
      </c>
      <c r="M474" s="9" t="s">
        <v>61</v>
      </c>
      <c r="N474" s="11">
        <v>15</v>
      </c>
      <c r="O474" s="12">
        <f t="shared" ca="1" si="52"/>
        <v>13.616438356164384</v>
      </c>
      <c r="P474" s="12">
        <f t="shared" ca="1" si="53"/>
        <v>28.616438356164384</v>
      </c>
      <c r="Q474" s="12" t="s">
        <v>26</v>
      </c>
      <c r="R474" s="9" t="s">
        <v>27</v>
      </c>
      <c r="S474" s="24" t="s">
        <v>36</v>
      </c>
      <c r="T474" s="9" t="s">
        <v>72</v>
      </c>
    </row>
    <row r="475" spans="1:20" ht="35.25" customHeight="1">
      <c r="A475" s="6">
        <f t="shared" si="54"/>
        <v>474</v>
      </c>
      <c r="B475" s="17" t="s">
        <v>1419</v>
      </c>
      <c r="C475" s="8" t="s">
        <v>1420</v>
      </c>
      <c r="D475" s="9" t="s">
        <v>26</v>
      </c>
      <c r="E475" s="10">
        <v>25343</v>
      </c>
      <c r="F475" s="11">
        <f t="shared" ca="1" si="49"/>
        <v>54.597260273972601</v>
      </c>
      <c r="G475" s="11">
        <f t="shared" si="55"/>
        <v>5</v>
      </c>
      <c r="H475" s="11">
        <f t="shared" si="56"/>
        <v>20</v>
      </c>
      <c r="I475" s="10">
        <v>40303</v>
      </c>
      <c r="J475" s="9" t="s">
        <v>110</v>
      </c>
      <c r="K475" s="9" t="s">
        <v>63</v>
      </c>
      <c r="L475" s="9" t="s">
        <v>89</v>
      </c>
      <c r="M475" s="9" t="s">
        <v>156</v>
      </c>
      <c r="N475" s="11">
        <v>16</v>
      </c>
      <c r="O475" s="12">
        <f t="shared" ca="1" si="52"/>
        <v>13.610958904109589</v>
      </c>
      <c r="P475" s="12">
        <f t="shared" ca="1" si="53"/>
        <v>29.610958904109587</v>
      </c>
      <c r="Q475" s="12" t="s">
        <v>26</v>
      </c>
      <c r="R475" s="9" t="s">
        <v>27</v>
      </c>
      <c r="S475" s="24" t="s">
        <v>28</v>
      </c>
      <c r="T475" s="9" t="s">
        <v>114</v>
      </c>
    </row>
    <row r="476" spans="1:20" ht="35.25" customHeight="1">
      <c r="A476" s="6">
        <f t="shared" si="54"/>
        <v>475</v>
      </c>
      <c r="B476" s="17" t="s">
        <v>1421</v>
      </c>
      <c r="C476" s="8" t="s">
        <v>1422</v>
      </c>
      <c r="D476" s="9" t="s">
        <v>26</v>
      </c>
      <c r="E476" s="10">
        <v>28559</v>
      </c>
      <c r="F476" s="11">
        <f t="shared" ca="1" si="49"/>
        <v>45.786301369863011</v>
      </c>
      <c r="G476" s="11">
        <f t="shared" si="55"/>
        <v>3</v>
      </c>
      <c r="H476" s="11">
        <f t="shared" si="56"/>
        <v>10</v>
      </c>
      <c r="I476" s="10">
        <v>40303</v>
      </c>
      <c r="J476" s="9" t="s">
        <v>58</v>
      </c>
      <c r="K476" s="9" t="s">
        <v>155</v>
      </c>
      <c r="L476" s="9" t="s">
        <v>52</v>
      </c>
      <c r="M476" s="9" t="s">
        <v>156</v>
      </c>
      <c r="N476" s="11">
        <v>7</v>
      </c>
      <c r="O476" s="12">
        <f t="shared" ca="1" si="52"/>
        <v>13.610958904109589</v>
      </c>
      <c r="P476" s="12">
        <f t="shared" ca="1" si="53"/>
        <v>20.610958904109587</v>
      </c>
      <c r="Q476" s="12" t="s">
        <v>26</v>
      </c>
      <c r="R476" s="9" t="s">
        <v>27</v>
      </c>
      <c r="S476" s="24" t="s">
        <v>28</v>
      </c>
      <c r="T476" s="9" t="s">
        <v>29</v>
      </c>
    </row>
    <row r="477" spans="1:20" ht="35.25" customHeight="1">
      <c r="A477" s="6">
        <f t="shared" si="54"/>
        <v>476</v>
      </c>
      <c r="B477" s="17" t="s">
        <v>1423</v>
      </c>
      <c r="C477" s="8" t="s">
        <v>1424</v>
      </c>
      <c r="D477" s="9" t="s">
        <v>21</v>
      </c>
      <c r="E477" s="10">
        <v>25771</v>
      </c>
      <c r="F477" s="11">
        <f t="shared" ca="1" si="49"/>
        <v>53.424657534246577</v>
      </c>
      <c r="G477" s="11">
        <f t="shared" si="55"/>
        <v>7</v>
      </c>
      <c r="H477" s="11">
        <f t="shared" si="56"/>
        <v>22</v>
      </c>
      <c r="I477" s="10">
        <v>40308</v>
      </c>
      <c r="J477" s="9" t="s">
        <v>45</v>
      </c>
      <c r="K477" s="9" t="s">
        <v>1425</v>
      </c>
      <c r="L477" s="9" t="s">
        <v>38</v>
      </c>
      <c r="M477" s="9" t="s">
        <v>35</v>
      </c>
      <c r="N477" s="11">
        <v>13</v>
      </c>
      <c r="O477" s="12">
        <f t="shared" ca="1" si="52"/>
        <v>13.597260273972603</v>
      </c>
      <c r="P477" s="12">
        <f t="shared" ca="1" si="53"/>
        <v>26.597260273972601</v>
      </c>
      <c r="Q477" s="12" t="s">
        <v>26</v>
      </c>
      <c r="R477" s="9" t="s">
        <v>27</v>
      </c>
      <c r="S477" s="24" t="s">
        <v>28</v>
      </c>
      <c r="T477" s="9" t="s">
        <v>29</v>
      </c>
    </row>
    <row r="478" spans="1:20" ht="35.25" customHeight="1">
      <c r="A478" s="6">
        <f t="shared" si="54"/>
        <v>477</v>
      </c>
      <c r="B478" s="17" t="s">
        <v>1426</v>
      </c>
      <c r="C478" s="8" t="s">
        <v>1427</v>
      </c>
      <c r="D478" s="9" t="s">
        <v>26</v>
      </c>
      <c r="E478" s="10">
        <v>26085</v>
      </c>
      <c r="F478" s="11">
        <f t="shared" ca="1" si="49"/>
        <v>52.564383561643837</v>
      </c>
      <c r="G478" s="11">
        <f t="shared" si="55"/>
        <v>6</v>
      </c>
      <c r="H478" s="11">
        <f t="shared" si="56"/>
        <v>1</v>
      </c>
      <c r="I478" s="10">
        <v>40308</v>
      </c>
      <c r="J478" s="9" t="s">
        <v>22</v>
      </c>
      <c r="K478" s="9" t="s">
        <v>1428</v>
      </c>
      <c r="L478" s="9" t="s">
        <v>885</v>
      </c>
      <c r="M478" s="9" t="s">
        <v>886</v>
      </c>
      <c r="N478" s="11">
        <v>20</v>
      </c>
      <c r="O478" s="12">
        <f t="shared" ca="1" si="52"/>
        <v>13.597260273972603</v>
      </c>
      <c r="P478" s="12">
        <f t="shared" ca="1" si="53"/>
        <v>33.597260273972601</v>
      </c>
      <c r="Q478" s="12" t="s">
        <v>26</v>
      </c>
      <c r="R478" s="9" t="s">
        <v>27</v>
      </c>
      <c r="S478" s="24" t="s">
        <v>28</v>
      </c>
      <c r="T478" s="9" t="s">
        <v>29</v>
      </c>
    </row>
    <row r="479" spans="1:20" ht="35.25" customHeight="1">
      <c r="A479" s="6">
        <f t="shared" si="54"/>
        <v>478</v>
      </c>
      <c r="B479" s="17" t="s">
        <v>1429</v>
      </c>
      <c r="C479" s="8" t="s">
        <v>1430</v>
      </c>
      <c r="D479" s="9" t="s">
        <v>26</v>
      </c>
      <c r="E479" s="10">
        <v>28326</v>
      </c>
      <c r="F479" s="11">
        <f t="shared" ca="1" si="49"/>
        <v>46.424657534246577</v>
      </c>
      <c r="G479" s="11">
        <f t="shared" si="55"/>
        <v>7</v>
      </c>
      <c r="H479" s="11">
        <f t="shared" si="56"/>
        <v>20</v>
      </c>
      <c r="I479" s="10">
        <v>40308</v>
      </c>
      <c r="J479" s="9" t="s">
        <v>110</v>
      </c>
      <c r="K479" s="9" t="s">
        <v>544</v>
      </c>
      <c r="L479" s="9" t="s">
        <v>377</v>
      </c>
      <c r="M479" s="9" t="s">
        <v>134</v>
      </c>
      <c r="N479" s="11">
        <v>23</v>
      </c>
      <c r="O479" s="12">
        <f t="shared" ca="1" si="52"/>
        <v>13.597260273972603</v>
      </c>
      <c r="P479" s="12">
        <f t="shared" ca="1" si="53"/>
        <v>36.597260273972601</v>
      </c>
      <c r="Q479" s="12" t="s">
        <v>26</v>
      </c>
      <c r="R479" s="9" t="s">
        <v>27</v>
      </c>
      <c r="S479" s="24" t="s">
        <v>36</v>
      </c>
      <c r="T479" s="9" t="s">
        <v>137</v>
      </c>
    </row>
    <row r="480" spans="1:20" ht="35.25" customHeight="1">
      <c r="A480" s="6">
        <f t="shared" si="54"/>
        <v>479</v>
      </c>
      <c r="B480" s="17" t="s">
        <v>1431</v>
      </c>
      <c r="C480" s="8" t="s">
        <v>1432</v>
      </c>
      <c r="D480" s="9" t="s">
        <v>26</v>
      </c>
      <c r="E480" s="10">
        <v>31093</v>
      </c>
      <c r="F480" s="11">
        <f t="shared" ca="1" si="49"/>
        <v>38.843835616438355</v>
      </c>
      <c r="G480" s="11">
        <f t="shared" si="55"/>
        <v>2</v>
      </c>
      <c r="H480" s="11">
        <f t="shared" si="56"/>
        <v>15</v>
      </c>
      <c r="I480" s="10">
        <v>40309</v>
      </c>
      <c r="J480" s="9" t="s">
        <v>226</v>
      </c>
      <c r="K480" s="9" t="s">
        <v>1433</v>
      </c>
      <c r="L480" s="9" t="s">
        <v>34</v>
      </c>
      <c r="M480" s="9" t="s">
        <v>35</v>
      </c>
      <c r="N480" s="11">
        <v>1.6</v>
      </c>
      <c r="O480" s="12">
        <f t="shared" ca="1" si="52"/>
        <v>13.594520547945205</v>
      </c>
      <c r="P480" s="12">
        <f t="shared" ca="1" si="53"/>
        <v>15.194520547945205</v>
      </c>
      <c r="Q480" s="12" t="s">
        <v>68</v>
      </c>
      <c r="R480" s="9" t="s">
        <v>442</v>
      </c>
      <c r="S480" s="24" t="s">
        <v>36</v>
      </c>
      <c r="T480" s="9" t="s">
        <v>72</v>
      </c>
    </row>
    <row r="481" spans="1:20" ht="35.25" customHeight="1">
      <c r="A481" s="6">
        <f t="shared" si="54"/>
        <v>480</v>
      </c>
      <c r="B481" s="17" t="s">
        <v>1434</v>
      </c>
      <c r="C481" s="8" t="s">
        <v>1435</v>
      </c>
      <c r="D481" s="9" t="s">
        <v>26</v>
      </c>
      <c r="E481" s="10">
        <v>30299</v>
      </c>
      <c r="F481" s="11">
        <f t="shared" ca="1" si="49"/>
        <v>41.019178082191779</v>
      </c>
      <c r="G481" s="11">
        <f t="shared" si="55"/>
        <v>12</v>
      </c>
      <c r="H481" s="11">
        <f t="shared" si="56"/>
        <v>14</v>
      </c>
      <c r="I481" s="10">
        <v>40305</v>
      </c>
      <c r="J481" s="9" t="s">
        <v>22</v>
      </c>
      <c r="K481" s="9" t="s">
        <v>1436</v>
      </c>
      <c r="L481" s="9" t="s">
        <v>377</v>
      </c>
      <c r="M481" s="9" t="s">
        <v>134</v>
      </c>
      <c r="N481" s="11">
        <v>5.5</v>
      </c>
      <c r="O481" s="12">
        <f t="shared" ca="1" si="52"/>
        <v>13.605479452054794</v>
      </c>
      <c r="P481" s="12">
        <f t="shared" ca="1" si="53"/>
        <v>19.105479452054794</v>
      </c>
      <c r="Q481" s="12" t="s">
        <v>26</v>
      </c>
      <c r="R481" s="9" t="s">
        <v>232</v>
      </c>
      <c r="S481" s="24" t="s">
        <v>36</v>
      </c>
      <c r="T481" s="9" t="s">
        <v>137</v>
      </c>
    </row>
    <row r="482" spans="1:20" ht="35.25" customHeight="1">
      <c r="A482" s="6">
        <f t="shared" si="54"/>
        <v>481</v>
      </c>
      <c r="B482" s="17" t="s">
        <v>1437</v>
      </c>
      <c r="C482" s="8" t="s">
        <v>1438</v>
      </c>
      <c r="D482" s="9" t="s">
        <v>26</v>
      </c>
      <c r="E482" s="10">
        <v>30856</v>
      </c>
      <c r="F482" s="11">
        <f t="shared" ca="1" si="49"/>
        <v>39.493150684931507</v>
      </c>
      <c r="G482" s="11">
        <f t="shared" si="55"/>
        <v>6</v>
      </c>
      <c r="H482" s="11">
        <f t="shared" si="56"/>
        <v>23</v>
      </c>
      <c r="I482" s="10">
        <v>40310</v>
      </c>
      <c r="J482" s="9" t="s">
        <v>22</v>
      </c>
      <c r="K482" s="9" t="s">
        <v>1439</v>
      </c>
      <c r="L482" s="9" t="s">
        <v>377</v>
      </c>
      <c r="M482" s="9" t="s">
        <v>134</v>
      </c>
      <c r="N482" s="11">
        <v>5</v>
      </c>
      <c r="O482" s="12">
        <f t="shared" ca="1" si="52"/>
        <v>13.591780821917808</v>
      </c>
      <c r="P482" s="12">
        <f t="shared" ca="1" si="53"/>
        <v>18.591780821917808</v>
      </c>
      <c r="Q482" s="12" t="s">
        <v>68</v>
      </c>
      <c r="R482" s="9" t="s">
        <v>901</v>
      </c>
      <c r="S482" s="24" t="s">
        <v>36</v>
      </c>
      <c r="T482" s="9" t="s">
        <v>137</v>
      </c>
    </row>
    <row r="483" spans="1:20" ht="35.25" customHeight="1">
      <c r="A483" s="6">
        <f t="shared" si="54"/>
        <v>482</v>
      </c>
      <c r="B483" s="17" t="s">
        <v>1440</v>
      </c>
      <c r="C483" s="8" t="s">
        <v>1441</v>
      </c>
      <c r="D483" s="9" t="s">
        <v>26</v>
      </c>
      <c r="E483" s="10">
        <v>30885</v>
      </c>
      <c r="F483" s="11">
        <f t="shared" ca="1" si="49"/>
        <v>39.413698630136984</v>
      </c>
      <c r="G483" s="11">
        <f t="shared" si="55"/>
        <v>7</v>
      </c>
      <c r="H483" s="11">
        <f t="shared" si="56"/>
        <v>22</v>
      </c>
      <c r="I483" s="10">
        <v>40308</v>
      </c>
      <c r="J483" s="9" t="s">
        <v>110</v>
      </c>
      <c r="K483" s="9" t="s">
        <v>1442</v>
      </c>
      <c r="L483" s="9" t="s">
        <v>204</v>
      </c>
      <c r="M483" s="9" t="s">
        <v>35</v>
      </c>
      <c r="N483" s="11">
        <v>2.1</v>
      </c>
      <c r="O483" s="12">
        <f t="shared" ca="1" si="52"/>
        <v>13.597260273972603</v>
      </c>
      <c r="P483" s="12">
        <f t="shared" ca="1" si="53"/>
        <v>15.697260273972603</v>
      </c>
      <c r="Q483" s="12" t="s">
        <v>26</v>
      </c>
      <c r="R483" s="9" t="s">
        <v>901</v>
      </c>
      <c r="S483" s="24" t="s">
        <v>28</v>
      </c>
      <c r="T483" s="9" t="s">
        <v>29</v>
      </c>
    </row>
    <row r="484" spans="1:20" ht="35.25" customHeight="1">
      <c r="A484" s="6">
        <f t="shared" si="54"/>
        <v>483</v>
      </c>
      <c r="B484" s="17" t="s">
        <v>1443</v>
      </c>
      <c r="C484" s="8" t="s">
        <v>1444</v>
      </c>
      <c r="D484" s="9" t="s">
        <v>26</v>
      </c>
      <c r="E484" s="10">
        <v>31578</v>
      </c>
      <c r="F484" s="11">
        <f t="shared" ca="1" si="49"/>
        <v>37.515068493150686</v>
      </c>
      <c r="G484" s="11">
        <f t="shared" si="55"/>
        <v>6</v>
      </c>
      <c r="H484" s="11">
        <f t="shared" si="56"/>
        <v>15</v>
      </c>
      <c r="I484" s="10">
        <v>40315</v>
      </c>
      <c r="J484" s="9" t="s">
        <v>226</v>
      </c>
      <c r="K484" s="9" t="s">
        <v>341</v>
      </c>
      <c r="L484" s="9" t="s">
        <v>34</v>
      </c>
      <c r="M484" s="9" t="s">
        <v>35</v>
      </c>
      <c r="N484" s="11">
        <v>4</v>
      </c>
      <c r="O484" s="12">
        <f t="shared" ca="1" si="52"/>
        <v>13.578082191780823</v>
      </c>
      <c r="P484" s="12">
        <f t="shared" ca="1" si="53"/>
        <v>17.578082191780823</v>
      </c>
      <c r="Q484" s="12" t="s">
        <v>68</v>
      </c>
      <c r="R484" s="9" t="s">
        <v>901</v>
      </c>
      <c r="S484" s="24" t="s">
        <v>36</v>
      </c>
      <c r="T484" s="9" t="s">
        <v>137</v>
      </c>
    </row>
    <row r="485" spans="1:20" ht="35.25" customHeight="1">
      <c r="A485" s="6">
        <f t="shared" si="54"/>
        <v>484</v>
      </c>
      <c r="B485" s="17" t="s">
        <v>1445</v>
      </c>
      <c r="C485" s="8" t="s">
        <v>1446</v>
      </c>
      <c r="D485" s="9" t="s">
        <v>26</v>
      </c>
      <c r="E485" s="10">
        <v>32414</v>
      </c>
      <c r="F485" s="11">
        <f t="shared" ca="1" si="49"/>
        <v>35.224657534246575</v>
      </c>
      <c r="G485" s="11">
        <f t="shared" si="55"/>
        <v>9</v>
      </c>
      <c r="H485" s="11">
        <f t="shared" si="56"/>
        <v>28</v>
      </c>
      <c r="I485" s="10">
        <v>40317</v>
      </c>
      <c r="J485" s="9" t="s">
        <v>226</v>
      </c>
      <c r="K485" s="9" t="s">
        <v>537</v>
      </c>
      <c r="L485" s="9" t="s">
        <v>34</v>
      </c>
      <c r="M485" s="9" t="s">
        <v>35</v>
      </c>
      <c r="N485" s="11">
        <v>1</v>
      </c>
      <c r="O485" s="12">
        <f t="shared" ca="1" si="52"/>
        <v>13.572602739726028</v>
      </c>
      <c r="P485" s="12">
        <f t="shared" ca="1" si="53"/>
        <v>14.572602739726028</v>
      </c>
      <c r="Q485" s="12" t="s">
        <v>68</v>
      </c>
      <c r="R485" s="9" t="s">
        <v>901</v>
      </c>
      <c r="S485" s="24" t="s">
        <v>36</v>
      </c>
      <c r="T485" s="9" t="s">
        <v>72</v>
      </c>
    </row>
    <row r="486" spans="1:20" ht="35.25" customHeight="1">
      <c r="A486" s="6">
        <f t="shared" si="54"/>
        <v>485</v>
      </c>
      <c r="B486" s="17" t="s">
        <v>1447</v>
      </c>
      <c r="C486" s="8" t="s">
        <v>1448</v>
      </c>
      <c r="D486" s="9" t="s">
        <v>26</v>
      </c>
      <c r="E486" s="10">
        <v>31550</v>
      </c>
      <c r="F486" s="11">
        <f t="shared" ca="1" si="49"/>
        <v>37.591780821917808</v>
      </c>
      <c r="G486" s="11">
        <f t="shared" si="55"/>
        <v>5</v>
      </c>
      <c r="H486" s="11">
        <f t="shared" si="56"/>
        <v>18</v>
      </c>
      <c r="I486" s="10">
        <v>40315</v>
      </c>
      <c r="J486" s="9" t="s">
        <v>226</v>
      </c>
      <c r="K486" s="9" t="s">
        <v>341</v>
      </c>
      <c r="L486" s="9" t="s">
        <v>34</v>
      </c>
      <c r="M486" s="9" t="s">
        <v>35</v>
      </c>
      <c r="N486" s="11">
        <v>0.8</v>
      </c>
      <c r="O486" s="12">
        <f t="shared" ca="1" si="52"/>
        <v>13.578082191780823</v>
      </c>
      <c r="P486" s="12">
        <f t="shared" ca="1" si="53"/>
        <v>14.378082191780823</v>
      </c>
      <c r="Q486" s="12" t="s">
        <v>68</v>
      </c>
      <c r="R486" s="9" t="s">
        <v>901</v>
      </c>
      <c r="S486" s="24" t="s">
        <v>36</v>
      </c>
      <c r="T486" s="9" t="s">
        <v>137</v>
      </c>
    </row>
    <row r="487" spans="1:20" ht="35.25" customHeight="1">
      <c r="A487" s="6">
        <f t="shared" si="54"/>
        <v>486</v>
      </c>
      <c r="B487" s="17" t="s">
        <v>1449</v>
      </c>
      <c r="C487" s="8" t="s">
        <v>1450</v>
      </c>
      <c r="D487" s="9" t="s">
        <v>26</v>
      </c>
      <c r="E487" s="10">
        <v>27844</v>
      </c>
      <c r="F487" s="11">
        <f t="shared" ca="1" si="49"/>
        <v>47.745205479452054</v>
      </c>
      <c r="G487" s="11">
        <f t="shared" si="55"/>
        <v>3</v>
      </c>
      <c r="H487" s="11">
        <f t="shared" si="56"/>
        <v>25</v>
      </c>
      <c r="I487" s="10">
        <v>40312</v>
      </c>
      <c r="J487" s="9" t="s">
        <v>66</v>
      </c>
      <c r="K487" s="9" t="s">
        <v>1451</v>
      </c>
      <c r="L487" s="9" t="s">
        <v>204</v>
      </c>
      <c r="M487" s="9" t="s">
        <v>25</v>
      </c>
      <c r="N487" s="11">
        <v>10</v>
      </c>
      <c r="O487" s="12">
        <f t="shared" ca="1" si="52"/>
        <v>13.586301369863014</v>
      </c>
      <c r="P487" s="12">
        <f t="shared" ca="1" si="53"/>
        <v>23.586301369863016</v>
      </c>
      <c r="Q487" s="12" t="s">
        <v>26</v>
      </c>
      <c r="R487" s="9" t="s">
        <v>980</v>
      </c>
      <c r="S487" s="24" t="s">
        <v>28</v>
      </c>
      <c r="T487" s="9" t="s">
        <v>29</v>
      </c>
    </row>
    <row r="488" spans="1:20" ht="35.25" customHeight="1">
      <c r="A488" s="6">
        <f t="shared" si="54"/>
        <v>487</v>
      </c>
      <c r="B488" s="17" t="s">
        <v>1452</v>
      </c>
      <c r="C488" s="8" t="s">
        <v>1453</v>
      </c>
      <c r="D488" s="9" t="s">
        <v>26</v>
      </c>
      <c r="E488" s="10">
        <v>24888</v>
      </c>
      <c r="F488" s="11">
        <f t="shared" ca="1" si="49"/>
        <v>55.843835616438355</v>
      </c>
      <c r="G488" s="11">
        <f t="shared" si="55"/>
        <v>2</v>
      </c>
      <c r="H488" s="11">
        <f t="shared" si="56"/>
        <v>20</v>
      </c>
      <c r="I488" s="10">
        <v>40316</v>
      </c>
      <c r="J488" s="9" t="s">
        <v>93</v>
      </c>
      <c r="K488" s="9" t="s">
        <v>1454</v>
      </c>
      <c r="L488" s="9" t="s">
        <v>180</v>
      </c>
      <c r="M488" s="9" t="s">
        <v>25</v>
      </c>
      <c r="N488" s="11">
        <v>20</v>
      </c>
      <c r="O488" s="12">
        <f t="shared" ca="1" si="52"/>
        <v>13.575342465753424</v>
      </c>
      <c r="P488" s="12">
        <f t="shared" ca="1" si="53"/>
        <v>33.575342465753423</v>
      </c>
      <c r="Q488" s="12" t="s">
        <v>26</v>
      </c>
      <c r="R488" s="9" t="s">
        <v>232</v>
      </c>
      <c r="S488" s="24" t="s">
        <v>28</v>
      </c>
      <c r="T488" s="9" t="s">
        <v>29</v>
      </c>
    </row>
    <row r="489" spans="1:20" ht="35.25" customHeight="1">
      <c r="A489" s="6">
        <f t="shared" si="54"/>
        <v>488</v>
      </c>
      <c r="B489" s="54" t="s">
        <v>1455</v>
      </c>
      <c r="C489" s="54" t="s">
        <v>1456</v>
      </c>
      <c r="D489" s="55" t="s">
        <v>26</v>
      </c>
      <c r="E489" s="56">
        <v>27590</v>
      </c>
      <c r="F489" s="57">
        <f t="shared" ca="1" si="49"/>
        <v>48.441095890410956</v>
      </c>
      <c r="G489" s="57">
        <f t="shared" si="55"/>
        <v>7</v>
      </c>
      <c r="H489" s="57">
        <f t="shared" si="56"/>
        <v>15</v>
      </c>
      <c r="I489" s="56">
        <v>40313</v>
      </c>
      <c r="J489" s="55" t="s">
        <v>50</v>
      </c>
      <c r="K489" s="55" t="s">
        <v>159</v>
      </c>
      <c r="L489" s="55" t="s">
        <v>231</v>
      </c>
      <c r="M489" s="55" t="s">
        <v>61</v>
      </c>
      <c r="N489" s="57">
        <v>15</v>
      </c>
      <c r="O489" s="58">
        <f t="shared" ca="1" si="52"/>
        <v>13.583561643835617</v>
      </c>
      <c r="P489" s="58">
        <f t="shared" ca="1" si="53"/>
        <v>28.583561643835615</v>
      </c>
      <c r="Q489" s="58" t="s">
        <v>26</v>
      </c>
      <c r="R489" s="55" t="s">
        <v>442</v>
      </c>
      <c r="S489" s="59" t="s">
        <v>36</v>
      </c>
      <c r="T489" s="55" t="s">
        <v>72</v>
      </c>
    </row>
    <row r="490" spans="1:20" ht="35.25" customHeight="1">
      <c r="A490" s="6">
        <f t="shared" si="54"/>
        <v>489</v>
      </c>
      <c r="B490" s="17" t="s">
        <v>1457</v>
      </c>
      <c r="C490" s="8" t="s">
        <v>1458</v>
      </c>
      <c r="D490" s="9" t="s">
        <v>26</v>
      </c>
      <c r="E490" s="10">
        <v>28870</v>
      </c>
      <c r="F490" s="11">
        <f t="shared" ca="1" si="49"/>
        <v>44.934246575342463</v>
      </c>
      <c r="G490" s="11">
        <f t="shared" si="55"/>
        <v>1</v>
      </c>
      <c r="H490" s="11">
        <f t="shared" si="56"/>
        <v>15</v>
      </c>
      <c r="I490" s="10">
        <v>40312</v>
      </c>
      <c r="J490" s="9" t="s">
        <v>66</v>
      </c>
      <c r="K490" s="9" t="s">
        <v>1410</v>
      </c>
      <c r="L490" s="9" t="s">
        <v>128</v>
      </c>
      <c r="M490" s="9" t="s">
        <v>165</v>
      </c>
      <c r="N490" s="11">
        <v>6</v>
      </c>
      <c r="O490" s="12">
        <f t="shared" ca="1" si="52"/>
        <v>13.586301369863014</v>
      </c>
      <c r="P490" s="12">
        <f t="shared" ca="1" si="53"/>
        <v>19.586301369863016</v>
      </c>
      <c r="Q490" s="12" t="s">
        <v>68</v>
      </c>
      <c r="R490" s="9" t="s">
        <v>1077</v>
      </c>
      <c r="S490" s="24" t="s">
        <v>28</v>
      </c>
      <c r="T490" s="9" t="s">
        <v>29</v>
      </c>
    </row>
    <row r="491" spans="1:20" ht="35.25" customHeight="1">
      <c r="A491" s="6">
        <f t="shared" si="54"/>
        <v>490</v>
      </c>
      <c r="B491" s="17" t="s">
        <v>1459</v>
      </c>
      <c r="C491" s="8" t="s">
        <v>1460</v>
      </c>
      <c r="D491" s="9" t="s">
        <v>26</v>
      </c>
      <c r="E491" s="10">
        <v>27653</v>
      </c>
      <c r="F491" s="11">
        <f t="shared" ca="1" si="49"/>
        <v>48.268493150684932</v>
      </c>
      <c r="G491" s="11">
        <f t="shared" si="55"/>
        <v>9</v>
      </c>
      <c r="H491" s="11">
        <f t="shared" si="56"/>
        <v>16</v>
      </c>
      <c r="I491" s="10">
        <v>40318</v>
      </c>
      <c r="J491" s="9" t="s">
        <v>318</v>
      </c>
      <c r="K491" s="9" t="s">
        <v>258</v>
      </c>
      <c r="L491" s="9" t="s">
        <v>393</v>
      </c>
      <c r="M491" s="9" t="s">
        <v>156</v>
      </c>
      <c r="N491" s="11">
        <v>12</v>
      </c>
      <c r="O491" s="12">
        <f t="shared" ca="1" si="52"/>
        <v>13.56986301369863</v>
      </c>
      <c r="P491" s="12">
        <f t="shared" ca="1" si="53"/>
        <v>25.56986301369863</v>
      </c>
      <c r="Q491" s="12" t="s">
        <v>68</v>
      </c>
      <c r="R491" s="9" t="s">
        <v>901</v>
      </c>
      <c r="S491" s="24" t="s">
        <v>28</v>
      </c>
      <c r="T491" s="9" t="s">
        <v>114</v>
      </c>
    </row>
    <row r="492" spans="1:20" ht="35.25" customHeight="1">
      <c r="A492" s="6">
        <f t="shared" si="54"/>
        <v>491</v>
      </c>
      <c r="B492" s="17" t="s">
        <v>1461</v>
      </c>
      <c r="C492" s="8" t="s">
        <v>1462</v>
      </c>
      <c r="D492" s="9" t="s">
        <v>26</v>
      </c>
      <c r="E492" s="10">
        <v>24543</v>
      </c>
      <c r="F492" s="11">
        <f t="shared" ca="1" si="49"/>
        <v>56.789041095890411</v>
      </c>
      <c r="G492" s="11">
        <f t="shared" si="55"/>
        <v>3</v>
      </c>
      <c r="H492" s="11">
        <f t="shared" si="56"/>
        <v>12</v>
      </c>
      <c r="I492" s="10">
        <v>40322</v>
      </c>
      <c r="J492" s="9" t="s">
        <v>66</v>
      </c>
      <c r="K492" s="9" t="s">
        <v>489</v>
      </c>
      <c r="L492" s="24" t="s">
        <v>490</v>
      </c>
      <c r="M492" s="9" t="s">
        <v>491</v>
      </c>
      <c r="N492" s="19">
        <v>23</v>
      </c>
      <c r="O492" s="12">
        <f t="shared" ca="1" si="52"/>
        <v>13.558904109589042</v>
      </c>
      <c r="P492" s="12">
        <f t="shared" ca="1" si="53"/>
        <v>36.558904109589044</v>
      </c>
      <c r="Q492" s="12" t="s">
        <v>26</v>
      </c>
      <c r="R492" s="9" t="s">
        <v>577</v>
      </c>
      <c r="S492" s="24" t="s">
        <v>28</v>
      </c>
      <c r="T492" s="9" t="s">
        <v>492</v>
      </c>
    </row>
    <row r="493" spans="1:20" ht="35.25" customHeight="1">
      <c r="A493" s="6">
        <f t="shared" si="54"/>
        <v>492</v>
      </c>
      <c r="B493" s="17" t="s">
        <v>1463</v>
      </c>
      <c r="C493" s="8" t="s">
        <v>1464</v>
      </c>
      <c r="D493" s="9" t="s">
        <v>26</v>
      </c>
      <c r="E493" s="10">
        <v>29293</v>
      </c>
      <c r="F493" s="11">
        <f t="shared" ca="1" si="49"/>
        <v>43.775342465753425</v>
      </c>
      <c r="G493" s="11">
        <f t="shared" si="55"/>
        <v>3</v>
      </c>
      <c r="H493" s="11">
        <f t="shared" si="56"/>
        <v>13</v>
      </c>
      <c r="I493" s="10">
        <v>40322</v>
      </c>
      <c r="J493" s="9" t="s">
        <v>87</v>
      </c>
      <c r="K493" s="9" t="s">
        <v>418</v>
      </c>
      <c r="L493" s="9" t="s">
        <v>147</v>
      </c>
      <c r="M493" s="9" t="s">
        <v>35</v>
      </c>
      <c r="N493" s="11">
        <v>6</v>
      </c>
      <c r="O493" s="12">
        <f t="shared" ca="1" si="52"/>
        <v>13.558904109589042</v>
      </c>
      <c r="P493" s="12">
        <f t="shared" ca="1" si="53"/>
        <v>19.558904109589044</v>
      </c>
      <c r="Q493" s="12" t="s">
        <v>26</v>
      </c>
      <c r="R493" s="9" t="s">
        <v>901</v>
      </c>
      <c r="S493" s="24" t="s">
        <v>36</v>
      </c>
      <c r="T493" s="9" t="s">
        <v>29</v>
      </c>
    </row>
    <row r="494" spans="1:20" ht="35.25" customHeight="1">
      <c r="A494" s="6">
        <f t="shared" si="54"/>
        <v>493</v>
      </c>
      <c r="B494" s="17" t="s">
        <v>1465</v>
      </c>
      <c r="C494" s="8" t="s">
        <v>1466</v>
      </c>
      <c r="D494" s="9" t="s">
        <v>26</v>
      </c>
      <c r="E494" s="10">
        <v>22097</v>
      </c>
      <c r="F494" s="11">
        <f t="shared" ca="1" si="49"/>
        <v>63.490410958904107</v>
      </c>
      <c r="G494" s="11">
        <f t="shared" si="55"/>
        <v>6</v>
      </c>
      <c r="H494" s="11">
        <f t="shared" si="56"/>
        <v>30</v>
      </c>
      <c r="I494" s="10">
        <v>40322</v>
      </c>
      <c r="J494" s="9" t="s">
        <v>22</v>
      </c>
      <c r="K494" s="9" t="s">
        <v>1467</v>
      </c>
      <c r="L494" s="9" t="s">
        <v>34</v>
      </c>
      <c r="M494" s="9" t="s">
        <v>35</v>
      </c>
      <c r="N494" s="11">
        <v>20</v>
      </c>
      <c r="O494" s="12">
        <f t="shared" ca="1" si="52"/>
        <v>13.558904109589042</v>
      </c>
      <c r="P494" s="12">
        <f t="shared" ca="1" si="53"/>
        <v>33.558904109589044</v>
      </c>
      <c r="Q494" s="12" t="s">
        <v>26</v>
      </c>
      <c r="R494" s="9" t="s">
        <v>901</v>
      </c>
      <c r="S494" s="24" t="s">
        <v>36</v>
      </c>
      <c r="T494" s="9" t="s">
        <v>72</v>
      </c>
    </row>
    <row r="495" spans="1:20" ht="35.25" customHeight="1">
      <c r="A495" s="6">
        <f t="shared" si="54"/>
        <v>494</v>
      </c>
      <c r="B495" s="17" t="s">
        <v>1468</v>
      </c>
      <c r="C495" s="8" t="s">
        <v>1469</v>
      </c>
      <c r="D495" s="9" t="s">
        <v>26</v>
      </c>
      <c r="E495" s="10">
        <v>28969</v>
      </c>
      <c r="F495" s="11">
        <f t="shared" ca="1" si="49"/>
        <v>44.663013698630138</v>
      </c>
      <c r="G495" s="11">
        <f t="shared" si="55"/>
        <v>4</v>
      </c>
      <c r="H495" s="11">
        <f t="shared" si="56"/>
        <v>24</v>
      </c>
      <c r="I495" s="10">
        <v>40322</v>
      </c>
      <c r="J495" s="9" t="s">
        <v>110</v>
      </c>
      <c r="K495" s="9" t="s">
        <v>415</v>
      </c>
      <c r="L495" s="9" t="s">
        <v>122</v>
      </c>
      <c r="M495" s="9" t="s">
        <v>35</v>
      </c>
      <c r="N495" s="11">
        <v>6</v>
      </c>
      <c r="O495" s="12">
        <f t="shared" ca="1" si="52"/>
        <v>13.558904109589042</v>
      </c>
      <c r="P495" s="12">
        <f t="shared" ca="1" si="53"/>
        <v>19.558904109589044</v>
      </c>
      <c r="Q495" s="12" t="s">
        <v>68</v>
      </c>
      <c r="R495" s="9" t="s">
        <v>901</v>
      </c>
      <c r="S495" s="24" t="s">
        <v>36</v>
      </c>
      <c r="T495" s="9" t="s">
        <v>72</v>
      </c>
    </row>
    <row r="496" spans="1:20" ht="35.25" customHeight="1">
      <c r="A496" s="6">
        <f t="shared" si="54"/>
        <v>495</v>
      </c>
      <c r="B496" s="17" t="s">
        <v>1470</v>
      </c>
      <c r="C496" s="8" t="s">
        <v>1471</v>
      </c>
      <c r="D496" s="9" t="s">
        <v>26</v>
      </c>
      <c r="E496" s="10">
        <v>30908</v>
      </c>
      <c r="F496" s="11">
        <f t="shared" ca="1" si="49"/>
        <v>39.350684931506848</v>
      </c>
      <c r="G496" s="11">
        <f t="shared" si="55"/>
        <v>8</v>
      </c>
      <c r="H496" s="11">
        <f t="shared" si="56"/>
        <v>14</v>
      </c>
      <c r="I496" s="10">
        <v>40315</v>
      </c>
      <c r="J496" s="9" t="s">
        <v>58</v>
      </c>
      <c r="K496" s="9" t="s">
        <v>1472</v>
      </c>
      <c r="L496" s="9" t="s">
        <v>325</v>
      </c>
      <c r="M496" s="9" t="s">
        <v>134</v>
      </c>
      <c r="N496" s="11">
        <v>2</v>
      </c>
      <c r="O496" s="12">
        <f t="shared" ca="1" si="52"/>
        <v>13.578082191780823</v>
      </c>
      <c r="P496" s="12">
        <f t="shared" ca="1" si="53"/>
        <v>15.578082191780823</v>
      </c>
      <c r="Q496" s="12" t="s">
        <v>26</v>
      </c>
      <c r="R496" s="9" t="s">
        <v>980</v>
      </c>
      <c r="S496" s="24" t="s">
        <v>28</v>
      </c>
      <c r="T496" s="9" t="s">
        <v>29</v>
      </c>
    </row>
    <row r="497" spans="1:20" ht="35.25" customHeight="1">
      <c r="A497" s="6">
        <f t="shared" si="54"/>
        <v>496</v>
      </c>
      <c r="B497" s="17" t="s">
        <v>1473</v>
      </c>
      <c r="C497" s="8" t="s">
        <v>1474</v>
      </c>
      <c r="D497" s="9" t="s">
        <v>26</v>
      </c>
      <c r="E497" s="10">
        <v>22484</v>
      </c>
      <c r="F497" s="11">
        <f t="shared" ca="1" si="49"/>
        <v>62.43013698630137</v>
      </c>
      <c r="G497" s="11">
        <f t="shared" si="55"/>
        <v>7</v>
      </c>
      <c r="H497" s="11">
        <f t="shared" si="56"/>
        <v>22</v>
      </c>
      <c r="I497" s="10">
        <v>40322</v>
      </c>
      <c r="J497" s="9" t="s">
        <v>50</v>
      </c>
      <c r="K497" s="9" t="s">
        <v>1475</v>
      </c>
      <c r="L497" s="9" t="s">
        <v>675</v>
      </c>
      <c r="M497" s="9" t="s">
        <v>134</v>
      </c>
      <c r="N497" s="11">
        <v>22</v>
      </c>
      <c r="O497" s="12">
        <f t="shared" ca="1" si="52"/>
        <v>13.558904109589042</v>
      </c>
      <c r="P497" s="12">
        <f t="shared" ca="1" si="53"/>
        <v>35.558904109589044</v>
      </c>
      <c r="Q497" s="12" t="s">
        <v>26</v>
      </c>
      <c r="R497" s="9" t="s">
        <v>901</v>
      </c>
      <c r="S497" s="24" t="s">
        <v>36</v>
      </c>
      <c r="T497" s="9" t="s">
        <v>137</v>
      </c>
    </row>
    <row r="498" spans="1:20" ht="35.25" customHeight="1">
      <c r="A498" s="6">
        <f t="shared" si="54"/>
        <v>497</v>
      </c>
      <c r="B498" s="17" t="s">
        <v>1476</v>
      </c>
      <c r="C498" s="8" t="s">
        <v>1477</v>
      </c>
      <c r="D498" s="9" t="s">
        <v>26</v>
      </c>
      <c r="E498" s="10">
        <v>29216</v>
      </c>
      <c r="F498" s="11">
        <f t="shared" ca="1" si="49"/>
        <v>43.986301369863014</v>
      </c>
      <c r="G498" s="11">
        <f t="shared" si="55"/>
        <v>12</v>
      </c>
      <c r="H498" s="11">
        <f t="shared" si="56"/>
        <v>27</v>
      </c>
      <c r="I498" s="10">
        <v>40312</v>
      </c>
      <c r="J498" s="9" t="s">
        <v>66</v>
      </c>
      <c r="K498" s="9" t="s">
        <v>350</v>
      </c>
      <c r="L498" s="9" t="s">
        <v>325</v>
      </c>
      <c r="M498" s="9" t="s">
        <v>61</v>
      </c>
      <c r="N498" s="11">
        <v>6</v>
      </c>
      <c r="O498" s="12">
        <f t="shared" ca="1" si="52"/>
        <v>13.586301369863014</v>
      </c>
      <c r="P498" s="12">
        <f t="shared" ca="1" si="53"/>
        <v>19.586301369863016</v>
      </c>
      <c r="Q498" s="12" t="s">
        <v>26</v>
      </c>
      <c r="R498" s="9" t="s">
        <v>772</v>
      </c>
      <c r="S498" s="24" t="s">
        <v>28</v>
      </c>
      <c r="T498" s="9" t="s">
        <v>29</v>
      </c>
    </row>
    <row r="499" spans="1:20" ht="35.25" customHeight="1">
      <c r="A499" s="6">
        <f t="shared" si="54"/>
        <v>498</v>
      </c>
      <c r="B499" s="17" t="s">
        <v>1478</v>
      </c>
      <c r="C499" s="8" t="s">
        <v>1479</v>
      </c>
      <c r="D499" s="9" t="s">
        <v>21</v>
      </c>
      <c r="E499" s="10">
        <v>30950</v>
      </c>
      <c r="F499" s="11">
        <f t="shared" ca="1" si="49"/>
        <v>39.235616438356168</v>
      </c>
      <c r="G499" s="11">
        <f t="shared" si="55"/>
        <v>9</v>
      </c>
      <c r="H499" s="11">
        <f t="shared" si="56"/>
        <v>25</v>
      </c>
      <c r="I499" s="10">
        <v>40315</v>
      </c>
      <c r="J499" s="9" t="s">
        <v>58</v>
      </c>
      <c r="K499" s="9" t="s">
        <v>129</v>
      </c>
      <c r="L499" s="9" t="s">
        <v>1480</v>
      </c>
      <c r="M499" s="9" t="s">
        <v>61</v>
      </c>
      <c r="N499" s="11">
        <v>1.6</v>
      </c>
      <c r="O499" s="12">
        <f t="shared" ca="1" si="52"/>
        <v>13.578082191780823</v>
      </c>
      <c r="P499" s="12">
        <f t="shared" ca="1" si="53"/>
        <v>15.178082191780822</v>
      </c>
      <c r="Q499" s="12" t="s">
        <v>68</v>
      </c>
      <c r="R499" s="9" t="s">
        <v>901</v>
      </c>
      <c r="S499" s="24" t="s">
        <v>28</v>
      </c>
      <c r="T499" s="9" t="s">
        <v>29</v>
      </c>
    </row>
    <row r="500" spans="1:20" ht="35.25" customHeight="1">
      <c r="A500" s="6">
        <f t="shared" si="54"/>
        <v>499</v>
      </c>
      <c r="B500" s="17" t="s">
        <v>1481</v>
      </c>
      <c r="C500" s="8" t="s">
        <v>1482</v>
      </c>
      <c r="D500" s="9" t="s">
        <v>26</v>
      </c>
      <c r="E500" s="10">
        <v>25563</v>
      </c>
      <c r="F500" s="11">
        <f t="shared" ca="1" si="49"/>
        <v>53.994520547945207</v>
      </c>
      <c r="G500" s="11">
        <f t="shared" si="55"/>
        <v>12</v>
      </c>
      <c r="H500" s="11">
        <f t="shared" si="56"/>
        <v>26</v>
      </c>
      <c r="I500" s="10">
        <v>40325</v>
      </c>
      <c r="J500" s="9" t="s">
        <v>50</v>
      </c>
      <c r="K500" s="9" t="s">
        <v>1483</v>
      </c>
      <c r="L500" s="9" t="s">
        <v>290</v>
      </c>
      <c r="M500" s="9" t="s">
        <v>35</v>
      </c>
      <c r="N500" s="11">
        <v>17</v>
      </c>
      <c r="O500" s="12">
        <f t="shared" ca="1" si="52"/>
        <v>13.550684931506849</v>
      </c>
      <c r="P500" s="12">
        <f t="shared" ca="1" si="53"/>
        <v>30.550684931506851</v>
      </c>
      <c r="Q500" s="12" t="s">
        <v>26</v>
      </c>
      <c r="R500" s="9" t="s">
        <v>27</v>
      </c>
      <c r="S500" s="24" t="s">
        <v>36</v>
      </c>
      <c r="T500" s="9" t="s">
        <v>137</v>
      </c>
    </row>
    <row r="501" spans="1:20" ht="35.25" customHeight="1">
      <c r="A501" s="6">
        <f t="shared" si="54"/>
        <v>500</v>
      </c>
      <c r="B501" s="17" t="s">
        <v>1484</v>
      </c>
      <c r="C501" s="8" t="s">
        <v>1485</v>
      </c>
      <c r="D501" s="9" t="s">
        <v>26</v>
      </c>
      <c r="E501" s="10">
        <v>30687</v>
      </c>
      <c r="F501" s="11">
        <f t="shared" ca="1" si="49"/>
        <v>39.956164383561642</v>
      </c>
      <c r="G501" s="11">
        <f t="shared" si="55"/>
        <v>1</v>
      </c>
      <c r="H501" s="11">
        <f t="shared" si="56"/>
        <v>6</v>
      </c>
      <c r="I501" s="10">
        <v>40326</v>
      </c>
      <c r="J501" s="9" t="s">
        <v>87</v>
      </c>
      <c r="K501" s="9" t="s">
        <v>1486</v>
      </c>
      <c r="L501" s="9" t="s">
        <v>290</v>
      </c>
      <c r="M501" s="9" t="s">
        <v>35</v>
      </c>
      <c r="N501" s="11">
        <v>6.5</v>
      </c>
      <c r="O501" s="12">
        <f t="shared" ca="1" si="52"/>
        <v>13.547945205479452</v>
      </c>
      <c r="P501" s="12">
        <f t="shared" ca="1" si="53"/>
        <v>20.047945205479451</v>
      </c>
      <c r="Q501" s="12" t="s">
        <v>26</v>
      </c>
      <c r="R501" s="9" t="s">
        <v>27</v>
      </c>
      <c r="S501" s="24" t="s">
        <v>36</v>
      </c>
      <c r="T501" s="9" t="s">
        <v>72</v>
      </c>
    </row>
    <row r="502" spans="1:20" ht="35.25" customHeight="1">
      <c r="A502" s="6">
        <f t="shared" si="54"/>
        <v>501</v>
      </c>
      <c r="B502" s="17" t="s">
        <v>1487</v>
      </c>
      <c r="C502" s="8" t="s">
        <v>1158</v>
      </c>
      <c r="D502" s="9" t="s">
        <v>26</v>
      </c>
      <c r="E502" s="10">
        <v>30075</v>
      </c>
      <c r="F502" s="11">
        <f t="shared" ca="1" si="49"/>
        <v>41.632876712328766</v>
      </c>
      <c r="G502" s="11">
        <f t="shared" si="55"/>
        <v>5</v>
      </c>
      <c r="H502" s="11">
        <f t="shared" si="56"/>
        <v>4</v>
      </c>
      <c r="I502" s="10">
        <v>40326</v>
      </c>
      <c r="J502" s="9" t="s">
        <v>87</v>
      </c>
      <c r="K502" s="9" t="s">
        <v>332</v>
      </c>
      <c r="L502" s="9" t="s">
        <v>34</v>
      </c>
      <c r="M502" s="9" t="s">
        <v>35</v>
      </c>
      <c r="N502" s="11">
        <v>5</v>
      </c>
      <c r="O502" s="12">
        <f t="shared" ca="1" si="52"/>
        <v>13.547945205479452</v>
      </c>
      <c r="P502" s="12">
        <f t="shared" ca="1" si="53"/>
        <v>18.547945205479451</v>
      </c>
      <c r="Q502" s="12" t="s">
        <v>68</v>
      </c>
      <c r="R502" s="9" t="s">
        <v>27</v>
      </c>
      <c r="S502" s="24" t="s">
        <v>36</v>
      </c>
      <c r="T502" s="9" t="s">
        <v>90</v>
      </c>
    </row>
    <row r="503" spans="1:20" ht="35.25" customHeight="1">
      <c r="A503" s="6">
        <f t="shared" si="54"/>
        <v>502</v>
      </c>
      <c r="B503" s="17" t="s">
        <v>1488</v>
      </c>
      <c r="C503" s="8" t="s">
        <v>1489</v>
      </c>
      <c r="D503" s="9" t="s">
        <v>26</v>
      </c>
      <c r="E503" s="10">
        <v>24360</v>
      </c>
      <c r="F503" s="11">
        <f t="shared" ca="1" si="49"/>
        <v>57.290410958904111</v>
      </c>
      <c r="G503" s="11">
        <f t="shared" si="55"/>
        <v>9</v>
      </c>
      <c r="H503" s="11">
        <f t="shared" si="56"/>
        <v>10</v>
      </c>
      <c r="I503" s="10">
        <v>40331</v>
      </c>
      <c r="J503" s="9" t="s">
        <v>58</v>
      </c>
      <c r="K503" s="9" t="s">
        <v>1490</v>
      </c>
      <c r="L503" s="9" t="s">
        <v>796</v>
      </c>
      <c r="M503" s="9" t="s">
        <v>35</v>
      </c>
      <c r="N503" s="11">
        <v>13</v>
      </c>
      <c r="O503" s="12">
        <f t="shared" ca="1" si="52"/>
        <v>13.534246575342467</v>
      </c>
      <c r="P503" s="12">
        <f t="shared" ca="1" si="53"/>
        <v>26.534246575342465</v>
      </c>
      <c r="Q503" s="12" t="s">
        <v>26</v>
      </c>
      <c r="R503" s="9" t="s">
        <v>95</v>
      </c>
      <c r="S503" s="24" t="s">
        <v>36</v>
      </c>
      <c r="T503" s="9" t="s">
        <v>137</v>
      </c>
    </row>
    <row r="504" spans="1:20" ht="35.25" customHeight="1">
      <c r="A504" s="6">
        <f t="shared" si="54"/>
        <v>503</v>
      </c>
      <c r="B504" s="17" t="s">
        <v>1491</v>
      </c>
      <c r="C504" s="8" t="s">
        <v>1492</v>
      </c>
      <c r="D504" s="9" t="s">
        <v>26</v>
      </c>
      <c r="E504" s="10">
        <v>29006</v>
      </c>
      <c r="F504" s="11">
        <f t="shared" ca="1" si="49"/>
        <v>44.561643835616437</v>
      </c>
      <c r="G504" s="11">
        <f t="shared" si="55"/>
        <v>5</v>
      </c>
      <c r="H504" s="11">
        <f t="shared" si="56"/>
        <v>31</v>
      </c>
      <c r="I504" s="10">
        <v>40325</v>
      </c>
      <c r="J504" s="9" t="s">
        <v>22</v>
      </c>
      <c r="K504" s="9" t="s">
        <v>1439</v>
      </c>
      <c r="L504" s="9" t="s">
        <v>377</v>
      </c>
      <c r="M504" s="9" t="s">
        <v>134</v>
      </c>
      <c r="N504" s="11">
        <v>7</v>
      </c>
      <c r="O504" s="12">
        <f t="shared" ca="1" si="52"/>
        <v>13.550684931506849</v>
      </c>
      <c r="P504" s="12">
        <f t="shared" ca="1" si="53"/>
        <v>20.550684931506851</v>
      </c>
      <c r="Q504" s="12" t="s">
        <v>68</v>
      </c>
      <c r="R504" s="9" t="s">
        <v>27</v>
      </c>
      <c r="S504" s="24" t="s">
        <v>36</v>
      </c>
      <c r="T504" s="9" t="s">
        <v>137</v>
      </c>
    </row>
    <row r="505" spans="1:20" ht="35.25" customHeight="1">
      <c r="A505" s="6">
        <f t="shared" si="54"/>
        <v>504</v>
      </c>
      <c r="B505" s="17" t="s">
        <v>1493</v>
      </c>
      <c r="C505" s="8" t="s">
        <v>1494</v>
      </c>
      <c r="D505" s="9" t="s">
        <v>26</v>
      </c>
      <c r="E505" s="10">
        <v>29678</v>
      </c>
      <c r="F505" s="11">
        <f t="shared" ca="1" si="49"/>
        <v>42.720547945205482</v>
      </c>
      <c r="G505" s="11">
        <f t="shared" si="55"/>
        <v>4</v>
      </c>
      <c r="H505" s="11">
        <f t="shared" si="56"/>
        <v>2</v>
      </c>
      <c r="I505" s="10">
        <v>40331</v>
      </c>
      <c r="J505" s="9" t="s">
        <v>45</v>
      </c>
      <c r="K505" s="9" t="s">
        <v>71</v>
      </c>
      <c r="L505" s="9" t="s">
        <v>55</v>
      </c>
      <c r="M505" s="9" t="s">
        <v>35</v>
      </c>
      <c r="N505" s="11">
        <v>5.5</v>
      </c>
      <c r="O505" s="12">
        <f t="shared" ca="1" si="52"/>
        <v>13.534246575342467</v>
      </c>
      <c r="P505" s="12">
        <f t="shared" ca="1" si="53"/>
        <v>19.034246575342465</v>
      </c>
      <c r="Q505" s="12" t="s">
        <v>26</v>
      </c>
      <c r="R505" s="9" t="s">
        <v>27</v>
      </c>
      <c r="S505" s="24" t="s">
        <v>36</v>
      </c>
      <c r="T505" s="9" t="s">
        <v>29</v>
      </c>
    </row>
    <row r="506" spans="1:20" ht="35.25" customHeight="1">
      <c r="A506" s="6">
        <f t="shared" si="54"/>
        <v>505</v>
      </c>
      <c r="B506" s="17" t="s">
        <v>1495</v>
      </c>
      <c r="C506" s="8" t="s">
        <v>1496</v>
      </c>
      <c r="D506" s="9" t="s">
        <v>26</v>
      </c>
      <c r="E506" s="10">
        <v>31563</v>
      </c>
      <c r="F506" s="11">
        <f t="shared" ca="1" si="49"/>
        <v>37.556164383561644</v>
      </c>
      <c r="G506" s="11">
        <f t="shared" si="55"/>
        <v>5</v>
      </c>
      <c r="H506" s="11">
        <f t="shared" si="56"/>
        <v>31</v>
      </c>
      <c r="I506" s="10">
        <v>40331</v>
      </c>
      <c r="J506" s="9" t="s">
        <v>226</v>
      </c>
      <c r="K506" s="9" t="s">
        <v>537</v>
      </c>
      <c r="L506" s="9" t="s">
        <v>122</v>
      </c>
      <c r="M506" s="9" t="s">
        <v>35</v>
      </c>
      <c r="N506" s="11">
        <v>2</v>
      </c>
      <c r="O506" s="12">
        <f t="shared" ca="1" si="52"/>
        <v>13.534246575342467</v>
      </c>
      <c r="P506" s="12">
        <f t="shared" ca="1" si="53"/>
        <v>15.534246575342467</v>
      </c>
      <c r="Q506" s="12" t="s">
        <v>68</v>
      </c>
      <c r="R506" s="9" t="s">
        <v>27</v>
      </c>
      <c r="S506" s="24" t="s">
        <v>36</v>
      </c>
      <c r="T506" s="9" t="s">
        <v>37</v>
      </c>
    </row>
    <row r="507" spans="1:20" ht="35.25" customHeight="1">
      <c r="A507" s="6">
        <f t="shared" si="54"/>
        <v>506</v>
      </c>
      <c r="B507" s="17" t="s">
        <v>1497</v>
      </c>
      <c r="C507" s="8" t="s">
        <v>1498</v>
      </c>
      <c r="D507" s="9" t="s">
        <v>26</v>
      </c>
      <c r="E507" s="10">
        <v>27525</v>
      </c>
      <c r="F507" s="11">
        <f t="shared" ca="1" si="49"/>
        <v>48.61917808219178</v>
      </c>
      <c r="G507" s="11">
        <f t="shared" si="55"/>
        <v>5</v>
      </c>
      <c r="H507" s="11">
        <f t="shared" si="56"/>
        <v>11</v>
      </c>
      <c r="I507" s="10">
        <v>40331</v>
      </c>
      <c r="J507" s="9" t="s">
        <v>50</v>
      </c>
      <c r="K507" s="9" t="s">
        <v>613</v>
      </c>
      <c r="L507" s="9" t="s">
        <v>1499</v>
      </c>
      <c r="M507" s="9" t="s">
        <v>35</v>
      </c>
      <c r="N507" s="11">
        <v>15</v>
      </c>
      <c r="O507" s="12">
        <f t="shared" ca="1" si="52"/>
        <v>13.534246575342467</v>
      </c>
      <c r="P507" s="12">
        <f t="shared" ca="1" si="53"/>
        <v>28.534246575342465</v>
      </c>
      <c r="Q507" s="12" t="s">
        <v>26</v>
      </c>
      <c r="R507" s="9" t="s">
        <v>27</v>
      </c>
      <c r="S507" s="24" t="s">
        <v>28</v>
      </c>
      <c r="T507" s="9" t="s">
        <v>29</v>
      </c>
    </row>
    <row r="508" spans="1:20" ht="35.25" customHeight="1">
      <c r="A508" s="6">
        <f t="shared" si="54"/>
        <v>507</v>
      </c>
      <c r="B508" s="17" t="s">
        <v>1500</v>
      </c>
      <c r="C508" s="8" t="s">
        <v>1501</v>
      </c>
      <c r="D508" s="9" t="s">
        <v>26</v>
      </c>
      <c r="E508" s="10">
        <v>29269</v>
      </c>
      <c r="F508" s="11">
        <f t="shared" ca="1" si="49"/>
        <v>43.841095890410962</v>
      </c>
      <c r="G508" s="11">
        <f t="shared" si="55"/>
        <v>2</v>
      </c>
      <c r="H508" s="11">
        <f t="shared" si="56"/>
        <v>18</v>
      </c>
      <c r="I508" s="10">
        <v>40332</v>
      </c>
      <c r="J508" s="9" t="s">
        <v>226</v>
      </c>
      <c r="K508" s="9" t="s">
        <v>1502</v>
      </c>
      <c r="L508" s="9" t="s">
        <v>208</v>
      </c>
      <c r="M508" s="9" t="s">
        <v>35</v>
      </c>
      <c r="N508" s="11">
        <v>7</v>
      </c>
      <c r="O508" s="12">
        <f t="shared" ca="1" si="52"/>
        <v>13.531506849315068</v>
      </c>
      <c r="P508" s="12">
        <f t="shared" ca="1" si="53"/>
        <v>20.531506849315068</v>
      </c>
      <c r="Q508" s="12" t="s">
        <v>68</v>
      </c>
      <c r="R508" s="9" t="s">
        <v>27</v>
      </c>
      <c r="S508" s="24" t="s">
        <v>36</v>
      </c>
      <c r="T508" s="9" t="s">
        <v>137</v>
      </c>
    </row>
    <row r="509" spans="1:20" ht="35.25" customHeight="1">
      <c r="A509" s="6">
        <f t="shared" si="54"/>
        <v>508</v>
      </c>
      <c r="B509" s="17" t="s">
        <v>1503</v>
      </c>
      <c r="C509" s="8" t="s">
        <v>1504</v>
      </c>
      <c r="D509" s="9" t="s">
        <v>21</v>
      </c>
      <c r="E509" s="10">
        <v>31539</v>
      </c>
      <c r="F509" s="11">
        <f t="shared" ca="1" si="49"/>
        <v>37.62191780821918</v>
      </c>
      <c r="G509" s="11">
        <f t="shared" si="55"/>
        <v>5</v>
      </c>
      <c r="H509" s="11">
        <f t="shared" si="56"/>
        <v>7</v>
      </c>
      <c r="I509" s="10">
        <v>40329</v>
      </c>
      <c r="J509" s="9" t="s">
        <v>58</v>
      </c>
      <c r="K509" s="9" t="s">
        <v>129</v>
      </c>
      <c r="L509" s="9" t="s">
        <v>1091</v>
      </c>
      <c r="M509" s="9" t="s">
        <v>25</v>
      </c>
      <c r="N509" s="11">
        <v>1.8</v>
      </c>
      <c r="O509" s="12">
        <f t="shared" ca="1" si="52"/>
        <v>13.53972602739726</v>
      </c>
      <c r="P509" s="12">
        <f t="shared" ca="1" si="53"/>
        <v>15.33972602739726</v>
      </c>
      <c r="Q509" s="12" t="s">
        <v>68</v>
      </c>
      <c r="R509" s="9" t="s">
        <v>232</v>
      </c>
      <c r="S509" s="24" t="s">
        <v>28</v>
      </c>
      <c r="T509" s="9" t="s">
        <v>29</v>
      </c>
    </row>
    <row r="510" spans="1:20" ht="35.25" customHeight="1">
      <c r="A510" s="6">
        <f t="shared" si="54"/>
        <v>509</v>
      </c>
      <c r="B510" s="17" t="s">
        <v>1505</v>
      </c>
      <c r="C510" s="8" t="s">
        <v>1506</v>
      </c>
      <c r="D510" s="9" t="s">
        <v>26</v>
      </c>
      <c r="E510" s="10">
        <v>30766</v>
      </c>
      <c r="F510" s="11">
        <f t="shared" ca="1" si="49"/>
        <v>39.739726027397261</v>
      </c>
      <c r="G510" s="11">
        <f t="shared" si="55"/>
        <v>3</v>
      </c>
      <c r="H510" s="11">
        <f t="shared" si="56"/>
        <v>25</v>
      </c>
      <c r="I510" s="10">
        <v>40330</v>
      </c>
      <c r="J510" s="9" t="s">
        <v>87</v>
      </c>
      <c r="K510" s="9" t="s">
        <v>1238</v>
      </c>
      <c r="L510" s="9" t="s">
        <v>204</v>
      </c>
      <c r="M510" s="9" t="s">
        <v>25</v>
      </c>
      <c r="N510" s="11">
        <v>2.8</v>
      </c>
      <c r="O510" s="12">
        <f t="shared" ca="1" si="52"/>
        <v>13.536986301369863</v>
      </c>
      <c r="P510" s="12">
        <f t="shared" ca="1" si="53"/>
        <v>16.336986301369862</v>
      </c>
      <c r="Q510" s="12" t="s">
        <v>68</v>
      </c>
      <c r="R510" s="9" t="s">
        <v>901</v>
      </c>
      <c r="S510" s="24" t="s">
        <v>28</v>
      </c>
      <c r="T510" s="9" t="s">
        <v>29</v>
      </c>
    </row>
    <row r="511" spans="1:20" ht="35.25" customHeight="1">
      <c r="A511" s="6">
        <f t="shared" si="54"/>
        <v>510</v>
      </c>
      <c r="B511" s="17" t="s">
        <v>1507</v>
      </c>
      <c r="C511" s="8" t="s">
        <v>1508</v>
      </c>
      <c r="D511" s="9" t="s">
        <v>21</v>
      </c>
      <c r="E511" s="10">
        <v>31926</v>
      </c>
      <c r="F511" s="11">
        <f t="shared" ref="F511:F572" ca="1" si="57">(TODAY()-E511)/365</f>
        <v>36.561643835616437</v>
      </c>
      <c r="G511" s="11">
        <f t="shared" si="55"/>
        <v>5</v>
      </c>
      <c r="H511" s="11">
        <f t="shared" si="56"/>
        <v>29</v>
      </c>
      <c r="I511" s="10">
        <v>40329</v>
      </c>
      <c r="J511" s="9" t="s">
        <v>50</v>
      </c>
      <c r="K511" s="9" t="s">
        <v>159</v>
      </c>
      <c r="L511" s="9" t="s">
        <v>128</v>
      </c>
      <c r="M511" s="9" t="s">
        <v>156</v>
      </c>
      <c r="N511" s="11">
        <v>0</v>
      </c>
      <c r="O511" s="12">
        <f t="shared" ca="1" si="52"/>
        <v>13.53972602739726</v>
      </c>
      <c r="P511" s="12">
        <f t="shared" ca="1" si="53"/>
        <v>13.53972602739726</v>
      </c>
      <c r="Q511" s="12" t="s">
        <v>68</v>
      </c>
      <c r="R511" s="9" t="s">
        <v>1509</v>
      </c>
      <c r="S511" s="24" t="s">
        <v>28</v>
      </c>
      <c r="T511" s="9" t="s">
        <v>29</v>
      </c>
    </row>
    <row r="512" spans="1:20" ht="35.25" customHeight="1">
      <c r="A512" s="6">
        <f t="shared" si="54"/>
        <v>511</v>
      </c>
      <c r="B512" s="17" t="s">
        <v>1510</v>
      </c>
      <c r="C512" s="8" t="s">
        <v>1511</v>
      </c>
      <c r="D512" s="9" t="s">
        <v>26</v>
      </c>
      <c r="E512" s="10">
        <v>32164</v>
      </c>
      <c r="F512" s="11">
        <f t="shared" ca="1" si="57"/>
        <v>35.909589041095892</v>
      </c>
      <c r="G512" s="11">
        <f t="shared" si="55"/>
        <v>1</v>
      </c>
      <c r="H512" s="11">
        <f t="shared" si="56"/>
        <v>22</v>
      </c>
      <c r="I512" s="10">
        <v>40327</v>
      </c>
      <c r="J512" s="9" t="s">
        <v>87</v>
      </c>
      <c r="K512" s="9" t="s">
        <v>1238</v>
      </c>
      <c r="L512" s="9" t="s">
        <v>204</v>
      </c>
      <c r="M512" s="9" t="s">
        <v>25</v>
      </c>
      <c r="N512" s="11">
        <v>1</v>
      </c>
      <c r="O512" s="12">
        <f t="shared" ca="1" si="52"/>
        <v>13.545205479452054</v>
      </c>
      <c r="P512" s="12">
        <f t="shared" ca="1" si="53"/>
        <v>14.545205479452054</v>
      </c>
      <c r="Q512" s="12" t="s">
        <v>68</v>
      </c>
      <c r="R512" s="9" t="s">
        <v>901</v>
      </c>
      <c r="S512" s="24" t="s">
        <v>28</v>
      </c>
      <c r="T512" s="9" t="s">
        <v>29</v>
      </c>
    </row>
    <row r="513" spans="1:20" ht="35.25" customHeight="1">
      <c r="A513" s="6">
        <f t="shared" si="54"/>
        <v>512</v>
      </c>
      <c r="B513" s="17" t="s">
        <v>1512</v>
      </c>
      <c r="C513" s="8" t="s">
        <v>1513</v>
      </c>
      <c r="D513" s="9" t="s">
        <v>26</v>
      </c>
      <c r="E513" s="10">
        <v>21824</v>
      </c>
      <c r="F513" s="11">
        <f t="shared" ca="1" si="57"/>
        <v>64.238356164383561</v>
      </c>
      <c r="G513" s="11">
        <f t="shared" si="55"/>
        <v>10</v>
      </c>
      <c r="H513" s="11">
        <f t="shared" si="56"/>
        <v>1</v>
      </c>
      <c r="I513" s="10">
        <v>40332</v>
      </c>
      <c r="J513" s="9" t="s">
        <v>58</v>
      </c>
      <c r="K513" s="9" t="s">
        <v>1398</v>
      </c>
      <c r="L513" s="9" t="s">
        <v>208</v>
      </c>
      <c r="M513" s="9" t="s">
        <v>35</v>
      </c>
      <c r="N513" s="11">
        <v>30</v>
      </c>
      <c r="O513" s="12">
        <f t="shared" ca="1" si="52"/>
        <v>13.531506849315068</v>
      </c>
      <c r="P513" s="12">
        <f t="shared" ca="1" si="53"/>
        <v>43.531506849315065</v>
      </c>
      <c r="Q513" s="12" t="s">
        <v>26</v>
      </c>
      <c r="R513" s="9" t="s">
        <v>356</v>
      </c>
      <c r="S513" s="24" t="s">
        <v>28</v>
      </c>
      <c r="T513" s="9" t="s">
        <v>358</v>
      </c>
    </row>
    <row r="514" spans="1:20" ht="35.25" customHeight="1">
      <c r="A514" s="6">
        <f t="shared" si="54"/>
        <v>513</v>
      </c>
      <c r="B514" s="17" t="s">
        <v>1514</v>
      </c>
      <c r="C514" s="8" t="s">
        <v>1515</v>
      </c>
      <c r="D514" s="9" t="s">
        <v>26</v>
      </c>
      <c r="E514" s="10">
        <v>32547</v>
      </c>
      <c r="F514" s="11">
        <f t="shared" ca="1" si="57"/>
        <v>34.860273972602741</v>
      </c>
      <c r="G514" s="11">
        <f t="shared" si="55"/>
        <v>2</v>
      </c>
      <c r="H514" s="11">
        <f t="shared" si="56"/>
        <v>8</v>
      </c>
      <c r="I514" s="10">
        <v>40336</v>
      </c>
      <c r="J514" s="9" t="s">
        <v>226</v>
      </c>
      <c r="K514" s="9" t="s">
        <v>341</v>
      </c>
      <c r="L514" s="9" t="s">
        <v>34</v>
      </c>
      <c r="M514" s="9" t="s">
        <v>35</v>
      </c>
      <c r="N514" s="11">
        <v>3</v>
      </c>
      <c r="O514" s="12">
        <f t="shared" ref="O514:O577" ca="1" si="58">(TODAY()-I514)/365</f>
        <v>13.520547945205479</v>
      </c>
      <c r="P514" s="12">
        <f t="shared" ref="P514:P522" ca="1" si="59">SUM(N514+O514)</f>
        <v>16.520547945205479</v>
      </c>
      <c r="Q514" s="12" t="s">
        <v>68</v>
      </c>
      <c r="R514" s="9" t="s">
        <v>901</v>
      </c>
      <c r="S514" s="24" t="s">
        <v>36</v>
      </c>
      <c r="T514" s="9" t="s">
        <v>951</v>
      </c>
    </row>
    <row r="515" spans="1:20" ht="35.25" customHeight="1">
      <c r="A515" s="6">
        <f t="shared" si="54"/>
        <v>514</v>
      </c>
      <c r="B515" s="17" t="s">
        <v>1516</v>
      </c>
      <c r="C515" s="8" t="s">
        <v>1517</v>
      </c>
      <c r="D515" s="9" t="s">
        <v>26</v>
      </c>
      <c r="E515" s="10">
        <v>29234</v>
      </c>
      <c r="F515" s="11">
        <f t="shared" ca="1" si="57"/>
        <v>43.936986301369863</v>
      </c>
      <c r="G515" s="11">
        <f t="shared" si="55"/>
        <v>1</v>
      </c>
      <c r="H515" s="11">
        <f t="shared" si="56"/>
        <v>14</v>
      </c>
      <c r="I515" s="10">
        <v>40336</v>
      </c>
      <c r="J515" s="9" t="s">
        <v>110</v>
      </c>
      <c r="K515" s="9" t="s">
        <v>1518</v>
      </c>
      <c r="L515" s="9" t="s">
        <v>851</v>
      </c>
      <c r="M515" s="9" t="s">
        <v>35</v>
      </c>
      <c r="N515" s="11">
        <v>6</v>
      </c>
      <c r="O515" s="12">
        <f t="shared" ca="1" si="58"/>
        <v>13.520547945205479</v>
      </c>
      <c r="P515" s="12">
        <f t="shared" ca="1" si="59"/>
        <v>19.520547945205479</v>
      </c>
      <c r="Q515" s="12" t="s">
        <v>68</v>
      </c>
      <c r="R515" s="9" t="s">
        <v>901</v>
      </c>
      <c r="S515" s="24" t="s">
        <v>36</v>
      </c>
      <c r="T515" s="9" t="s">
        <v>72</v>
      </c>
    </row>
    <row r="516" spans="1:20" ht="35.25" customHeight="1">
      <c r="A516" s="6">
        <f t="shared" ref="A516:A579" si="60">+A515+1</f>
        <v>515</v>
      </c>
      <c r="B516" s="17" t="s">
        <v>1519</v>
      </c>
      <c r="C516" s="8" t="s">
        <v>1520</v>
      </c>
      <c r="D516" s="9" t="s">
        <v>26</v>
      </c>
      <c r="E516" s="10">
        <v>28941</v>
      </c>
      <c r="F516" s="11">
        <f t="shared" ca="1" si="57"/>
        <v>44.739726027397261</v>
      </c>
      <c r="G516" s="11">
        <f t="shared" si="55"/>
        <v>3</v>
      </c>
      <c r="H516" s="11">
        <f t="shared" si="56"/>
        <v>27</v>
      </c>
      <c r="I516" s="10">
        <v>40334</v>
      </c>
      <c r="J516" s="9" t="s">
        <v>22</v>
      </c>
      <c r="K516" s="9" t="s">
        <v>241</v>
      </c>
      <c r="L516" s="9" t="s">
        <v>34</v>
      </c>
      <c r="M516" s="9" t="s">
        <v>61</v>
      </c>
      <c r="N516" s="11">
        <v>4</v>
      </c>
      <c r="O516" s="12">
        <f t="shared" ca="1" si="58"/>
        <v>13.526027397260274</v>
      </c>
      <c r="P516" s="12">
        <f t="shared" ca="1" si="59"/>
        <v>17.526027397260272</v>
      </c>
      <c r="Q516" s="12" t="s">
        <v>26</v>
      </c>
      <c r="R516" s="9" t="s">
        <v>901</v>
      </c>
      <c r="S516" s="24" t="s">
        <v>36</v>
      </c>
      <c r="T516" s="9" t="s">
        <v>72</v>
      </c>
    </row>
    <row r="517" spans="1:20" ht="35.25" customHeight="1">
      <c r="A517" s="6">
        <f t="shared" si="60"/>
        <v>516</v>
      </c>
      <c r="B517" s="17" t="s">
        <v>1521</v>
      </c>
      <c r="C517" s="8" t="s">
        <v>1522</v>
      </c>
      <c r="D517" s="9" t="s">
        <v>26</v>
      </c>
      <c r="E517" s="10">
        <v>28443</v>
      </c>
      <c r="F517" s="11">
        <f t="shared" ca="1" si="57"/>
        <v>46.104109589041094</v>
      </c>
      <c r="G517" s="11">
        <f t="shared" si="55"/>
        <v>11</v>
      </c>
      <c r="H517" s="11">
        <f t="shared" si="56"/>
        <v>14</v>
      </c>
      <c r="I517" s="10">
        <v>40336</v>
      </c>
      <c r="J517" s="9" t="s">
        <v>50</v>
      </c>
      <c r="K517" s="9" t="s">
        <v>51</v>
      </c>
      <c r="L517" s="24" t="s">
        <v>490</v>
      </c>
      <c r="M517" s="9" t="s">
        <v>491</v>
      </c>
      <c r="N517" s="19">
        <v>9</v>
      </c>
      <c r="O517" s="12">
        <f t="shared" ca="1" si="58"/>
        <v>13.520547945205479</v>
      </c>
      <c r="P517" s="12">
        <f t="shared" ca="1" si="59"/>
        <v>22.520547945205479</v>
      </c>
      <c r="Q517" s="12" t="s">
        <v>68</v>
      </c>
      <c r="R517" s="9" t="s">
        <v>347</v>
      </c>
      <c r="S517" s="24" t="s">
        <v>28</v>
      </c>
      <c r="T517" s="9" t="s">
        <v>492</v>
      </c>
    </row>
    <row r="518" spans="1:20" ht="35.25" customHeight="1">
      <c r="A518" s="6">
        <f t="shared" si="60"/>
        <v>517</v>
      </c>
      <c r="B518" s="17" t="s">
        <v>1523</v>
      </c>
      <c r="C518" s="8" t="s">
        <v>1524</v>
      </c>
      <c r="D518" s="9" t="s">
        <v>26</v>
      </c>
      <c r="E518" s="10">
        <v>25759</v>
      </c>
      <c r="F518" s="11">
        <f t="shared" ca="1" si="57"/>
        <v>53.457534246575342</v>
      </c>
      <c r="G518" s="11">
        <f t="shared" si="55"/>
        <v>7</v>
      </c>
      <c r="H518" s="11">
        <f t="shared" si="56"/>
        <v>10</v>
      </c>
      <c r="I518" s="10">
        <v>40336</v>
      </c>
      <c r="J518" s="9" t="s">
        <v>58</v>
      </c>
      <c r="K518" s="9" t="s">
        <v>136</v>
      </c>
      <c r="L518" s="24" t="s">
        <v>490</v>
      </c>
      <c r="M518" s="9" t="s">
        <v>491</v>
      </c>
      <c r="N518" s="19">
        <v>14</v>
      </c>
      <c r="O518" s="12">
        <f t="shared" ca="1" si="58"/>
        <v>13.520547945205479</v>
      </c>
      <c r="P518" s="12">
        <f t="shared" ca="1" si="59"/>
        <v>27.520547945205479</v>
      </c>
      <c r="Q518" s="12" t="s">
        <v>26</v>
      </c>
      <c r="R518" s="9" t="s">
        <v>792</v>
      </c>
      <c r="S518" s="24" t="s">
        <v>28</v>
      </c>
      <c r="T518" s="9" t="s">
        <v>492</v>
      </c>
    </row>
    <row r="519" spans="1:20" ht="35.25" customHeight="1">
      <c r="A519" s="6">
        <f t="shared" si="60"/>
        <v>518</v>
      </c>
      <c r="B519" s="17" t="s">
        <v>1525</v>
      </c>
      <c r="C519" s="8" t="s">
        <v>1526</v>
      </c>
      <c r="D519" s="9" t="s">
        <v>26</v>
      </c>
      <c r="E519" s="10">
        <v>26384</v>
      </c>
      <c r="F519" s="11">
        <f t="shared" ca="1" si="57"/>
        <v>51.745205479452054</v>
      </c>
      <c r="G519" s="11">
        <f t="shared" si="55"/>
        <v>3</v>
      </c>
      <c r="H519" s="11">
        <f t="shared" si="56"/>
        <v>26</v>
      </c>
      <c r="I519" s="10">
        <v>40336</v>
      </c>
      <c r="J519" s="9" t="s">
        <v>58</v>
      </c>
      <c r="K519" s="9" t="s">
        <v>136</v>
      </c>
      <c r="L519" s="24" t="s">
        <v>490</v>
      </c>
      <c r="M519" s="9" t="s">
        <v>491</v>
      </c>
      <c r="N519" s="19">
        <v>15</v>
      </c>
      <c r="O519" s="12">
        <f t="shared" ca="1" si="58"/>
        <v>13.520547945205479</v>
      </c>
      <c r="P519" s="12">
        <f t="shared" ca="1" si="59"/>
        <v>28.520547945205479</v>
      </c>
      <c r="Q519" s="12" t="s">
        <v>26</v>
      </c>
      <c r="R519" s="9" t="s">
        <v>792</v>
      </c>
      <c r="S519" s="24" t="s">
        <v>28</v>
      </c>
      <c r="T519" s="9" t="s">
        <v>492</v>
      </c>
    </row>
    <row r="520" spans="1:20" ht="35.25" customHeight="1">
      <c r="A520" s="6">
        <f t="shared" si="60"/>
        <v>519</v>
      </c>
      <c r="B520" s="17" t="s">
        <v>1527</v>
      </c>
      <c r="C520" s="8" t="s">
        <v>1528</v>
      </c>
      <c r="D520" s="9" t="s">
        <v>26</v>
      </c>
      <c r="E520" s="10">
        <v>30914</v>
      </c>
      <c r="F520" s="11">
        <f t="shared" ca="1" si="57"/>
        <v>39.334246575342469</v>
      </c>
      <c r="G520" s="11">
        <f t="shared" si="55"/>
        <v>8</v>
      </c>
      <c r="H520" s="11">
        <f t="shared" si="56"/>
        <v>20</v>
      </c>
      <c r="I520" s="10">
        <v>40343</v>
      </c>
      <c r="J520" s="9" t="s">
        <v>110</v>
      </c>
      <c r="K520" s="9" t="s">
        <v>63</v>
      </c>
      <c r="L520" s="9" t="s">
        <v>128</v>
      </c>
      <c r="M520" s="9" t="s">
        <v>134</v>
      </c>
      <c r="N520" s="11">
        <v>2</v>
      </c>
      <c r="O520" s="12">
        <f t="shared" ca="1" si="58"/>
        <v>13.501369863013698</v>
      </c>
      <c r="P520" s="12">
        <f t="shared" ca="1" si="59"/>
        <v>15.501369863013698</v>
      </c>
      <c r="Q520" s="12" t="s">
        <v>68</v>
      </c>
      <c r="R520" s="9" t="s">
        <v>901</v>
      </c>
      <c r="S520" s="24" t="s">
        <v>28</v>
      </c>
      <c r="T520" s="9" t="s">
        <v>29</v>
      </c>
    </row>
    <row r="521" spans="1:20" ht="35.25" customHeight="1">
      <c r="A521" s="6">
        <f t="shared" si="60"/>
        <v>520</v>
      </c>
      <c r="B521" s="17" t="s">
        <v>1529</v>
      </c>
      <c r="C521" s="8" t="s">
        <v>1530</v>
      </c>
      <c r="D521" s="9" t="s">
        <v>26</v>
      </c>
      <c r="E521" s="10">
        <v>32123</v>
      </c>
      <c r="F521" s="11">
        <f t="shared" ca="1" si="57"/>
        <v>36.021917808219179</v>
      </c>
      <c r="G521" s="11">
        <f t="shared" si="55"/>
        <v>12</v>
      </c>
      <c r="H521" s="11">
        <f t="shared" si="56"/>
        <v>12</v>
      </c>
      <c r="I521" s="10">
        <v>40344</v>
      </c>
      <c r="J521" s="9" t="s">
        <v>87</v>
      </c>
      <c r="K521" s="9" t="s">
        <v>1531</v>
      </c>
      <c r="L521" s="9" t="s">
        <v>724</v>
      </c>
      <c r="M521" s="9" t="s">
        <v>134</v>
      </c>
      <c r="N521" s="11">
        <v>2</v>
      </c>
      <c r="O521" s="12">
        <f t="shared" ca="1" si="58"/>
        <v>13.498630136986302</v>
      </c>
      <c r="P521" s="12">
        <f t="shared" ca="1" si="59"/>
        <v>15.498630136986302</v>
      </c>
      <c r="Q521" s="12" t="s">
        <v>26</v>
      </c>
      <c r="R521" s="9" t="s">
        <v>901</v>
      </c>
      <c r="S521" s="24" t="s">
        <v>36</v>
      </c>
      <c r="T521" s="9" t="s">
        <v>137</v>
      </c>
    </row>
    <row r="522" spans="1:20" ht="35.25" customHeight="1">
      <c r="A522" s="6">
        <f t="shared" si="60"/>
        <v>521</v>
      </c>
      <c r="B522" s="17" t="s">
        <v>1532</v>
      </c>
      <c r="C522" s="8" t="s">
        <v>1533</v>
      </c>
      <c r="D522" s="9" t="s">
        <v>26</v>
      </c>
      <c r="E522" s="10">
        <v>28997</v>
      </c>
      <c r="F522" s="11">
        <f t="shared" ca="1" si="57"/>
        <v>44.586301369863016</v>
      </c>
      <c r="G522" s="11">
        <f t="shared" si="55"/>
        <v>5</v>
      </c>
      <c r="H522" s="11">
        <f t="shared" si="56"/>
        <v>22</v>
      </c>
      <c r="I522" s="10">
        <v>40344</v>
      </c>
      <c r="J522" s="9" t="s">
        <v>87</v>
      </c>
      <c r="K522" s="9" t="s">
        <v>1531</v>
      </c>
      <c r="L522" s="9" t="s">
        <v>724</v>
      </c>
      <c r="M522" s="9" t="s">
        <v>134</v>
      </c>
      <c r="N522" s="11">
        <v>9</v>
      </c>
      <c r="O522" s="12">
        <f t="shared" ca="1" si="58"/>
        <v>13.498630136986302</v>
      </c>
      <c r="P522" s="12">
        <f t="shared" ca="1" si="59"/>
        <v>22.4986301369863</v>
      </c>
      <c r="Q522" s="12" t="s">
        <v>26</v>
      </c>
      <c r="R522" s="9" t="s">
        <v>901</v>
      </c>
      <c r="S522" s="24" t="s">
        <v>36</v>
      </c>
      <c r="T522" s="9" t="s">
        <v>137</v>
      </c>
    </row>
    <row r="523" spans="1:20" ht="35.25" customHeight="1">
      <c r="A523" s="6">
        <f t="shared" si="60"/>
        <v>522</v>
      </c>
      <c r="B523" s="17" t="s">
        <v>1534</v>
      </c>
      <c r="C523" s="8" t="s">
        <v>1535</v>
      </c>
      <c r="D523" s="9" t="s">
        <v>26</v>
      </c>
      <c r="E523" s="10">
        <v>32413</v>
      </c>
      <c r="F523" s="11">
        <f t="shared" ca="1" si="57"/>
        <v>35.227397260273975</v>
      </c>
      <c r="G523" s="11">
        <f t="shared" ref="G523:G586" si="61">MONTH(E523)</f>
        <v>9</v>
      </c>
      <c r="H523" s="11">
        <f t="shared" ref="H523:H586" si="62">DAY(E523)</f>
        <v>27</v>
      </c>
      <c r="I523" s="10">
        <v>40340</v>
      </c>
      <c r="J523" s="9" t="s">
        <v>226</v>
      </c>
      <c r="K523" s="9" t="s">
        <v>341</v>
      </c>
      <c r="L523" s="9" t="s">
        <v>34</v>
      </c>
      <c r="M523" s="9" t="s">
        <v>35</v>
      </c>
      <c r="N523" s="11">
        <v>0</v>
      </c>
      <c r="O523" s="12">
        <f t="shared" ca="1" si="58"/>
        <v>13.509589041095891</v>
      </c>
      <c r="P523" s="12">
        <f ca="1">+O523+N523</f>
        <v>13.509589041095891</v>
      </c>
      <c r="Q523" s="12" t="s">
        <v>68</v>
      </c>
      <c r="R523" s="9" t="s">
        <v>901</v>
      </c>
      <c r="S523" s="24" t="s">
        <v>36</v>
      </c>
      <c r="T523" s="9" t="s">
        <v>72</v>
      </c>
    </row>
    <row r="524" spans="1:20" ht="35.25" customHeight="1">
      <c r="A524" s="6">
        <f t="shared" si="60"/>
        <v>523</v>
      </c>
      <c r="B524" s="17" t="s">
        <v>1536</v>
      </c>
      <c r="C524" s="8" t="s">
        <v>1537</v>
      </c>
      <c r="D524" s="9" t="s">
        <v>26</v>
      </c>
      <c r="E524" s="10">
        <v>32669</v>
      </c>
      <c r="F524" s="11">
        <f t="shared" ca="1" si="57"/>
        <v>34.526027397260272</v>
      </c>
      <c r="G524" s="11">
        <f t="shared" si="61"/>
        <v>6</v>
      </c>
      <c r="H524" s="11">
        <f t="shared" si="62"/>
        <v>10</v>
      </c>
      <c r="I524" s="10">
        <v>40340</v>
      </c>
      <c r="J524" s="9" t="s">
        <v>226</v>
      </c>
      <c r="K524" s="9" t="s">
        <v>341</v>
      </c>
      <c r="L524" s="9" t="s">
        <v>34</v>
      </c>
      <c r="M524" s="9" t="s">
        <v>35</v>
      </c>
      <c r="N524" s="11">
        <v>0</v>
      </c>
      <c r="O524" s="12">
        <f t="shared" ca="1" si="58"/>
        <v>13.509589041095891</v>
      </c>
      <c r="P524" s="12">
        <f t="shared" ref="P524:P587" ca="1" si="63">SUM(N524+O524)</f>
        <v>13.509589041095891</v>
      </c>
      <c r="Q524" s="12" t="s">
        <v>68</v>
      </c>
      <c r="R524" s="9" t="s">
        <v>901</v>
      </c>
      <c r="S524" s="24" t="s">
        <v>36</v>
      </c>
      <c r="T524" s="9" t="s">
        <v>137</v>
      </c>
    </row>
    <row r="525" spans="1:20" ht="35.25" customHeight="1">
      <c r="A525" s="6">
        <f t="shared" si="60"/>
        <v>524</v>
      </c>
      <c r="B525" s="17" t="s">
        <v>1538</v>
      </c>
      <c r="C525" s="8" t="s">
        <v>1539</v>
      </c>
      <c r="D525" s="9" t="s">
        <v>26</v>
      </c>
      <c r="E525" s="10">
        <v>32455</v>
      </c>
      <c r="F525" s="11">
        <f t="shared" ca="1" si="57"/>
        <v>35.112328767123287</v>
      </c>
      <c r="G525" s="11">
        <f t="shared" si="61"/>
        <v>11</v>
      </c>
      <c r="H525" s="11">
        <f t="shared" si="62"/>
        <v>8</v>
      </c>
      <c r="I525" s="10">
        <v>40340</v>
      </c>
      <c r="J525" s="9" t="s">
        <v>226</v>
      </c>
      <c r="K525" s="9" t="s">
        <v>341</v>
      </c>
      <c r="L525" s="9" t="s">
        <v>34</v>
      </c>
      <c r="M525" s="9" t="s">
        <v>35</v>
      </c>
      <c r="N525" s="11">
        <v>0</v>
      </c>
      <c r="O525" s="12">
        <f t="shared" ca="1" si="58"/>
        <v>13.509589041095891</v>
      </c>
      <c r="P525" s="12">
        <f t="shared" ca="1" si="63"/>
        <v>13.509589041095891</v>
      </c>
      <c r="Q525" s="12" t="s">
        <v>68</v>
      </c>
      <c r="R525" s="9" t="s">
        <v>901</v>
      </c>
      <c r="S525" s="24" t="s">
        <v>36</v>
      </c>
      <c r="T525" s="9" t="s">
        <v>72</v>
      </c>
    </row>
    <row r="526" spans="1:20" ht="35.25" customHeight="1">
      <c r="A526" s="6">
        <f t="shared" si="60"/>
        <v>525</v>
      </c>
      <c r="B526" s="17" t="s">
        <v>1540</v>
      </c>
      <c r="C526" s="8" t="s">
        <v>1541</v>
      </c>
      <c r="D526" s="9" t="s">
        <v>26</v>
      </c>
      <c r="E526" s="10">
        <v>32543</v>
      </c>
      <c r="F526" s="11">
        <f t="shared" ca="1" si="57"/>
        <v>34.871232876712327</v>
      </c>
      <c r="G526" s="11">
        <f t="shared" si="61"/>
        <v>2</v>
      </c>
      <c r="H526" s="11">
        <f t="shared" si="62"/>
        <v>4</v>
      </c>
      <c r="I526" s="10">
        <v>40340</v>
      </c>
      <c r="J526" s="9" t="s">
        <v>226</v>
      </c>
      <c r="K526" s="9" t="s">
        <v>341</v>
      </c>
      <c r="L526" s="9" t="s">
        <v>34</v>
      </c>
      <c r="M526" s="9" t="s">
        <v>35</v>
      </c>
      <c r="N526" s="11">
        <v>0</v>
      </c>
      <c r="O526" s="12">
        <f t="shared" ca="1" si="58"/>
        <v>13.509589041095891</v>
      </c>
      <c r="P526" s="12">
        <f t="shared" ca="1" si="63"/>
        <v>13.509589041095891</v>
      </c>
      <c r="Q526" s="12" t="s">
        <v>68</v>
      </c>
      <c r="R526" s="9" t="s">
        <v>901</v>
      </c>
      <c r="S526" s="24" t="s">
        <v>36</v>
      </c>
      <c r="T526" s="9" t="s">
        <v>72</v>
      </c>
    </row>
    <row r="527" spans="1:20" ht="35.25" customHeight="1">
      <c r="A527" s="6">
        <f t="shared" si="60"/>
        <v>526</v>
      </c>
      <c r="B527" s="17" t="s">
        <v>1542</v>
      </c>
      <c r="C527" s="8" t="s">
        <v>1543</v>
      </c>
      <c r="D527" s="9" t="s">
        <v>26</v>
      </c>
      <c r="E527" s="10">
        <v>32671</v>
      </c>
      <c r="F527" s="11">
        <f t="shared" ca="1" si="57"/>
        <v>34.520547945205479</v>
      </c>
      <c r="G527" s="11">
        <f t="shared" si="61"/>
        <v>6</v>
      </c>
      <c r="H527" s="11">
        <f t="shared" si="62"/>
        <v>12</v>
      </c>
      <c r="I527" s="10">
        <v>40340</v>
      </c>
      <c r="J527" s="9" t="s">
        <v>226</v>
      </c>
      <c r="K527" s="9" t="s">
        <v>341</v>
      </c>
      <c r="L527" s="9" t="s">
        <v>34</v>
      </c>
      <c r="M527" s="9" t="s">
        <v>35</v>
      </c>
      <c r="N527" s="11">
        <v>0</v>
      </c>
      <c r="O527" s="12">
        <f t="shared" ca="1" si="58"/>
        <v>13.509589041095891</v>
      </c>
      <c r="P527" s="12">
        <f t="shared" ca="1" si="63"/>
        <v>13.509589041095891</v>
      </c>
      <c r="Q527" s="12" t="s">
        <v>68</v>
      </c>
      <c r="R527" s="9" t="s">
        <v>95</v>
      </c>
      <c r="S527" s="24" t="s">
        <v>36</v>
      </c>
      <c r="T527" s="9" t="s">
        <v>1544</v>
      </c>
    </row>
    <row r="528" spans="1:20" ht="35.25" customHeight="1">
      <c r="A528" s="6">
        <f t="shared" si="60"/>
        <v>527</v>
      </c>
      <c r="B528" s="17" t="s">
        <v>1545</v>
      </c>
      <c r="C528" s="8" t="s">
        <v>1546</v>
      </c>
      <c r="D528" s="9" t="s">
        <v>26</v>
      </c>
      <c r="E528" s="10">
        <v>32468</v>
      </c>
      <c r="F528" s="11">
        <f t="shared" ca="1" si="57"/>
        <v>35.076712328767123</v>
      </c>
      <c r="G528" s="11">
        <f t="shared" si="61"/>
        <v>11</v>
      </c>
      <c r="H528" s="11">
        <f t="shared" si="62"/>
        <v>21</v>
      </c>
      <c r="I528" s="10">
        <v>40340</v>
      </c>
      <c r="J528" s="9" t="s">
        <v>226</v>
      </c>
      <c r="K528" s="9" t="s">
        <v>341</v>
      </c>
      <c r="L528" s="9" t="s">
        <v>34</v>
      </c>
      <c r="M528" s="9" t="s">
        <v>35</v>
      </c>
      <c r="N528" s="11">
        <v>0</v>
      </c>
      <c r="O528" s="12">
        <f t="shared" ca="1" si="58"/>
        <v>13.509589041095891</v>
      </c>
      <c r="P528" s="12">
        <f t="shared" ca="1" si="63"/>
        <v>13.509589041095891</v>
      </c>
      <c r="Q528" s="12" t="s">
        <v>68</v>
      </c>
      <c r="R528" s="9" t="s">
        <v>901</v>
      </c>
      <c r="S528" s="24" t="s">
        <v>36</v>
      </c>
      <c r="T528" s="9" t="s">
        <v>90</v>
      </c>
    </row>
    <row r="529" spans="1:20" ht="35.25" customHeight="1">
      <c r="A529" s="6">
        <f t="shared" si="60"/>
        <v>528</v>
      </c>
      <c r="B529" s="17" t="s">
        <v>1547</v>
      </c>
      <c r="C529" s="8" t="s">
        <v>1548</v>
      </c>
      <c r="D529" s="9" t="s">
        <v>21</v>
      </c>
      <c r="E529" s="10">
        <v>32524</v>
      </c>
      <c r="F529" s="11">
        <f t="shared" ca="1" si="57"/>
        <v>34.923287671232877</v>
      </c>
      <c r="G529" s="11">
        <f t="shared" si="61"/>
        <v>1</v>
      </c>
      <c r="H529" s="11">
        <f t="shared" si="62"/>
        <v>16</v>
      </c>
      <c r="I529" s="10">
        <v>40340</v>
      </c>
      <c r="J529" s="9" t="s">
        <v>226</v>
      </c>
      <c r="K529" s="9" t="s">
        <v>600</v>
      </c>
      <c r="L529" s="9" t="s">
        <v>213</v>
      </c>
      <c r="M529" s="9" t="s">
        <v>35</v>
      </c>
      <c r="N529" s="11">
        <v>0</v>
      </c>
      <c r="O529" s="12">
        <f t="shared" ca="1" si="58"/>
        <v>13.509589041095891</v>
      </c>
      <c r="P529" s="12">
        <f t="shared" ca="1" si="63"/>
        <v>13.509589041095891</v>
      </c>
      <c r="Q529" s="12" t="s">
        <v>68</v>
      </c>
      <c r="R529" s="9" t="s">
        <v>95</v>
      </c>
      <c r="S529" s="24" t="s">
        <v>28</v>
      </c>
      <c r="T529" s="9" t="s">
        <v>29</v>
      </c>
    </row>
    <row r="530" spans="1:20" ht="35.25" customHeight="1">
      <c r="A530" s="6">
        <f t="shared" si="60"/>
        <v>529</v>
      </c>
      <c r="B530" s="17" t="s">
        <v>1549</v>
      </c>
      <c r="C530" s="8" t="s">
        <v>1550</v>
      </c>
      <c r="D530" s="9" t="s">
        <v>26</v>
      </c>
      <c r="E530" s="10">
        <v>31947</v>
      </c>
      <c r="F530" s="11">
        <f t="shared" ca="1" si="57"/>
        <v>36.504109589041093</v>
      </c>
      <c r="G530" s="11">
        <f t="shared" si="61"/>
        <v>6</v>
      </c>
      <c r="H530" s="11">
        <f t="shared" si="62"/>
        <v>19</v>
      </c>
      <c r="I530" s="10">
        <v>40340</v>
      </c>
      <c r="J530" s="9" t="s">
        <v>226</v>
      </c>
      <c r="K530" s="9" t="s">
        <v>537</v>
      </c>
      <c r="L530" s="9" t="s">
        <v>1551</v>
      </c>
      <c r="M530" s="9" t="s">
        <v>35</v>
      </c>
      <c r="N530" s="11">
        <v>0</v>
      </c>
      <c r="O530" s="12">
        <f t="shared" ca="1" si="58"/>
        <v>13.509589041095891</v>
      </c>
      <c r="P530" s="12">
        <f t="shared" ca="1" si="63"/>
        <v>13.509589041095891</v>
      </c>
      <c r="Q530" s="12" t="s">
        <v>68</v>
      </c>
      <c r="R530" s="9" t="s">
        <v>901</v>
      </c>
      <c r="S530" s="24" t="s">
        <v>36</v>
      </c>
      <c r="T530" s="9" t="s">
        <v>137</v>
      </c>
    </row>
    <row r="531" spans="1:20" ht="35.25" customHeight="1">
      <c r="A531" s="6">
        <f t="shared" si="60"/>
        <v>530</v>
      </c>
      <c r="B531" s="17" t="s">
        <v>1552</v>
      </c>
      <c r="C531" s="8" t="s">
        <v>1553</v>
      </c>
      <c r="D531" s="9" t="s">
        <v>26</v>
      </c>
      <c r="E531" s="10">
        <v>30751</v>
      </c>
      <c r="F531" s="11">
        <f t="shared" ca="1" si="57"/>
        <v>39.780821917808218</v>
      </c>
      <c r="G531" s="11">
        <f t="shared" si="61"/>
        <v>3</v>
      </c>
      <c r="H531" s="11">
        <f t="shared" si="62"/>
        <v>10</v>
      </c>
      <c r="I531" s="10">
        <v>40347</v>
      </c>
      <c r="J531" s="9" t="s">
        <v>50</v>
      </c>
      <c r="K531" s="9" t="s">
        <v>159</v>
      </c>
      <c r="L531" s="9" t="s">
        <v>101</v>
      </c>
      <c r="M531" s="9" t="s">
        <v>156</v>
      </c>
      <c r="N531" s="11">
        <v>0</v>
      </c>
      <c r="O531" s="12">
        <f t="shared" ca="1" si="58"/>
        <v>13.490410958904109</v>
      </c>
      <c r="P531" s="12">
        <f t="shared" ca="1" si="63"/>
        <v>13.490410958904109</v>
      </c>
      <c r="Q531" s="12" t="s">
        <v>68</v>
      </c>
      <c r="R531" s="9" t="s">
        <v>901</v>
      </c>
      <c r="S531" s="24" t="s">
        <v>28</v>
      </c>
      <c r="T531" s="9" t="s">
        <v>29</v>
      </c>
    </row>
    <row r="532" spans="1:20" ht="35.25" customHeight="1">
      <c r="A532" s="6">
        <f t="shared" si="60"/>
        <v>531</v>
      </c>
      <c r="B532" s="17" t="s">
        <v>1554</v>
      </c>
      <c r="C532" s="8" t="s">
        <v>1555</v>
      </c>
      <c r="D532" s="9" t="s">
        <v>21</v>
      </c>
      <c r="E532" s="10">
        <v>31371</v>
      </c>
      <c r="F532" s="11">
        <f t="shared" ca="1" si="57"/>
        <v>38.082191780821915</v>
      </c>
      <c r="G532" s="11">
        <f t="shared" si="61"/>
        <v>11</v>
      </c>
      <c r="H532" s="11">
        <f t="shared" si="62"/>
        <v>20</v>
      </c>
      <c r="I532" s="10">
        <v>40347</v>
      </c>
      <c r="J532" s="9" t="s">
        <v>50</v>
      </c>
      <c r="K532" s="9" t="s">
        <v>159</v>
      </c>
      <c r="L532" s="9" t="s">
        <v>101</v>
      </c>
      <c r="M532" s="9" t="s">
        <v>156</v>
      </c>
      <c r="N532" s="11">
        <v>0</v>
      </c>
      <c r="O532" s="12">
        <f t="shared" ca="1" si="58"/>
        <v>13.490410958904109</v>
      </c>
      <c r="P532" s="12">
        <f t="shared" ca="1" si="63"/>
        <v>13.490410958904109</v>
      </c>
      <c r="Q532" s="12" t="s">
        <v>68</v>
      </c>
      <c r="R532" s="9" t="s">
        <v>901</v>
      </c>
      <c r="S532" s="24" t="s">
        <v>28</v>
      </c>
      <c r="T532" s="9" t="s">
        <v>29</v>
      </c>
    </row>
    <row r="533" spans="1:20" ht="35.25" customHeight="1">
      <c r="A533" s="6">
        <f t="shared" si="60"/>
        <v>532</v>
      </c>
      <c r="B533" s="17" t="s">
        <v>1556</v>
      </c>
      <c r="C533" s="8" t="s">
        <v>1557</v>
      </c>
      <c r="D533" s="9" t="s">
        <v>26</v>
      </c>
      <c r="E533" s="10">
        <v>32716</v>
      </c>
      <c r="F533" s="11">
        <f t="shared" ca="1" si="57"/>
        <v>34.397260273972606</v>
      </c>
      <c r="G533" s="11">
        <f t="shared" si="61"/>
        <v>7</v>
      </c>
      <c r="H533" s="11">
        <f t="shared" si="62"/>
        <v>27</v>
      </c>
      <c r="I533" s="10">
        <v>40350</v>
      </c>
      <c r="J533" s="9" t="s">
        <v>41</v>
      </c>
      <c r="K533" s="9" t="s">
        <v>1558</v>
      </c>
      <c r="L533" s="9" t="s">
        <v>34</v>
      </c>
      <c r="M533" s="9" t="s">
        <v>35</v>
      </c>
      <c r="N533" s="11">
        <v>1</v>
      </c>
      <c r="O533" s="12">
        <f t="shared" ca="1" si="58"/>
        <v>13.482191780821918</v>
      </c>
      <c r="P533" s="12">
        <f t="shared" ca="1" si="63"/>
        <v>14.482191780821918</v>
      </c>
      <c r="Q533" s="12" t="s">
        <v>68</v>
      </c>
      <c r="R533" s="9" t="s">
        <v>901</v>
      </c>
      <c r="S533" s="24" t="s">
        <v>36</v>
      </c>
      <c r="T533" s="9" t="s">
        <v>186</v>
      </c>
    </row>
    <row r="534" spans="1:20" ht="35.25" customHeight="1">
      <c r="A534" s="6">
        <f t="shared" si="60"/>
        <v>533</v>
      </c>
      <c r="B534" s="17" t="s">
        <v>1560</v>
      </c>
      <c r="C534" s="8" t="s">
        <v>1561</v>
      </c>
      <c r="D534" s="9" t="s">
        <v>26</v>
      </c>
      <c r="E534" s="10">
        <v>31458</v>
      </c>
      <c r="F534" s="11">
        <f t="shared" ca="1" si="57"/>
        <v>37.843835616438355</v>
      </c>
      <c r="G534" s="11">
        <f t="shared" si="61"/>
        <v>2</v>
      </c>
      <c r="H534" s="11">
        <f t="shared" si="62"/>
        <v>15</v>
      </c>
      <c r="I534" s="10">
        <v>40350</v>
      </c>
      <c r="J534" s="9" t="s">
        <v>110</v>
      </c>
      <c r="K534" s="9" t="s">
        <v>1562</v>
      </c>
      <c r="L534" s="9" t="s">
        <v>878</v>
      </c>
      <c r="M534" s="9" t="s">
        <v>878</v>
      </c>
      <c r="N534" s="11">
        <v>0.6</v>
      </c>
      <c r="O534" s="12">
        <f t="shared" ca="1" si="58"/>
        <v>13.482191780821918</v>
      </c>
      <c r="P534" s="12">
        <f t="shared" ca="1" si="63"/>
        <v>14.082191780821917</v>
      </c>
      <c r="Q534" s="12" t="s">
        <v>68</v>
      </c>
      <c r="R534" s="9" t="s">
        <v>901</v>
      </c>
      <c r="S534" s="24" t="s">
        <v>28</v>
      </c>
      <c r="T534" s="9" t="s">
        <v>29</v>
      </c>
    </row>
    <row r="535" spans="1:20" ht="35.25" customHeight="1">
      <c r="A535" s="6">
        <f t="shared" si="60"/>
        <v>534</v>
      </c>
      <c r="B535" s="17" t="s">
        <v>1563</v>
      </c>
      <c r="C535" s="8" t="s">
        <v>1564</v>
      </c>
      <c r="D535" s="9" t="s">
        <v>26</v>
      </c>
      <c r="E535" s="10">
        <v>30739</v>
      </c>
      <c r="F535" s="11">
        <f t="shared" ca="1" si="57"/>
        <v>39.813698630136983</v>
      </c>
      <c r="G535" s="11">
        <f t="shared" si="61"/>
        <v>2</v>
      </c>
      <c r="H535" s="11">
        <f t="shared" si="62"/>
        <v>27</v>
      </c>
      <c r="I535" s="10">
        <v>40350</v>
      </c>
      <c r="J535" s="9" t="s">
        <v>226</v>
      </c>
      <c r="K535" s="9" t="s">
        <v>1565</v>
      </c>
      <c r="L535" s="9" t="s">
        <v>1566</v>
      </c>
      <c r="M535" s="9" t="s">
        <v>134</v>
      </c>
      <c r="N535" s="11">
        <v>2</v>
      </c>
      <c r="O535" s="12">
        <f t="shared" ca="1" si="58"/>
        <v>13.482191780821918</v>
      </c>
      <c r="P535" s="12">
        <f t="shared" ca="1" si="63"/>
        <v>15.482191780821918</v>
      </c>
      <c r="Q535" s="12" t="s">
        <v>68</v>
      </c>
      <c r="R535" s="9" t="s">
        <v>901</v>
      </c>
      <c r="S535" s="24" t="s">
        <v>36</v>
      </c>
      <c r="T535" s="9" t="s">
        <v>137</v>
      </c>
    </row>
    <row r="536" spans="1:20" ht="35.25" customHeight="1">
      <c r="A536" s="6">
        <f t="shared" si="60"/>
        <v>535</v>
      </c>
      <c r="B536" s="17" t="s">
        <v>1567</v>
      </c>
      <c r="C536" s="8" t="s">
        <v>1568</v>
      </c>
      <c r="D536" s="9" t="s">
        <v>26</v>
      </c>
      <c r="E536" s="10">
        <v>24983</v>
      </c>
      <c r="F536" s="11">
        <f t="shared" ca="1" si="57"/>
        <v>55.583561643835615</v>
      </c>
      <c r="G536" s="11">
        <f t="shared" si="61"/>
        <v>5</v>
      </c>
      <c r="H536" s="11">
        <f t="shared" si="62"/>
        <v>25</v>
      </c>
      <c r="I536" s="10">
        <v>40347</v>
      </c>
      <c r="J536" s="9" t="s">
        <v>132</v>
      </c>
      <c r="K536" s="9" t="s">
        <v>1569</v>
      </c>
      <c r="L536" s="9" t="s">
        <v>329</v>
      </c>
      <c r="M536" s="9" t="s">
        <v>134</v>
      </c>
      <c r="N536" s="11">
        <v>23</v>
      </c>
      <c r="O536" s="12">
        <f t="shared" ca="1" si="58"/>
        <v>13.490410958904109</v>
      </c>
      <c r="P536" s="12">
        <f t="shared" ca="1" si="63"/>
        <v>36.490410958904107</v>
      </c>
      <c r="Q536" s="12" t="s">
        <v>26</v>
      </c>
      <c r="R536" s="9" t="s">
        <v>901</v>
      </c>
      <c r="S536" s="24" t="s">
        <v>28</v>
      </c>
      <c r="T536" s="9" t="s">
        <v>29</v>
      </c>
    </row>
    <row r="537" spans="1:20" ht="35.25" customHeight="1">
      <c r="A537" s="6">
        <f t="shared" si="60"/>
        <v>536</v>
      </c>
      <c r="B537" s="17" t="s">
        <v>1570</v>
      </c>
      <c r="C537" s="8" t="s">
        <v>1299</v>
      </c>
      <c r="D537" s="9" t="s">
        <v>26</v>
      </c>
      <c r="E537" s="10">
        <v>29722</v>
      </c>
      <c r="F537" s="11">
        <f t="shared" ca="1" si="57"/>
        <v>42.6</v>
      </c>
      <c r="G537" s="11">
        <f t="shared" si="61"/>
        <v>5</v>
      </c>
      <c r="H537" s="11">
        <f t="shared" si="62"/>
        <v>16</v>
      </c>
      <c r="I537" s="10">
        <v>40352</v>
      </c>
      <c r="J537" s="9" t="s">
        <v>22</v>
      </c>
      <c r="K537" s="9" t="s">
        <v>121</v>
      </c>
      <c r="L537" s="9" t="s">
        <v>122</v>
      </c>
      <c r="M537" s="9" t="s">
        <v>134</v>
      </c>
      <c r="N537" s="11">
        <v>6</v>
      </c>
      <c r="O537" s="12">
        <f t="shared" ca="1" si="58"/>
        <v>13.476712328767123</v>
      </c>
      <c r="P537" s="12">
        <f t="shared" ca="1" si="63"/>
        <v>19.476712328767121</v>
      </c>
      <c r="Q537" s="12" t="s">
        <v>26</v>
      </c>
      <c r="R537" s="9" t="s">
        <v>901</v>
      </c>
      <c r="S537" s="24" t="s">
        <v>36</v>
      </c>
      <c r="T537" s="9" t="s">
        <v>137</v>
      </c>
    </row>
    <row r="538" spans="1:20" ht="35.25" customHeight="1">
      <c r="A538" s="6">
        <f t="shared" si="60"/>
        <v>537</v>
      </c>
      <c r="B538" s="17" t="s">
        <v>1571</v>
      </c>
      <c r="C538" s="8" t="s">
        <v>1572</v>
      </c>
      <c r="D538" s="9" t="s">
        <v>26</v>
      </c>
      <c r="E538" s="10">
        <v>31136</v>
      </c>
      <c r="F538" s="11">
        <f t="shared" ca="1" si="57"/>
        <v>38.726027397260275</v>
      </c>
      <c r="G538" s="11">
        <f t="shared" si="61"/>
        <v>3</v>
      </c>
      <c r="H538" s="11">
        <f t="shared" si="62"/>
        <v>30</v>
      </c>
      <c r="I538" s="10">
        <v>40352</v>
      </c>
      <c r="J538" s="9" t="s">
        <v>50</v>
      </c>
      <c r="K538" s="9" t="s">
        <v>573</v>
      </c>
      <c r="L538" s="9" t="s">
        <v>325</v>
      </c>
      <c r="M538" s="9" t="s">
        <v>156</v>
      </c>
      <c r="N538" s="11">
        <v>0.7</v>
      </c>
      <c r="O538" s="12">
        <f t="shared" ca="1" si="58"/>
        <v>13.476712328767123</v>
      </c>
      <c r="P538" s="12">
        <f t="shared" ca="1" si="63"/>
        <v>14.176712328767122</v>
      </c>
      <c r="Q538" s="12" t="s">
        <v>68</v>
      </c>
      <c r="R538" s="9" t="s">
        <v>901</v>
      </c>
      <c r="S538" s="24" t="s">
        <v>28</v>
      </c>
      <c r="T538" s="9" t="s">
        <v>29</v>
      </c>
    </row>
    <row r="539" spans="1:20" ht="35.25" customHeight="1">
      <c r="A539" s="6">
        <f t="shared" si="60"/>
        <v>538</v>
      </c>
      <c r="B539" s="17" t="s">
        <v>1573</v>
      </c>
      <c r="C539" s="8" t="s">
        <v>1574</v>
      </c>
      <c r="D539" s="9" t="s">
        <v>26</v>
      </c>
      <c r="E539" s="10">
        <v>31907</v>
      </c>
      <c r="F539" s="11">
        <f t="shared" ca="1" si="57"/>
        <v>36.613698630136987</v>
      </c>
      <c r="G539" s="11">
        <f t="shared" si="61"/>
        <v>5</v>
      </c>
      <c r="H539" s="11">
        <f t="shared" si="62"/>
        <v>10</v>
      </c>
      <c r="I539" s="10">
        <v>40353</v>
      </c>
      <c r="J539" s="9" t="s">
        <v>50</v>
      </c>
      <c r="K539" s="9" t="s">
        <v>573</v>
      </c>
      <c r="L539" s="9" t="s">
        <v>325</v>
      </c>
      <c r="M539" s="9" t="s">
        <v>61</v>
      </c>
      <c r="N539" s="11">
        <v>0</v>
      </c>
      <c r="O539" s="12">
        <f t="shared" ca="1" si="58"/>
        <v>13.473972602739726</v>
      </c>
      <c r="P539" s="12">
        <f t="shared" ca="1" si="63"/>
        <v>13.473972602739726</v>
      </c>
      <c r="Q539" s="12" t="s">
        <v>68</v>
      </c>
      <c r="R539" s="9" t="s">
        <v>901</v>
      </c>
      <c r="S539" s="24" t="s">
        <v>28</v>
      </c>
      <c r="T539" s="9" t="s">
        <v>29</v>
      </c>
    </row>
    <row r="540" spans="1:20" ht="35.25" customHeight="1">
      <c r="A540" s="6">
        <f t="shared" si="60"/>
        <v>539</v>
      </c>
      <c r="B540" s="17" t="s">
        <v>1575</v>
      </c>
      <c r="C540" s="8" t="s">
        <v>1576</v>
      </c>
      <c r="D540" s="9" t="s">
        <v>26</v>
      </c>
      <c r="E540" s="10">
        <v>31911</v>
      </c>
      <c r="F540" s="11">
        <f t="shared" ca="1" si="57"/>
        <v>36.602739726027394</v>
      </c>
      <c r="G540" s="11">
        <f t="shared" si="61"/>
        <v>5</v>
      </c>
      <c r="H540" s="11">
        <f t="shared" si="62"/>
        <v>14</v>
      </c>
      <c r="I540" s="10">
        <v>40357</v>
      </c>
      <c r="J540" s="9" t="s">
        <v>226</v>
      </c>
      <c r="K540" s="9" t="s">
        <v>537</v>
      </c>
      <c r="L540" s="9" t="s">
        <v>122</v>
      </c>
      <c r="M540" s="9" t="s">
        <v>35</v>
      </c>
      <c r="N540" s="11">
        <v>1</v>
      </c>
      <c r="O540" s="12">
        <f t="shared" ca="1" si="58"/>
        <v>13.463013698630137</v>
      </c>
      <c r="P540" s="12">
        <f t="shared" ca="1" si="63"/>
        <v>14.463013698630137</v>
      </c>
      <c r="Q540" s="12" t="s">
        <v>68</v>
      </c>
      <c r="R540" s="9" t="s">
        <v>95</v>
      </c>
      <c r="S540" s="24" t="s">
        <v>36</v>
      </c>
      <c r="T540" s="9" t="s">
        <v>37</v>
      </c>
    </row>
    <row r="541" spans="1:20" ht="35.25" customHeight="1">
      <c r="A541" s="6">
        <f t="shared" si="60"/>
        <v>540</v>
      </c>
      <c r="B541" s="17" t="s">
        <v>1577</v>
      </c>
      <c r="C541" s="8" t="s">
        <v>1578</v>
      </c>
      <c r="D541" s="9" t="s">
        <v>26</v>
      </c>
      <c r="E541" s="10">
        <v>30818</v>
      </c>
      <c r="F541" s="11">
        <f t="shared" ca="1" si="57"/>
        <v>39.597260273972601</v>
      </c>
      <c r="G541" s="11">
        <f t="shared" si="61"/>
        <v>5</v>
      </c>
      <c r="H541" s="11">
        <f t="shared" si="62"/>
        <v>16</v>
      </c>
      <c r="I541" s="10">
        <v>40357</v>
      </c>
      <c r="J541" s="9" t="s">
        <v>226</v>
      </c>
      <c r="K541" s="9" t="s">
        <v>537</v>
      </c>
      <c r="L541" s="9" t="s">
        <v>34</v>
      </c>
      <c r="M541" s="9" t="s">
        <v>35</v>
      </c>
      <c r="N541" s="11">
        <v>3</v>
      </c>
      <c r="O541" s="12">
        <f t="shared" ca="1" si="58"/>
        <v>13.463013698630137</v>
      </c>
      <c r="P541" s="12">
        <f t="shared" ca="1" si="63"/>
        <v>16.463013698630135</v>
      </c>
      <c r="Q541" s="12" t="s">
        <v>68</v>
      </c>
      <c r="R541" s="9" t="s">
        <v>901</v>
      </c>
      <c r="S541" s="24" t="s">
        <v>36</v>
      </c>
      <c r="T541" s="9" t="s">
        <v>72</v>
      </c>
    </row>
    <row r="542" spans="1:20" ht="35.25" customHeight="1">
      <c r="A542" s="6">
        <f t="shared" si="60"/>
        <v>541</v>
      </c>
      <c r="B542" s="17" t="s">
        <v>1579</v>
      </c>
      <c r="C542" s="8" t="s">
        <v>1580</v>
      </c>
      <c r="D542" s="9" t="s">
        <v>26</v>
      </c>
      <c r="E542" s="10">
        <v>30185</v>
      </c>
      <c r="F542" s="11">
        <f t="shared" ca="1" si="57"/>
        <v>41.331506849315069</v>
      </c>
      <c r="G542" s="11">
        <f t="shared" si="61"/>
        <v>8</v>
      </c>
      <c r="H542" s="11">
        <f t="shared" si="62"/>
        <v>22</v>
      </c>
      <c r="I542" s="10">
        <v>40360</v>
      </c>
      <c r="J542" s="9" t="s">
        <v>87</v>
      </c>
      <c r="K542" s="9" t="s">
        <v>298</v>
      </c>
      <c r="L542" s="9" t="s">
        <v>60</v>
      </c>
      <c r="M542" s="9" t="s">
        <v>134</v>
      </c>
      <c r="N542" s="11">
        <v>5</v>
      </c>
      <c r="O542" s="12">
        <f t="shared" ca="1" si="58"/>
        <v>13.454794520547946</v>
      </c>
      <c r="P542" s="12">
        <f t="shared" ca="1" si="63"/>
        <v>18.454794520547946</v>
      </c>
      <c r="Q542" s="12" t="s">
        <v>68</v>
      </c>
      <c r="R542" s="9" t="s">
        <v>901</v>
      </c>
      <c r="S542" s="24" t="s">
        <v>36</v>
      </c>
      <c r="T542" s="9" t="s">
        <v>137</v>
      </c>
    </row>
    <row r="543" spans="1:20" ht="35.25" customHeight="1">
      <c r="A543" s="6">
        <f t="shared" si="60"/>
        <v>542</v>
      </c>
      <c r="B543" s="17" t="s">
        <v>1581</v>
      </c>
      <c r="C543" s="8" t="s">
        <v>1582</v>
      </c>
      <c r="D543" s="9" t="s">
        <v>26</v>
      </c>
      <c r="E543" s="10">
        <v>22202</v>
      </c>
      <c r="F543" s="11">
        <f t="shared" ca="1" si="57"/>
        <v>63.202739726027396</v>
      </c>
      <c r="G543" s="11">
        <f t="shared" si="61"/>
        <v>10</v>
      </c>
      <c r="H543" s="11">
        <f t="shared" si="62"/>
        <v>13</v>
      </c>
      <c r="I543" s="10">
        <v>40360</v>
      </c>
      <c r="J543" s="9" t="s">
        <v>50</v>
      </c>
      <c r="K543" s="9" t="s">
        <v>1056</v>
      </c>
      <c r="L543" s="9" t="s">
        <v>38</v>
      </c>
      <c r="M543" s="9" t="s">
        <v>134</v>
      </c>
      <c r="N543" s="11">
        <v>25</v>
      </c>
      <c r="O543" s="12">
        <f t="shared" ca="1" si="58"/>
        <v>13.454794520547946</v>
      </c>
      <c r="P543" s="12">
        <f t="shared" ca="1" si="63"/>
        <v>38.454794520547949</v>
      </c>
      <c r="Q543" s="12" t="s">
        <v>26</v>
      </c>
      <c r="R543" s="9" t="s">
        <v>442</v>
      </c>
      <c r="S543" s="24" t="s">
        <v>36</v>
      </c>
      <c r="T543" s="9" t="s">
        <v>137</v>
      </c>
    </row>
    <row r="544" spans="1:20" ht="35.25" customHeight="1">
      <c r="A544" s="6">
        <f t="shared" si="60"/>
        <v>543</v>
      </c>
      <c r="B544" s="17" t="s">
        <v>1583</v>
      </c>
      <c r="C544" s="8" t="s">
        <v>1584</v>
      </c>
      <c r="D544" s="9" t="s">
        <v>26</v>
      </c>
      <c r="E544" s="10">
        <v>24437</v>
      </c>
      <c r="F544" s="11">
        <f t="shared" ca="1" si="57"/>
        <v>57.079452054794523</v>
      </c>
      <c r="G544" s="11">
        <f t="shared" si="61"/>
        <v>11</v>
      </c>
      <c r="H544" s="11">
        <f t="shared" si="62"/>
        <v>26</v>
      </c>
      <c r="I544" s="10">
        <v>40360</v>
      </c>
      <c r="J544" s="9" t="s">
        <v>192</v>
      </c>
      <c r="K544" s="9" t="s">
        <v>1585</v>
      </c>
      <c r="L544" s="9" t="s">
        <v>1586</v>
      </c>
      <c r="M544" s="9" t="s">
        <v>134</v>
      </c>
      <c r="N544" s="11">
        <v>27</v>
      </c>
      <c r="O544" s="12">
        <f t="shared" ca="1" si="58"/>
        <v>13.454794520547946</v>
      </c>
      <c r="P544" s="12">
        <f t="shared" ca="1" si="63"/>
        <v>40.454794520547949</v>
      </c>
      <c r="Q544" s="12" t="s">
        <v>26</v>
      </c>
      <c r="R544" s="9" t="s">
        <v>27</v>
      </c>
      <c r="S544" s="24" t="s">
        <v>28</v>
      </c>
      <c r="T544" s="9" t="s">
        <v>29</v>
      </c>
    </row>
    <row r="545" spans="1:20" ht="35.25" customHeight="1">
      <c r="A545" s="6">
        <f t="shared" si="60"/>
        <v>544</v>
      </c>
      <c r="B545" s="17" t="s">
        <v>1587</v>
      </c>
      <c r="C545" s="8" t="s">
        <v>1588</v>
      </c>
      <c r="D545" s="9" t="s">
        <v>26</v>
      </c>
      <c r="E545" s="10">
        <v>29770</v>
      </c>
      <c r="F545" s="11">
        <f t="shared" ca="1" si="57"/>
        <v>42.468493150684928</v>
      </c>
      <c r="G545" s="11">
        <f t="shared" si="61"/>
        <v>7</v>
      </c>
      <c r="H545" s="11">
        <f t="shared" si="62"/>
        <v>3</v>
      </c>
      <c r="I545" s="10">
        <v>40354</v>
      </c>
      <c r="J545" s="9" t="s">
        <v>110</v>
      </c>
      <c r="K545" s="9" t="s">
        <v>1165</v>
      </c>
      <c r="L545" s="9" t="s">
        <v>34</v>
      </c>
      <c r="M545" s="9" t="s">
        <v>35</v>
      </c>
      <c r="N545" s="11">
        <v>9</v>
      </c>
      <c r="O545" s="12">
        <f t="shared" ca="1" si="58"/>
        <v>13.471232876712328</v>
      </c>
      <c r="P545" s="12">
        <f t="shared" ca="1" si="63"/>
        <v>22.471232876712328</v>
      </c>
      <c r="Q545" s="12" t="s">
        <v>68</v>
      </c>
      <c r="R545" s="9" t="s">
        <v>901</v>
      </c>
      <c r="S545" s="24" t="s">
        <v>36</v>
      </c>
      <c r="T545" s="9" t="s">
        <v>186</v>
      </c>
    </row>
    <row r="546" spans="1:20" ht="35.25" customHeight="1">
      <c r="A546" s="6">
        <f t="shared" si="60"/>
        <v>545</v>
      </c>
      <c r="B546" s="17" t="s">
        <v>1589</v>
      </c>
      <c r="C546" s="8" t="s">
        <v>895</v>
      </c>
      <c r="D546" s="9" t="s">
        <v>26</v>
      </c>
      <c r="E546" s="10">
        <v>27917</v>
      </c>
      <c r="F546" s="11">
        <f t="shared" ca="1" si="57"/>
        <v>47.545205479452058</v>
      </c>
      <c r="G546" s="11">
        <f t="shared" si="61"/>
        <v>6</v>
      </c>
      <c r="H546" s="11">
        <f t="shared" si="62"/>
        <v>6</v>
      </c>
      <c r="I546" s="10">
        <v>40361</v>
      </c>
      <c r="J546" s="9" t="s">
        <v>58</v>
      </c>
      <c r="K546" s="9" t="s">
        <v>253</v>
      </c>
      <c r="L546" s="9" t="s">
        <v>147</v>
      </c>
      <c r="M546" s="9" t="s">
        <v>25</v>
      </c>
      <c r="N546" s="11">
        <v>13</v>
      </c>
      <c r="O546" s="12">
        <f t="shared" ca="1" si="58"/>
        <v>13.452054794520548</v>
      </c>
      <c r="P546" s="12">
        <f t="shared" ca="1" si="63"/>
        <v>26.452054794520549</v>
      </c>
      <c r="Q546" s="12" t="s">
        <v>26</v>
      </c>
      <c r="R546" s="9" t="s">
        <v>27</v>
      </c>
      <c r="S546" s="24" t="s">
        <v>28</v>
      </c>
      <c r="T546" s="9" t="s">
        <v>29</v>
      </c>
    </row>
    <row r="547" spans="1:20" ht="35.25" customHeight="1">
      <c r="A547" s="6">
        <f t="shared" si="60"/>
        <v>546</v>
      </c>
      <c r="B547" s="17" t="s">
        <v>1590</v>
      </c>
      <c r="C547" s="8" t="s">
        <v>1591</v>
      </c>
      <c r="D547" s="9" t="s">
        <v>26</v>
      </c>
      <c r="E547" s="10">
        <v>24934</v>
      </c>
      <c r="F547" s="11">
        <f t="shared" ca="1" si="57"/>
        <v>55.717808219178082</v>
      </c>
      <c r="G547" s="11">
        <f t="shared" si="61"/>
        <v>4</v>
      </c>
      <c r="H547" s="11">
        <f t="shared" si="62"/>
        <v>6</v>
      </c>
      <c r="I547" s="10">
        <v>40357</v>
      </c>
      <c r="J547" s="9" t="s">
        <v>58</v>
      </c>
      <c r="K547" s="9" t="s">
        <v>1592</v>
      </c>
      <c r="L547" s="9" t="s">
        <v>885</v>
      </c>
      <c r="M547" s="9" t="s">
        <v>205</v>
      </c>
      <c r="N547" s="11">
        <v>21</v>
      </c>
      <c r="O547" s="12">
        <f t="shared" ca="1" si="58"/>
        <v>13.463013698630137</v>
      </c>
      <c r="P547" s="12">
        <f t="shared" ca="1" si="63"/>
        <v>34.463013698630135</v>
      </c>
      <c r="Q547" s="12" t="s">
        <v>26</v>
      </c>
      <c r="R547" s="9" t="s">
        <v>27</v>
      </c>
      <c r="S547" s="24" t="s">
        <v>28</v>
      </c>
      <c r="T547" s="9" t="s">
        <v>29</v>
      </c>
    </row>
    <row r="548" spans="1:20" ht="35.25" customHeight="1">
      <c r="A548" s="6">
        <f t="shared" si="60"/>
        <v>547</v>
      </c>
      <c r="B548" s="17" t="s">
        <v>1593</v>
      </c>
      <c r="C548" s="8" t="s">
        <v>1594</v>
      </c>
      <c r="D548" s="9" t="s">
        <v>26</v>
      </c>
      <c r="E548" s="10">
        <v>28150</v>
      </c>
      <c r="F548" s="11">
        <f t="shared" ca="1" si="57"/>
        <v>46.906849315068492</v>
      </c>
      <c r="G548" s="11">
        <f t="shared" si="61"/>
        <v>1</v>
      </c>
      <c r="H548" s="11">
        <f t="shared" si="62"/>
        <v>25</v>
      </c>
      <c r="I548" s="10">
        <v>40360</v>
      </c>
      <c r="J548" s="9" t="s">
        <v>87</v>
      </c>
      <c r="K548" s="9" t="s">
        <v>1595</v>
      </c>
      <c r="L548" s="9" t="s">
        <v>782</v>
      </c>
      <c r="M548" s="9" t="s">
        <v>134</v>
      </c>
      <c r="N548" s="11">
        <v>2</v>
      </c>
      <c r="O548" s="12">
        <f t="shared" ca="1" si="58"/>
        <v>13.454794520547946</v>
      </c>
      <c r="P548" s="12">
        <f t="shared" ca="1" si="63"/>
        <v>15.454794520547946</v>
      </c>
      <c r="Q548" s="12" t="s">
        <v>26</v>
      </c>
      <c r="R548" s="9" t="s">
        <v>27</v>
      </c>
      <c r="S548" s="24" t="s">
        <v>36</v>
      </c>
      <c r="T548" s="9" t="s">
        <v>137</v>
      </c>
    </row>
    <row r="549" spans="1:20" ht="35.25" customHeight="1">
      <c r="A549" s="6">
        <f t="shared" si="60"/>
        <v>548</v>
      </c>
      <c r="B549" s="17" t="s">
        <v>1596</v>
      </c>
      <c r="C549" s="8" t="s">
        <v>1597</v>
      </c>
      <c r="D549" s="9" t="s">
        <v>26</v>
      </c>
      <c r="E549" s="10">
        <v>24915</v>
      </c>
      <c r="F549" s="11">
        <f t="shared" ca="1" si="57"/>
        <v>55.769863013698632</v>
      </c>
      <c r="G549" s="11">
        <f t="shared" si="61"/>
        <v>3</v>
      </c>
      <c r="H549" s="11">
        <f t="shared" si="62"/>
        <v>18</v>
      </c>
      <c r="I549" s="10">
        <v>40360</v>
      </c>
      <c r="J549" s="9" t="s">
        <v>318</v>
      </c>
      <c r="K549" s="9" t="s">
        <v>258</v>
      </c>
      <c r="L549" s="9" t="s">
        <v>34</v>
      </c>
      <c r="M549" s="9" t="s">
        <v>156</v>
      </c>
      <c r="N549" s="11">
        <v>21</v>
      </c>
      <c r="O549" s="12">
        <f t="shared" ca="1" si="58"/>
        <v>13.454794520547946</v>
      </c>
      <c r="P549" s="12">
        <f t="shared" ca="1" si="63"/>
        <v>34.454794520547949</v>
      </c>
      <c r="Q549" s="12" t="s">
        <v>26</v>
      </c>
      <c r="R549" s="9" t="s">
        <v>27</v>
      </c>
      <c r="S549" s="24" t="s">
        <v>28</v>
      </c>
      <c r="T549" s="9" t="s">
        <v>29</v>
      </c>
    </row>
    <row r="550" spans="1:20" ht="35.25" customHeight="1">
      <c r="A550" s="6">
        <f t="shared" si="60"/>
        <v>549</v>
      </c>
      <c r="B550" s="17" t="s">
        <v>1598</v>
      </c>
      <c r="C550" s="8" t="s">
        <v>1599</v>
      </c>
      <c r="D550" s="9" t="s">
        <v>26</v>
      </c>
      <c r="E550" s="10">
        <v>31568</v>
      </c>
      <c r="F550" s="11">
        <f t="shared" ca="1" si="57"/>
        <v>37.542465753424658</v>
      </c>
      <c r="G550" s="11">
        <f t="shared" si="61"/>
        <v>6</v>
      </c>
      <c r="H550" s="11">
        <f t="shared" si="62"/>
        <v>5</v>
      </c>
      <c r="I550" s="10">
        <v>40364</v>
      </c>
      <c r="J550" s="9" t="s">
        <v>45</v>
      </c>
      <c r="K550" s="9" t="s">
        <v>1600</v>
      </c>
      <c r="L550" s="9" t="s">
        <v>724</v>
      </c>
      <c r="M550" s="9" t="s">
        <v>134</v>
      </c>
      <c r="N550" s="11">
        <v>6</v>
      </c>
      <c r="O550" s="12">
        <f t="shared" ca="1" si="58"/>
        <v>13.443835616438356</v>
      </c>
      <c r="P550" s="12">
        <f t="shared" ca="1" si="63"/>
        <v>19.443835616438356</v>
      </c>
      <c r="Q550" s="12" t="s">
        <v>68</v>
      </c>
      <c r="R550" s="9" t="s">
        <v>27</v>
      </c>
      <c r="S550" s="24" t="s">
        <v>36</v>
      </c>
      <c r="T550" s="9" t="s">
        <v>137</v>
      </c>
    </row>
    <row r="551" spans="1:20" ht="35.25" customHeight="1">
      <c r="A551" s="6">
        <f t="shared" si="60"/>
        <v>550</v>
      </c>
      <c r="B551" s="17" t="s">
        <v>1601</v>
      </c>
      <c r="C551" s="8" t="s">
        <v>1602</v>
      </c>
      <c r="D551" s="9" t="s">
        <v>26</v>
      </c>
      <c r="E551" s="10">
        <v>31059</v>
      </c>
      <c r="F551" s="11">
        <f t="shared" ca="1" si="57"/>
        <v>38.936986301369863</v>
      </c>
      <c r="G551" s="11">
        <f t="shared" si="61"/>
        <v>1</v>
      </c>
      <c r="H551" s="11">
        <f t="shared" si="62"/>
        <v>12</v>
      </c>
      <c r="I551" s="10">
        <v>40364</v>
      </c>
      <c r="J551" s="9" t="s">
        <v>45</v>
      </c>
      <c r="K551" s="9" t="s">
        <v>1600</v>
      </c>
      <c r="L551" s="9" t="s">
        <v>724</v>
      </c>
      <c r="M551" s="9" t="s">
        <v>134</v>
      </c>
      <c r="N551" s="11">
        <v>4</v>
      </c>
      <c r="O551" s="12">
        <f t="shared" ca="1" si="58"/>
        <v>13.443835616438356</v>
      </c>
      <c r="P551" s="12">
        <f t="shared" ca="1" si="63"/>
        <v>17.443835616438356</v>
      </c>
      <c r="Q551" s="12" t="s">
        <v>26</v>
      </c>
      <c r="R551" s="9" t="s">
        <v>27</v>
      </c>
      <c r="S551" s="24" t="s">
        <v>36</v>
      </c>
      <c r="T551" s="9" t="s">
        <v>137</v>
      </c>
    </row>
    <row r="552" spans="1:20" ht="35.25" customHeight="1">
      <c r="A552" s="6">
        <f t="shared" si="60"/>
        <v>551</v>
      </c>
      <c r="B552" s="17" t="s">
        <v>1604</v>
      </c>
      <c r="C552" s="8" t="s">
        <v>1605</v>
      </c>
      <c r="D552" s="9" t="s">
        <v>21</v>
      </c>
      <c r="E552" s="10">
        <v>28566</v>
      </c>
      <c r="F552" s="11">
        <f t="shared" ca="1" si="57"/>
        <v>45.767123287671232</v>
      </c>
      <c r="G552" s="11">
        <f t="shared" si="61"/>
        <v>3</v>
      </c>
      <c r="H552" s="11">
        <f t="shared" si="62"/>
        <v>17</v>
      </c>
      <c r="I552" s="10">
        <v>40366</v>
      </c>
      <c r="J552" s="9" t="s">
        <v>87</v>
      </c>
      <c r="K552" s="9" t="s">
        <v>1606</v>
      </c>
      <c r="L552" s="9" t="s">
        <v>938</v>
      </c>
      <c r="M552" s="9" t="s">
        <v>134</v>
      </c>
      <c r="N552" s="11">
        <v>9</v>
      </c>
      <c r="O552" s="12">
        <f t="shared" ca="1" si="58"/>
        <v>13.438356164383562</v>
      </c>
      <c r="P552" s="12">
        <f t="shared" ca="1" si="63"/>
        <v>22.438356164383563</v>
      </c>
      <c r="Q552" s="12" t="s">
        <v>68</v>
      </c>
      <c r="R552" s="9" t="s">
        <v>442</v>
      </c>
      <c r="S552" s="24" t="s">
        <v>36</v>
      </c>
      <c r="T552" s="9" t="s">
        <v>137</v>
      </c>
    </row>
    <row r="553" spans="1:20" ht="35.25" customHeight="1">
      <c r="A553" s="6">
        <f t="shared" si="60"/>
        <v>552</v>
      </c>
      <c r="B553" s="17" t="s">
        <v>1607</v>
      </c>
      <c r="C553" s="8" t="s">
        <v>1608</v>
      </c>
      <c r="D553" s="9" t="s">
        <v>26</v>
      </c>
      <c r="E553" s="10">
        <v>29028</v>
      </c>
      <c r="F553" s="11">
        <f t="shared" ca="1" si="57"/>
        <v>44.5013698630137</v>
      </c>
      <c r="G553" s="11">
        <f t="shared" si="61"/>
        <v>6</v>
      </c>
      <c r="H553" s="11">
        <f t="shared" si="62"/>
        <v>22</v>
      </c>
      <c r="I553" s="10">
        <v>40366</v>
      </c>
      <c r="J553" s="9" t="s">
        <v>22</v>
      </c>
      <c r="K553" s="9" t="s">
        <v>1609</v>
      </c>
      <c r="L553" s="9" t="s">
        <v>204</v>
      </c>
      <c r="M553" s="9" t="s">
        <v>134</v>
      </c>
      <c r="N553" s="11">
        <v>9</v>
      </c>
      <c r="O553" s="12">
        <f t="shared" ca="1" si="58"/>
        <v>13.438356164383562</v>
      </c>
      <c r="P553" s="12">
        <f t="shared" ca="1" si="63"/>
        <v>22.438356164383563</v>
      </c>
      <c r="Q553" s="12" t="s">
        <v>26</v>
      </c>
      <c r="R553" s="9" t="s">
        <v>901</v>
      </c>
      <c r="S553" s="24" t="s">
        <v>36</v>
      </c>
      <c r="T553" s="9" t="s">
        <v>137</v>
      </c>
    </row>
    <row r="554" spans="1:20" ht="35.25" customHeight="1">
      <c r="A554" s="6">
        <f t="shared" si="60"/>
        <v>553</v>
      </c>
      <c r="B554" s="17" t="s">
        <v>1610</v>
      </c>
      <c r="C554" s="8" t="s">
        <v>1611</v>
      </c>
      <c r="D554" s="9" t="s">
        <v>26</v>
      </c>
      <c r="E554" s="10">
        <v>30908</v>
      </c>
      <c r="F554" s="11">
        <f t="shared" ca="1" si="57"/>
        <v>39.350684931506848</v>
      </c>
      <c r="G554" s="11">
        <f t="shared" si="61"/>
        <v>8</v>
      </c>
      <c r="H554" s="11">
        <f t="shared" si="62"/>
        <v>14</v>
      </c>
      <c r="I554" s="10">
        <v>40366</v>
      </c>
      <c r="J554" s="9" t="s">
        <v>110</v>
      </c>
      <c r="K554" s="9" t="s">
        <v>63</v>
      </c>
      <c r="L554" s="9" t="s">
        <v>147</v>
      </c>
      <c r="M554" s="9" t="s">
        <v>156</v>
      </c>
      <c r="N554" s="11">
        <v>4</v>
      </c>
      <c r="O554" s="12">
        <f t="shared" ca="1" si="58"/>
        <v>13.438356164383562</v>
      </c>
      <c r="P554" s="12">
        <f t="shared" ca="1" si="63"/>
        <v>17.438356164383563</v>
      </c>
      <c r="Q554" s="12" t="s">
        <v>26</v>
      </c>
      <c r="R554" s="9" t="s">
        <v>27</v>
      </c>
      <c r="S554" s="24" t="s">
        <v>28</v>
      </c>
      <c r="T554" s="9" t="s">
        <v>29</v>
      </c>
    </row>
    <row r="555" spans="1:20" ht="35.25" customHeight="1">
      <c r="A555" s="6">
        <f t="shared" si="60"/>
        <v>554</v>
      </c>
      <c r="B555" s="17" t="s">
        <v>1612</v>
      </c>
      <c r="C555" s="8" t="s">
        <v>1613</v>
      </c>
      <c r="D555" s="9" t="s">
        <v>26</v>
      </c>
      <c r="E555" s="10">
        <v>27970</v>
      </c>
      <c r="F555" s="11">
        <f t="shared" ca="1" si="57"/>
        <v>47.4</v>
      </c>
      <c r="G555" s="11">
        <f t="shared" si="61"/>
        <v>7</v>
      </c>
      <c r="H555" s="11">
        <f t="shared" si="62"/>
        <v>29</v>
      </c>
      <c r="I555" s="10">
        <v>40368</v>
      </c>
      <c r="J555" s="9" t="s">
        <v>66</v>
      </c>
      <c r="K555" s="9" t="s">
        <v>1614</v>
      </c>
      <c r="L555" s="9" t="s">
        <v>1091</v>
      </c>
      <c r="M555" s="9" t="s">
        <v>25</v>
      </c>
      <c r="N555" s="11">
        <v>9</v>
      </c>
      <c r="O555" s="12">
        <f t="shared" ca="1" si="58"/>
        <v>13.432876712328767</v>
      </c>
      <c r="P555" s="12">
        <f t="shared" ca="1" si="63"/>
        <v>22.432876712328767</v>
      </c>
      <c r="Q555" s="12" t="s">
        <v>26</v>
      </c>
      <c r="R555" s="9" t="s">
        <v>792</v>
      </c>
      <c r="S555" s="24" t="s">
        <v>28</v>
      </c>
      <c r="T555" s="9" t="s">
        <v>29</v>
      </c>
    </row>
    <row r="556" spans="1:20" ht="35.25" customHeight="1">
      <c r="A556" s="6">
        <f t="shared" si="60"/>
        <v>555</v>
      </c>
      <c r="B556" s="17" t="s">
        <v>1615</v>
      </c>
      <c r="C556" s="8" t="s">
        <v>1616</v>
      </c>
      <c r="D556" s="9" t="s">
        <v>26</v>
      </c>
      <c r="E556" s="10">
        <v>26031</v>
      </c>
      <c r="F556" s="11">
        <f t="shared" ca="1" si="57"/>
        <v>52.712328767123289</v>
      </c>
      <c r="G556" s="11">
        <f t="shared" si="61"/>
        <v>4</v>
      </c>
      <c r="H556" s="11">
        <f t="shared" si="62"/>
        <v>8</v>
      </c>
      <c r="I556" s="10">
        <v>40369</v>
      </c>
      <c r="J556" s="9" t="s">
        <v>32</v>
      </c>
      <c r="K556" s="9" t="s">
        <v>313</v>
      </c>
      <c r="L556" s="9" t="s">
        <v>180</v>
      </c>
      <c r="M556" s="9" t="s">
        <v>25</v>
      </c>
      <c r="N556" s="11">
        <v>14.7</v>
      </c>
      <c r="O556" s="12">
        <f t="shared" ca="1" si="58"/>
        <v>13.43013698630137</v>
      </c>
      <c r="P556" s="12">
        <f t="shared" ca="1" si="63"/>
        <v>28.13013698630137</v>
      </c>
      <c r="Q556" s="12" t="s">
        <v>26</v>
      </c>
      <c r="R556" s="16" t="s">
        <v>901</v>
      </c>
      <c r="S556" s="24" t="s">
        <v>28</v>
      </c>
      <c r="T556" s="9" t="s">
        <v>29</v>
      </c>
    </row>
    <row r="557" spans="1:20" ht="35.25" customHeight="1">
      <c r="A557" s="6">
        <f t="shared" si="60"/>
        <v>556</v>
      </c>
      <c r="B557" s="17" t="s">
        <v>1617</v>
      </c>
      <c r="C557" s="8" t="s">
        <v>1618</v>
      </c>
      <c r="D557" s="9" t="s">
        <v>26</v>
      </c>
      <c r="E557" s="10">
        <v>28642</v>
      </c>
      <c r="F557" s="11">
        <f t="shared" ca="1" si="57"/>
        <v>45.558904109589044</v>
      </c>
      <c r="G557" s="11">
        <f t="shared" si="61"/>
        <v>6</v>
      </c>
      <c r="H557" s="11">
        <f t="shared" si="62"/>
        <v>1</v>
      </c>
      <c r="I557" s="10">
        <v>40367</v>
      </c>
      <c r="J557" s="9" t="s">
        <v>45</v>
      </c>
      <c r="K557" s="9" t="s">
        <v>1600</v>
      </c>
      <c r="L557" s="9" t="s">
        <v>724</v>
      </c>
      <c r="M557" s="9" t="s">
        <v>134</v>
      </c>
      <c r="N557" s="11">
        <v>16</v>
      </c>
      <c r="O557" s="12">
        <f t="shared" ca="1" si="58"/>
        <v>13.435616438356165</v>
      </c>
      <c r="P557" s="12">
        <f t="shared" ca="1" si="63"/>
        <v>29.435616438356163</v>
      </c>
      <c r="Q557" s="12" t="s">
        <v>26</v>
      </c>
      <c r="R557" s="9" t="s">
        <v>95</v>
      </c>
      <c r="S557" s="24" t="s">
        <v>36</v>
      </c>
      <c r="T557" s="9" t="s">
        <v>137</v>
      </c>
    </row>
    <row r="558" spans="1:20" ht="35.25" customHeight="1">
      <c r="A558" s="6">
        <f t="shared" si="60"/>
        <v>557</v>
      </c>
      <c r="B558" s="17" t="s">
        <v>1619</v>
      </c>
      <c r="C558" s="8" t="s">
        <v>1620</v>
      </c>
      <c r="D558" s="9" t="s">
        <v>26</v>
      </c>
      <c r="E558" s="10">
        <v>29925</v>
      </c>
      <c r="F558" s="11">
        <f t="shared" ca="1" si="57"/>
        <v>42.043835616438358</v>
      </c>
      <c r="G558" s="11">
        <f t="shared" si="61"/>
        <v>12</v>
      </c>
      <c r="H558" s="11">
        <f t="shared" si="62"/>
        <v>5</v>
      </c>
      <c r="I558" s="10">
        <v>40367</v>
      </c>
      <c r="J558" s="9" t="s">
        <v>45</v>
      </c>
      <c r="K558" s="9" t="s">
        <v>1600</v>
      </c>
      <c r="L558" s="9" t="s">
        <v>724</v>
      </c>
      <c r="M558" s="9" t="s">
        <v>134</v>
      </c>
      <c r="N558" s="11">
        <v>11</v>
      </c>
      <c r="O558" s="12">
        <f t="shared" ca="1" si="58"/>
        <v>13.435616438356165</v>
      </c>
      <c r="P558" s="12">
        <f t="shared" ca="1" si="63"/>
        <v>24.435616438356163</v>
      </c>
      <c r="Q558" s="12" t="s">
        <v>26</v>
      </c>
      <c r="R558" s="9" t="s">
        <v>772</v>
      </c>
      <c r="S558" s="24" t="s">
        <v>36</v>
      </c>
      <c r="T558" s="9" t="s">
        <v>137</v>
      </c>
    </row>
    <row r="559" spans="1:20" ht="35.25" customHeight="1">
      <c r="A559" s="6">
        <f t="shared" si="60"/>
        <v>558</v>
      </c>
      <c r="B559" s="17" t="s">
        <v>1621</v>
      </c>
      <c r="C559" s="8" t="s">
        <v>1029</v>
      </c>
      <c r="D559" s="9" t="s">
        <v>26</v>
      </c>
      <c r="E559" s="10">
        <v>27565</v>
      </c>
      <c r="F559" s="11">
        <f t="shared" ca="1" si="57"/>
        <v>48.509589041095893</v>
      </c>
      <c r="G559" s="11">
        <f t="shared" si="61"/>
        <v>6</v>
      </c>
      <c r="H559" s="11">
        <f t="shared" si="62"/>
        <v>20</v>
      </c>
      <c r="I559" s="10">
        <v>40366</v>
      </c>
      <c r="J559" s="9" t="s">
        <v>45</v>
      </c>
      <c r="K559" s="9" t="s">
        <v>1600</v>
      </c>
      <c r="L559" s="9" t="s">
        <v>724</v>
      </c>
      <c r="M559" s="9" t="s">
        <v>134</v>
      </c>
      <c r="N559" s="11">
        <v>10</v>
      </c>
      <c r="O559" s="12">
        <f t="shared" ca="1" si="58"/>
        <v>13.438356164383562</v>
      </c>
      <c r="P559" s="12">
        <f t="shared" ca="1" si="63"/>
        <v>23.438356164383563</v>
      </c>
      <c r="Q559" s="12" t="s">
        <v>26</v>
      </c>
      <c r="R559" s="9" t="s">
        <v>27</v>
      </c>
      <c r="S559" s="24" t="s">
        <v>36</v>
      </c>
      <c r="T559" s="9" t="s">
        <v>137</v>
      </c>
    </row>
    <row r="560" spans="1:20" ht="35.25" customHeight="1">
      <c r="A560" s="6">
        <f t="shared" si="60"/>
        <v>559</v>
      </c>
      <c r="B560" s="60" t="s">
        <v>1622</v>
      </c>
      <c r="C560" s="8" t="s">
        <v>1623</v>
      </c>
      <c r="D560" s="9" t="s">
        <v>26</v>
      </c>
      <c r="E560" s="10">
        <v>26389</v>
      </c>
      <c r="F560" s="11">
        <f t="shared" ca="1" si="57"/>
        <v>51.731506849315068</v>
      </c>
      <c r="G560" s="11">
        <f t="shared" si="61"/>
        <v>3</v>
      </c>
      <c r="H560" s="11">
        <f t="shared" si="62"/>
        <v>31</v>
      </c>
      <c r="I560" s="10">
        <v>40371</v>
      </c>
      <c r="J560" s="9" t="s">
        <v>87</v>
      </c>
      <c r="K560" s="9" t="s">
        <v>1531</v>
      </c>
      <c r="L560" s="9" t="s">
        <v>38</v>
      </c>
      <c r="M560" s="9" t="s">
        <v>134</v>
      </c>
      <c r="N560" s="11">
        <v>15</v>
      </c>
      <c r="O560" s="12">
        <f t="shared" ca="1" si="58"/>
        <v>13.424657534246576</v>
      </c>
      <c r="P560" s="12">
        <f t="shared" ca="1" si="63"/>
        <v>28.424657534246577</v>
      </c>
      <c r="Q560" s="12" t="s">
        <v>26</v>
      </c>
      <c r="R560" s="9" t="s">
        <v>27</v>
      </c>
      <c r="S560" s="24" t="s">
        <v>36</v>
      </c>
      <c r="T560" s="9" t="s">
        <v>137</v>
      </c>
    </row>
    <row r="561" spans="1:20" ht="35.25" customHeight="1">
      <c r="A561" s="6">
        <f t="shared" si="60"/>
        <v>560</v>
      </c>
      <c r="B561" s="17" t="s">
        <v>1625</v>
      </c>
      <c r="C561" s="8" t="s">
        <v>1626</v>
      </c>
      <c r="D561" s="9" t="s">
        <v>26</v>
      </c>
      <c r="E561" s="10">
        <v>28089</v>
      </c>
      <c r="F561" s="11">
        <f t="shared" ca="1" si="57"/>
        <v>47.073972602739723</v>
      </c>
      <c r="G561" s="11">
        <f t="shared" si="61"/>
        <v>11</v>
      </c>
      <c r="H561" s="11">
        <f t="shared" si="62"/>
        <v>25</v>
      </c>
      <c r="I561" s="10">
        <v>40371</v>
      </c>
      <c r="J561" s="9" t="s">
        <v>22</v>
      </c>
      <c r="K561" s="9" t="s">
        <v>1428</v>
      </c>
      <c r="L561" s="9" t="s">
        <v>34</v>
      </c>
      <c r="M561" s="9" t="s">
        <v>35</v>
      </c>
      <c r="N561" s="11">
        <v>11.4</v>
      </c>
      <c r="O561" s="12">
        <f t="shared" ca="1" si="58"/>
        <v>13.424657534246576</v>
      </c>
      <c r="P561" s="12">
        <f t="shared" ca="1" si="63"/>
        <v>24.824657534246576</v>
      </c>
      <c r="Q561" s="12" t="s">
        <v>26</v>
      </c>
      <c r="R561" s="9" t="s">
        <v>27</v>
      </c>
      <c r="S561" s="24" t="s">
        <v>36</v>
      </c>
      <c r="T561" s="9" t="s">
        <v>951</v>
      </c>
    </row>
    <row r="562" spans="1:20" ht="35.25" customHeight="1">
      <c r="A562" s="6">
        <f t="shared" si="60"/>
        <v>561</v>
      </c>
      <c r="B562" s="17" t="s">
        <v>1627</v>
      </c>
      <c r="C562" s="8" t="s">
        <v>1628</v>
      </c>
      <c r="D562" s="9" t="s">
        <v>26</v>
      </c>
      <c r="E562" s="10">
        <v>28248</v>
      </c>
      <c r="F562" s="11">
        <f t="shared" ca="1" si="57"/>
        <v>46.638356164383559</v>
      </c>
      <c r="G562" s="11">
        <f t="shared" si="61"/>
        <v>5</v>
      </c>
      <c r="H562" s="11">
        <f t="shared" si="62"/>
        <v>3</v>
      </c>
      <c r="I562" s="10">
        <v>40371</v>
      </c>
      <c r="J562" s="9" t="s">
        <v>110</v>
      </c>
      <c r="K562" s="9" t="s">
        <v>1165</v>
      </c>
      <c r="L562" s="9" t="s">
        <v>34</v>
      </c>
      <c r="M562" s="9" t="s">
        <v>35</v>
      </c>
      <c r="N562" s="11">
        <v>9</v>
      </c>
      <c r="O562" s="12">
        <f t="shared" ca="1" si="58"/>
        <v>13.424657534246576</v>
      </c>
      <c r="P562" s="12">
        <f t="shared" ca="1" si="63"/>
        <v>22.424657534246577</v>
      </c>
      <c r="Q562" s="12" t="s">
        <v>26</v>
      </c>
      <c r="R562" s="9" t="s">
        <v>27</v>
      </c>
      <c r="S562" s="24" t="s">
        <v>36</v>
      </c>
      <c r="T562" s="9" t="s">
        <v>137</v>
      </c>
    </row>
    <row r="563" spans="1:20" ht="35.25" customHeight="1">
      <c r="A563" s="6">
        <f t="shared" si="60"/>
        <v>562</v>
      </c>
      <c r="B563" s="17" t="s">
        <v>1629</v>
      </c>
      <c r="C563" s="8" t="s">
        <v>1630</v>
      </c>
      <c r="D563" s="9" t="s">
        <v>21</v>
      </c>
      <c r="E563" s="10">
        <v>31923</v>
      </c>
      <c r="F563" s="11">
        <f t="shared" ca="1" si="57"/>
        <v>36.56986301369863</v>
      </c>
      <c r="G563" s="11">
        <f t="shared" si="61"/>
        <v>5</v>
      </c>
      <c r="H563" s="11">
        <f t="shared" si="62"/>
        <v>26</v>
      </c>
      <c r="I563" s="10">
        <v>40360</v>
      </c>
      <c r="J563" s="9" t="s">
        <v>110</v>
      </c>
      <c r="K563" s="9" t="s">
        <v>63</v>
      </c>
      <c r="L563" s="9" t="s">
        <v>204</v>
      </c>
      <c r="M563" s="9" t="s">
        <v>156</v>
      </c>
      <c r="N563" s="11">
        <v>0.8</v>
      </c>
      <c r="O563" s="12">
        <f t="shared" ca="1" si="58"/>
        <v>13.454794520547946</v>
      </c>
      <c r="P563" s="12">
        <f t="shared" ca="1" si="63"/>
        <v>14.254794520547946</v>
      </c>
      <c r="Q563" s="12" t="s">
        <v>68</v>
      </c>
      <c r="R563" s="9" t="s">
        <v>27</v>
      </c>
      <c r="S563" s="24" t="s">
        <v>28</v>
      </c>
      <c r="T563" s="9" t="s">
        <v>29</v>
      </c>
    </row>
    <row r="564" spans="1:20" ht="35.25" customHeight="1">
      <c r="A564" s="6">
        <f t="shared" si="60"/>
        <v>563</v>
      </c>
      <c r="B564" s="17" t="s">
        <v>1631</v>
      </c>
      <c r="C564" s="8" t="s">
        <v>1632</v>
      </c>
      <c r="D564" s="9" t="s">
        <v>26</v>
      </c>
      <c r="E564" s="10">
        <v>30053</v>
      </c>
      <c r="F564" s="11">
        <f t="shared" ca="1" si="57"/>
        <v>41.69315068493151</v>
      </c>
      <c r="G564" s="11">
        <f t="shared" si="61"/>
        <v>4</v>
      </c>
      <c r="H564" s="11">
        <f t="shared" si="62"/>
        <v>12</v>
      </c>
      <c r="I564" s="10">
        <v>40373</v>
      </c>
      <c r="J564" s="9" t="s">
        <v>22</v>
      </c>
      <c r="K564" s="9" t="s">
        <v>241</v>
      </c>
      <c r="L564" s="9" t="s">
        <v>34</v>
      </c>
      <c r="M564" s="9" t="s">
        <v>156</v>
      </c>
      <c r="N564" s="11">
        <v>8</v>
      </c>
      <c r="O564" s="12">
        <f t="shared" ca="1" si="58"/>
        <v>13.419178082191781</v>
      </c>
      <c r="P564" s="12">
        <f t="shared" ca="1" si="63"/>
        <v>21.419178082191781</v>
      </c>
      <c r="Q564" s="12" t="s">
        <v>68</v>
      </c>
      <c r="R564" s="9" t="s">
        <v>27</v>
      </c>
      <c r="S564" s="24" t="s">
        <v>28</v>
      </c>
      <c r="T564" s="9" t="s">
        <v>114</v>
      </c>
    </row>
    <row r="565" spans="1:20" ht="35.25" customHeight="1">
      <c r="A565" s="6">
        <f t="shared" si="60"/>
        <v>564</v>
      </c>
      <c r="B565" s="17" t="s">
        <v>1633</v>
      </c>
      <c r="C565" s="8" t="s">
        <v>1634</v>
      </c>
      <c r="D565" s="9" t="s">
        <v>21</v>
      </c>
      <c r="E565" s="10">
        <v>31942</v>
      </c>
      <c r="F565" s="11">
        <f t="shared" ca="1" si="57"/>
        <v>36.517808219178079</v>
      </c>
      <c r="G565" s="11">
        <f t="shared" si="61"/>
        <v>6</v>
      </c>
      <c r="H565" s="11">
        <f t="shared" si="62"/>
        <v>14</v>
      </c>
      <c r="I565" s="10">
        <v>40360</v>
      </c>
      <c r="J565" s="9" t="s">
        <v>110</v>
      </c>
      <c r="K565" s="9" t="s">
        <v>1212</v>
      </c>
      <c r="L565" s="9" t="s">
        <v>24</v>
      </c>
      <c r="M565" s="9" t="s">
        <v>25</v>
      </c>
      <c r="N565" s="11">
        <v>4.5</v>
      </c>
      <c r="O565" s="12">
        <f t="shared" ca="1" si="58"/>
        <v>13.454794520547946</v>
      </c>
      <c r="P565" s="12">
        <f t="shared" ca="1" si="63"/>
        <v>17.954794520547946</v>
      </c>
      <c r="Q565" s="12" t="s">
        <v>68</v>
      </c>
      <c r="R565" s="9" t="s">
        <v>27</v>
      </c>
      <c r="S565" s="24" t="s">
        <v>28</v>
      </c>
      <c r="T565" s="9" t="s">
        <v>29</v>
      </c>
    </row>
    <row r="566" spans="1:20" ht="35.25" customHeight="1">
      <c r="A566" s="6">
        <f t="shared" si="60"/>
        <v>565</v>
      </c>
      <c r="B566" s="54" t="s">
        <v>1635</v>
      </c>
      <c r="C566" s="54" t="s">
        <v>1636</v>
      </c>
      <c r="D566" s="55" t="s">
        <v>26</v>
      </c>
      <c r="E566" s="56">
        <v>23893</v>
      </c>
      <c r="F566" s="57">
        <f t="shared" ca="1" si="57"/>
        <v>58.56986301369863</v>
      </c>
      <c r="G566" s="57">
        <f t="shared" si="61"/>
        <v>5</v>
      </c>
      <c r="H566" s="57">
        <f t="shared" si="62"/>
        <v>31</v>
      </c>
      <c r="I566" s="56">
        <v>40373</v>
      </c>
      <c r="J566" s="55" t="s">
        <v>66</v>
      </c>
      <c r="K566" s="55" t="s">
        <v>1637</v>
      </c>
      <c r="L566" s="55" t="s">
        <v>1638</v>
      </c>
      <c r="M566" s="55" t="s">
        <v>35</v>
      </c>
      <c r="N566" s="57">
        <v>9.5</v>
      </c>
      <c r="O566" s="58">
        <f t="shared" ca="1" si="58"/>
        <v>13.419178082191781</v>
      </c>
      <c r="P566" s="58">
        <f t="shared" ca="1" si="63"/>
        <v>22.919178082191781</v>
      </c>
      <c r="Q566" s="58" t="s">
        <v>26</v>
      </c>
      <c r="R566" s="55" t="s">
        <v>27</v>
      </c>
      <c r="S566" s="59" t="s">
        <v>28</v>
      </c>
      <c r="T566" s="55" t="s">
        <v>1639</v>
      </c>
    </row>
    <row r="567" spans="1:20" ht="35.25" customHeight="1">
      <c r="A567" s="6">
        <f t="shared" si="60"/>
        <v>566</v>
      </c>
      <c r="B567" s="17" t="s">
        <v>1640</v>
      </c>
      <c r="C567" s="8" t="s">
        <v>1641</v>
      </c>
      <c r="D567" s="9" t="s">
        <v>26</v>
      </c>
      <c r="E567" s="10">
        <v>30845</v>
      </c>
      <c r="F567" s="11">
        <f t="shared" ca="1" si="57"/>
        <v>39.523287671232879</v>
      </c>
      <c r="G567" s="11">
        <f t="shared" si="61"/>
        <v>6</v>
      </c>
      <c r="H567" s="11">
        <f t="shared" si="62"/>
        <v>12</v>
      </c>
      <c r="I567" s="10">
        <v>40373</v>
      </c>
      <c r="J567" s="9" t="s">
        <v>87</v>
      </c>
      <c r="K567" s="9" t="s">
        <v>216</v>
      </c>
      <c r="L567" s="9" t="s">
        <v>231</v>
      </c>
      <c r="M567" s="9" t="s">
        <v>156</v>
      </c>
      <c r="N567" s="11">
        <v>4</v>
      </c>
      <c r="O567" s="12">
        <f t="shared" ca="1" si="58"/>
        <v>13.419178082191781</v>
      </c>
      <c r="P567" s="12">
        <f t="shared" ca="1" si="63"/>
        <v>17.419178082191781</v>
      </c>
      <c r="Q567" s="12" t="s">
        <v>26</v>
      </c>
      <c r="R567" s="9" t="s">
        <v>27</v>
      </c>
      <c r="S567" s="24" t="s">
        <v>36</v>
      </c>
      <c r="T567" s="9" t="s">
        <v>90</v>
      </c>
    </row>
    <row r="568" spans="1:20" ht="35.25" customHeight="1">
      <c r="A568" s="6">
        <f t="shared" si="60"/>
        <v>567</v>
      </c>
      <c r="B568" s="17" t="s">
        <v>1642</v>
      </c>
      <c r="C568" s="8" t="s">
        <v>1643</v>
      </c>
      <c r="D568" s="9" t="s">
        <v>26</v>
      </c>
      <c r="E568" s="10">
        <v>30457</v>
      </c>
      <c r="F568" s="11">
        <f t="shared" ca="1" si="57"/>
        <v>40.586301369863016</v>
      </c>
      <c r="G568" s="11">
        <f t="shared" si="61"/>
        <v>5</v>
      </c>
      <c r="H568" s="11">
        <f t="shared" si="62"/>
        <v>21</v>
      </c>
      <c r="I568" s="10">
        <v>40374</v>
      </c>
      <c r="J568" s="9" t="s">
        <v>87</v>
      </c>
      <c r="K568" s="9" t="s">
        <v>332</v>
      </c>
      <c r="L568" s="9" t="s">
        <v>34</v>
      </c>
      <c r="M568" s="9" t="s">
        <v>35</v>
      </c>
      <c r="N568" s="11">
        <v>7</v>
      </c>
      <c r="O568" s="12">
        <f t="shared" ca="1" si="58"/>
        <v>13.416438356164383</v>
      </c>
      <c r="P568" s="12">
        <f t="shared" ca="1" si="63"/>
        <v>20.416438356164385</v>
      </c>
      <c r="Q568" s="12" t="s">
        <v>68</v>
      </c>
      <c r="R568" s="9" t="s">
        <v>27</v>
      </c>
      <c r="S568" s="24" t="s">
        <v>36</v>
      </c>
      <c r="T568" s="9" t="s">
        <v>1644</v>
      </c>
    </row>
    <row r="569" spans="1:20" s="52" customFormat="1" ht="35.25" customHeight="1">
      <c r="A569" s="6">
        <f t="shared" si="60"/>
        <v>568</v>
      </c>
      <c r="B569" s="17" t="s">
        <v>1645</v>
      </c>
      <c r="C569" s="8" t="s">
        <v>1646</v>
      </c>
      <c r="D569" s="9" t="s">
        <v>26</v>
      </c>
      <c r="E569" s="10">
        <v>28627</v>
      </c>
      <c r="F569" s="11">
        <f t="shared" ca="1" si="57"/>
        <v>45.6</v>
      </c>
      <c r="G569" s="11">
        <f t="shared" si="61"/>
        <v>5</v>
      </c>
      <c r="H569" s="11">
        <f t="shared" si="62"/>
        <v>17</v>
      </c>
      <c r="I569" s="10">
        <v>40375</v>
      </c>
      <c r="J569" s="9" t="s">
        <v>58</v>
      </c>
      <c r="K569" s="9" t="s">
        <v>1647</v>
      </c>
      <c r="L569" s="9" t="s">
        <v>1091</v>
      </c>
      <c r="M569" s="9" t="s">
        <v>25</v>
      </c>
      <c r="N569" s="11">
        <v>5.8</v>
      </c>
      <c r="O569" s="12">
        <f t="shared" ca="1" si="58"/>
        <v>13.413698630136986</v>
      </c>
      <c r="P569" s="12">
        <f t="shared" ca="1" si="63"/>
        <v>19.213698630136985</v>
      </c>
      <c r="Q569" s="12" t="s">
        <v>26</v>
      </c>
      <c r="R569" s="9" t="s">
        <v>901</v>
      </c>
      <c r="S569" s="24" t="s">
        <v>28</v>
      </c>
      <c r="T569" s="9" t="s">
        <v>29</v>
      </c>
    </row>
    <row r="570" spans="1:20" ht="35.25" customHeight="1">
      <c r="A570" s="6">
        <f t="shared" si="60"/>
        <v>569</v>
      </c>
      <c r="B570" s="17" t="s">
        <v>1648</v>
      </c>
      <c r="C570" s="8" t="s">
        <v>1649</v>
      </c>
      <c r="D570" s="9" t="s">
        <v>26</v>
      </c>
      <c r="E570" s="10">
        <v>30972</v>
      </c>
      <c r="F570" s="11">
        <f t="shared" ca="1" si="57"/>
        <v>39.175342465753424</v>
      </c>
      <c r="G570" s="11">
        <f t="shared" si="61"/>
        <v>10</v>
      </c>
      <c r="H570" s="11">
        <f t="shared" si="62"/>
        <v>17</v>
      </c>
      <c r="I570" s="10">
        <v>40374</v>
      </c>
      <c r="J570" s="9" t="s">
        <v>41</v>
      </c>
      <c r="K570" s="9" t="s">
        <v>744</v>
      </c>
      <c r="L570" s="9" t="s">
        <v>55</v>
      </c>
      <c r="M570" s="9" t="s">
        <v>35</v>
      </c>
      <c r="N570" s="11">
        <v>4</v>
      </c>
      <c r="O570" s="12">
        <f t="shared" ca="1" si="58"/>
        <v>13.416438356164383</v>
      </c>
      <c r="P570" s="12">
        <f t="shared" ca="1" si="63"/>
        <v>17.416438356164385</v>
      </c>
      <c r="Q570" s="12" t="s">
        <v>26</v>
      </c>
      <c r="R570" s="9" t="s">
        <v>27</v>
      </c>
      <c r="S570" s="24" t="s">
        <v>36</v>
      </c>
      <c r="T570" s="9" t="s">
        <v>186</v>
      </c>
    </row>
    <row r="571" spans="1:20" ht="35.25" customHeight="1">
      <c r="A571" s="6">
        <f t="shared" si="60"/>
        <v>570</v>
      </c>
      <c r="B571" s="17" t="s">
        <v>1650</v>
      </c>
      <c r="C571" s="8" t="s">
        <v>1624</v>
      </c>
      <c r="D571" s="9" t="s">
        <v>26</v>
      </c>
      <c r="E571" s="10">
        <v>27388</v>
      </c>
      <c r="F571" s="11">
        <f t="shared" ca="1" si="57"/>
        <v>48.994520547945207</v>
      </c>
      <c r="G571" s="11">
        <f t="shared" si="61"/>
        <v>12</v>
      </c>
      <c r="H571" s="11">
        <f t="shared" si="62"/>
        <v>25</v>
      </c>
      <c r="I571" s="10">
        <v>40374</v>
      </c>
      <c r="J571" s="9" t="s">
        <v>87</v>
      </c>
      <c r="K571" s="9" t="s">
        <v>298</v>
      </c>
      <c r="L571" s="9" t="s">
        <v>55</v>
      </c>
      <c r="M571" s="9" t="s">
        <v>35</v>
      </c>
      <c r="N571" s="11">
        <v>14</v>
      </c>
      <c r="O571" s="12">
        <f t="shared" ca="1" si="58"/>
        <v>13.416438356164383</v>
      </c>
      <c r="P571" s="12">
        <f t="shared" ca="1" si="63"/>
        <v>27.416438356164385</v>
      </c>
      <c r="Q571" s="12" t="s">
        <v>26</v>
      </c>
      <c r="R571" s="9" t="s">
        <v>27</v>
      </c>
      <c r="S571" s="24" t="s">
        <v>36</v>
      </c>
      <c r="T571" s="9" t="s">
        <v>72</v>
      </c>
    </row>
    <row r="572" spans="1:20" ht="35.25" customHeight="1">
      <c r="A572" s="6">
        <f t="shared" si="60"/>
        <v>571</v>
      </c>
      <c r="B572" s="17" t="s">
        <v>1651</v>
      </c>
      <c r="C572" s="8" t="s">
        <v>1652</v>
      </c>
      <c r="D572" s="9" t="s">
        <v>26</v>
      </c>
      <c r="E572" s="10">
        <v>28834</v>
      </c>
      <c r="F572" s="11">
        <f t="shared" ca="1" si="57"/>
        <v>45.032876712328765</v>
      </c>
      <c r="G572" s="11">
        <f t="shared" si="61"/>
        <v>12</v>
      </c>
      <c r="H572" s="11">
        <f t="shared" si="62"/>
        <v>10</v>
      </c>
      <c r="I572" s="10">
        <v>40379</v>
      </c>
      <c r="J572" s="9" t="s">
        <v>22</v>
      </c>
      <c r="K572" s="9" t="s">
        <v>241</v>
      </c>
      <c r="L572" s="9" t="s">
        <v>231</v>
      </c>
      <c r="M572" s="9" t="s">
        <v>61</v>
      </c>
      <c r="N572" s="11">
        <v>7.7</v>
      </c>
      <c r="O572" s="12">
        <f t="shared" ca="1" si="58"/>
        <v>13.402739726027397</v>
      </c>
      <c r="P572" s="12">
        <f t="shared" ca="1" si="63"/>
        <v>21.102739726027398</v>
      </c>
      <c r="Q572" s="12" t="s">
        <v>26</v>
      </c>
      <c r="R572" s="9" t="s">
        <v>27</v>
      </c>
      <c r="S572" s="24" t="s">
        <v>28</v>
      </c>
      <c r="T572" s="9" t="s">
        <v>114</v>
      </c>
    </row>
    <row r="573" spans="1:20" ht="35.25" customHeight="1">
      <c r="A573" s="6">
        <f t="shared" si="60"/>
        <v>572</v>
      </c>
      <c r="B573" s="17" t="s">
        <v>1653</v>
      </c>
      <c r="C573" s="8" t="s">
        <v>1654</v>
      </c>
      <c r="D573" s="9" t="s">
        <v>26</v>
      </c>
      <c r="E573" s="10">
        <v>27481</v>
      </c>
      <c r="F573" s="11">
        <v>35.610958904109587</v>
      </c>
      <c r="G573" s="11">
        <v>3</v>
      </c>
      <c r="H573" s="11">
        <v>28</v>
      </c>
      <c r="I573" s="10">
        <v>40373</v>
      </c>
      <c r="J573" s="9" t="s">
        <v>22</v>
      </c>
      <c r="K573" s="9" t="s">
        <v>241</v>
      </c>
      <c r="L573" s="9" t="s">
        <v>591</v>
      </c>
      <c r="M573" s="9" t="s">
        <v>591</v>
      </c>
      <c r="N573" s="11">
        <v>11.3</v>
      </c>
      <c r="O573" s="12">
        <f t="shared" ca="1" si="58"/>
        <v>13.419178082191781</v>
      </c>
      <c r="P573" s="12">
        <f t="shared" ca="1" si="63"/>
        <v>24.719178082191782</v>
      </c>
      <c r="Q573" s="12" t="s">
        <v>26</v>
      </c>
      <c r="R573" s="9" t="s">
        <v>27</v>
      </c>
      <c r="S573" s="24" t="s">
        <v>28</v>
      </c>
      <c r="T573" s="9" t="s">
        <v>29</v>
      </c>
    </row>
    <row r="574" spans="1:20" ht="35.25" customHeight="1">
      <c r="A574" s="6">
        <f t="shared" si="60"/>
        <v>573</v>
      </c>
      <c r="B574" s="17" t="s">
        <v>1655</v>
      </c>
      <c r="C574" s="8" t="s">
        <v>1656</v>
      </c>
      <c r="D574" s="9" t="s">
        <v>26</v>
      </c>
      <c r="E574" s="10">
        <v>28480</v>
      </c>
      <c r="F574" s="11">
        <f t="shared" ref="F574:F599" ca="1" si="64">(TODAY()-E574)/365</f>
        <v>46.0027397260274</v>
      </c>
      <c r="G574" s="11">
        <f t="shared" si="61"/>
        <v>12</v>
      </c>
      <c r="H574" s="11">
        <f t="shared" si="62"/>
        <v>21</v>
      </c>
      <c r="I574" s="10">
        <v>40378</v>
      </c>
      <c r="J574" s="9" t="s">
        <v>66</v>
      </c>
      <c r="K574" s="9" t="s">
        <v>285</v>
      </c>
      <c r="L574" s="9" t="s">
        <v>1657</v>
      </c>
      <c r="M574" s="9" t="s">
        <v>25</v>
      </c>
      <c r="N574" s="11">
        <v>7</v>
      </c>
      <c r="O574" s="12">
        <f t="shared" ca="1" si="58"/>
        <v>13.405479452054795</v>
      </c>
      <c r="P574" s="12">
        <f t="shared" ca="1" si="63"/>
        <v>20.405479452054795</v>
      </c>
      <c r="Q574" s="12" t="s">
        <v>68</v>
      </c>
      <c r="R574" s="9" t="s">
        <v>772</v>
      </c>
      <c r="S574" s="24" t="s">
        <v>28</v>
      </c>
      <c r="T574" s="9" t="s">
        <v>29</v>
      </c>
    </row>
    <row r="575" spans="1:20" ht="35.25" customHeight="1">
      <c r="A575" s="6">
        <f t="shared" si="60"/>
        <v>574</v>
      </c>
      <c r="B575" s="17" t="s">
        <v>1658</v>
      </c>
      <c r="C575" s="8" t="s">
        <v>1659</v>
      </c>
      <c r="D575" s="9" t="s">
        <v>26</v>
      </c>
      <c r="E575" s="10">
        <v>31779</v>
      </c>
      <c r="F575" s="11">
        <f t="shared" ca="1" si="64"/>
        <v>36.964383561643835</v>
      </c>
      <c r="G575" s="11">
        <f t="shared" si="61"/>
        <v>1</v>
      </c>
      <c r="H575" s="11">
        <f t="shared" si="62"/>
        <v>2</v>
      </c>
      <c r="I575" s="10">
        <v>40378</v>
      </c>
      <c r="J575" s="9" t="s">
        <v>226</v>
      </c>
      <c r="K575" s="9" t="s">
        <v>341</v>
      </c>
      <c r="L575" s="9" t="s">
        <v>34</v>
      </c>
      <c r="M575" s="9" t="s">
        <v>35</v>
      </c>
      <c r="N575" s="11">
        <v>2</v>
      </c>
      <c r="O575" s="12">
        <f t="shared" ca="1" si="58"/>
        <v>13.405479452054795</v>
      </c>
      <c r="P575" s="12">
        <f t="shared" ca="1" si="63"/>
        <v>15.405479452054795</v>
      </c>
      <c r="Q575" s="12" t="s">
        <v>68</v>
      </c>
      <c r="R575" s="9" t="s">
        <v>27</v>
      </c>
      <c r="S575" s="24" t="s">
        <v>36</v>
      </c>
      <c r="T575" s="9" t="s">
        <v>72</v>
      </c>
    </row>
    <row r="576" spans="1:20" ht="35.25" customHeight="1">
      <c r="A576" s="6">
        <f t="shared" si="60"/>
        <v>575</v>
      </c>
      <c r="B576" s="17" t="s">
        <v>1660</v>
      </c>
      <c r="C576" s="8" t="s">
        <v>1661</v>
      </c>
      <c r="D576" s="9" t="s">
        <v>26</v>
      </c>
      <c r="E576" s="10">
        <v>31291</v>
      </c>
      <c r="F576" s="11">
        <f t="shared" ca="1" si="64"/>
        <v>38.301369863013697</v>
      </c>
      <c r="G576" s="11">
        <f t="shared" si="61"/>
        <v>9</v>
      </c>
      <c r="H576" s="11">
        <f t="shared" si="62"/>
        <v>1</v>
      </c>
      <c r="I576" s="10">
        <v>40378</v>
      </c>
      <c r="J576" s="9" t="s">
        <v>87</v>
      </c>
      <c r="K576" s="9" t="s">
        <v>278</v>
      </c>
      <c r="L576" s="9" t="s">
        <v>34</v>
      </c>
      <c r="M576" s="9" t="s">
        <v>35</v>
      </c>
      <c r="N576" s="11">
        <v>6</v>
      </c>
      <c r="O576" s="12">
        <f t="shared" ca="1" si="58"/>
        <v>13.405479452054795</v>
      </c>
      <c r="P576" s="12">
        <f t="shared" ca="1" si="63"/>
        <v>19.405479452054795</v>
      </c>
      <c r="Q576" s="12" t="s">
        <v>68</v>
      </c>
      <c r="R576" s="9" t="s">
        <v>27</v>
      </c>
      <c r="S576" s="24" t="s">
        <v>36</v>
      </c>
      <c r="T576" s="9" t="s">
        <v>186</v>
      </c>
    </row>
    <row r="577" spans="1:20" ht="35.25" customHeight="1">
      <c r="A577" s="6">
        <f t="shared" si="60"/>
        <v>576</v>
      </c>
      <c r="B577" s="17" t="s">
        <v>1662</v>
      </c>
      <c r="C577" s="8" t="s">
        <v>1663</v>
      </c>
      <c r="D577" s="9" t="s">
        <v>26</v>
      </c>
      <c r="E577" s="10">
        <v>27901</v>
      </c>
      <c r="F577" s="11">
        <f t="shared" ca="1" si="64"/>
        <v>47.589041095890408</v>
      </c>
      <c r="G577" s="11">
        <f t="shared" si="61"/>
        <v>5</v>
      </c>
      <c r="H577" s="11">
        <f t="shared" si="62"/>
        <v>21</v>
      </c>
      <c r="I577" s="10">
        <v>40378</v>
      </c>
      <c r="J577" s="9" t="s">
        <v>110</v>
      </c>
      <c r="K577" s="9" t="s">
        <v>1664</v>
      </c>
      <c r="L577" s="9" t="s">
        <v>55</v>
      </c>
      <c r="M577" s="9" t="s">
        <v>35</v>
      </c>
      <c r="N577" s="11">
        <v>12</v>
      </c>
      <c r="O577" s="12">
        <f t="shared" ca="1" si="58"/>
        <v>13.405479452054795</v>
      </c>
      <c r="P577" s="12">
        <f t="shared" ca="1" si="63"/>
        <v>25.405479452054795</v>
      </c>
      <c r="Q577" s="12" t="s">
        <v>26</v>
      </c>
      <c r="R577" s="9" t="s">
        <v>901</v>
      </c>
      <c r="S577" s="24" t="s">
        <v>36</v>
      </c>
      <c r="T577" s="9" t="s">
        <v>1404</v>
      </c>
    </row>
    <row r="578" spans="1:20" ht="35.25" customHeight="1">
      <c r="A578" s="6">
        <f t="shared" si="60"/>
        <v>577</v>
      </c>
      <c r="B578" s="17" t="s">
        <v>1665</v>
      </c>
      <c r="C578" s="8" t="s">
        <v>1666</v>
      </c>
      <c r="D578" s="9" t="s">
        <v>26</v>
      </c>
      <c r="E578" s="10">
        <v>29688</v>
      </c>
      <c r="F578" s="11">
        <f t="shared" ca="1" si="64"/>
        <v>42.69315068493151</v>
      </c>
      <c r="G578" s="11">
        <f t="shared" si="61"/>
        <v>4</v>
      </c>
      <c r="H578" s="11">
        <f t="shared" si="62"/>
        <v>12</v>
      </c>
      <c r="I578" s="10">
        <v>40378</v>
      </c>
      <c r="J578" s="9" t="s">
        <v>50</v>
      </c>
      <c r="K578" s="9" t="s">
        <v>1667</v>
      </c>
      <c r="L578" s="9" t="s">
        <v>1333</v>
      </c>
      <c r="M578" s="9" t="s">
        <v>35</v>
      </c>
      <c r="N578" s="11">
        <v>6</v>
      </c>
      <c r="O578" s="12">
        <f t="shared" ref="O578:O641" ca="1" si="65">(TODAY()-I578)/365</f>
        <v>13.405479452054795</v>
      </c>
      <c r="P578" s="12">
        <f t="shared" ca="1" si="63"/>
        <v>19.405479452054795</v>
      </c>
      <c r="Q578" s="12" t="s">
        <v>68</v>
      </c>
      <c r="R578" s="9" t="s">
        <v>27</v>
      </c>
      <c r="S578" s="24" t="s">
        <v>36</v>
      </c>
      <c r="T578" s="9" t="s">
        <v>72</v>
      </c>
    </row>
    <row r="579" spans="1:20" ht="35.25" customHeight="1">
      <c r="A579" s="6">
        <f t="shared" si="60"/>
        <v>578</v>
      </c>
      <c r="B579" s="17" t="s">
        <v>1668</v>
      </c>
      <c r="C579" s="8" t="s">
        <v>1669</v>
      </c>
      <c r="D579" s="9" t="s">
        <v>26</v>
      </c>
      <c r="E579" s="10">
        <v>24699</v>
      </c>
      <c r="F579" s="11">
        <f t="shared" ca="1" si="64"/>
        <v>56.361643835616441</v>
      </c>
      <c r="G579" s="11">
        <f t="shared" si="61"/>
        <v>8</v>
      </c>
      <c r="H579" s="11">
        <f t="shared" si="62"/>
        <v>15</v>
      </c>
      <c r="I579" s="10">
        <v>40381</v>
      </c>
      <c r="J579" s="9" t="s">
        <v>93</v>
      </c>
      <c r="K579" s="9" t="s">
        <v>1670</v>
      </c>
      <c r="L579" s="9" t="s">
        <v>263</v>
      </c>
      <c r="M579" s="9" t="s">
        <v>25</v>
      </c>
      <c r="N579" s="11">
        <v>20</v>
      </c>
      <c r="O579" s="12">
        <f t="shared" ca="1" si="65"/>
        <v>13.397260273972602</v>
      </c>
      <c r="P579" s="12">
        <f t="shared" ca="1" si="63"/>
        <v>33.397260273972606</v>
      </c>
      <c r="Q579" s="12" t="s">
        <v>26</v>
      </c>
      <c r="R579" s="9" t="s">
        <v>27</v>
      </c>
      <c r="S579" s="24" t="s">
        <v>28</v>
      </c>
      <c r="T579" s="9" t="s">
        <v>29</v>
      </c>
    </row>
    <row r="580" spans="1:20" ht="35.25" customHeight="1">
      <c r="A580" s="6">
        <f t="shared" ref="A580:A643" si="66">+A579+1</f>
        <v>579</v>
      </c>
      <c r="B580" s="17" t="s">
        <v>1671</v>
      </c>
      <c r="C580" s="8" t="s">
        <v>1672</v>
      </c>
      <c r="D580" s="9" t="s">
        <v>26</v>
      </c>
      <c r="E580" s="10">
        <v>30894</v>
      </c>
      <c r="F580" s="11">
        <f t="shared" ca="1" si="64"/>
        <v>39.389041095890413</v>
      </c>
      <c r="G580" s="11">
        <f t="shared" si="61"/>
        <v>7</v>
      </c>
      <c r="H580" s="11">
        <f t="shared" si="62"/>
        <v>31</v>
      </c>
      <c r="I580" s="10">
        <v>40380</v>
      </c>
      <c r="J580" s="9" t="s">
        <v>87</v>
      </c>
      <c r="K580" s="9" t="s">
        <v>670</v>
      </c>
      <c r="L580" s="9" t="s">
        <v>122</v>
      </c>
      <c r="M580" s="9" t="s">
        <v>35</v>
      </c>
      <c r="N580" s="11">
        <v>5</v>
      </c>
      <c r="O580" s="12">
        <f t="shared" ca="1" si="65"/>
        <v>13.4</v>
      </c>
      <c r="P580" s="12">
        <f t="shared" ca="1" si="63"/>
        <v>18.399999999999999</v>
      </c>
      <c r="Q580" s="12" t="s">
        <v>26</v>
      </c>
      <c r="R580" s="9" t="s">
        <v>627</v>
      </c>
      <c r="S580" s="24" t="s">
        <v>36</v>
      </c>
      <c r="T580" s="9" t="s">
        <v>1673</v>
      </c>
    </row>
    <row r="581" spans="1:20" ht="35.25" customHeight="1">
      <c r="A581" s="6">
        <f t="shared" si="66"/>
        <v>580</v>
      </c>
      <c r="B581" s="17" t="s">
        <v>1674</v>
      </c>
      <c r="C581" s="8" t="s">
        <v>1675</v>
      </c>
      <c r="D581" s="9" t="s">
        <v>26</v>
      </c>
      <c r="E581" s="10">
        <v>28550</v>
      </c>
      <c r="F581" s="11">
        <f t="shared" ca="1" si="64"/>
        <v>45.81095890410959</v>
      </c>
      <c r="G581" s="11">
        <f t="shared" si="61"/>
        <v>3</v>
      </c>
      <c r="H581" s="11">
        <f t="shared" si="62"/>
        <v>1</v>
      </c>
      <c r="I581" s="10">
        <v>40364</v>
      </c>
      <c r="J581" s="9" t="s">
        <v>50</v>
      </c>
      <c r="K581" s="9" t="s">
        <v>146</v>
      </c>
      <c r="L581" s="24" t="s">
        <v>490</v>
      </c>
      <c r="M581" s="9" t="s">
        <v>491</v>
      </c>
      <c r="N581" s="19">
        <v>5</v>
      </c>
      <c r="O581" s="12">
        <f t="shared" ca="1" si="65"/>
        <v>13.443835616438356</v>
      </c>
      <c r="P581" s="12">
        <f t="shared" ca="1" si="63"/>
        <v>18.443835616438356</v>
      </c>
      <c r="Q581" s="12" t="s">
        <v>26</v>
      </c>
      <c r="R581" s="9" t="s">
        <v>347</v>
      </c>
      <c r="S581" s="24" t="s">
        <v>28</v>
      </c>
      <c r="T581" s="9" t="s">
        <v>492</v>
      </c>
    </row>
    <row r="582" spans="1:20" ht="35.25" customHeight="1">
      <c r="A582" s="6">
        <f t="shared" si="66"/>
        <v>581</v>
      </c>
      <c r="B582" s="17" t="s">
        <v>1676</v>
      </c>
      <c r="C582" s="8" t="s">
        <v>1677</v>
      </c>
      <c r="D582" s="9" t="s">
        <v>26</v>
      </c>
      <c r="E582" s="10">
        <v>29043</v>
      </c>
      <c r="F582" s="11">
        <f t="shared" ca="1" si="64"/>
        <v>44.460273972602742</v>
      </c>
      <c r="G582" s="11">
        <f t="shared" si="61"/>
        <v>7</v>
      </c>
      <c r="H582" s="11">
        <f t="shared" si="62"/>
        <v>7</v>
      </c>
      <c r="I582" s="10">
        <v>40375</v>
      </c>
      <c r="J582" s="9" t="s">
        <v>87</v>
      </c>
      <c r="K582" s="9" t="s">
        <v>993</v>
      </c>
      <c r="L582" s="24" t="s">
        <v>490</v>
      </c>
      <c r="M582" s="9" t="s">
        <v>491</v>
      </c>
      <c r="N582" s="11">
        <v>11</v>
      </c>
      <c r="O582" s="12">
        <f t="shared" ca="1" si="65"/>
        <v>13.413698630136986</v>
      </c>
      <c r="P582" s="12">
        <f t="shared" ca="1" si="63"/>
        <v>24.413698630136984</v>
      </c>
      <c r="Q582" s="12" t="s">
        <v>26</v>
      </c>
      <c r="R582" s="9" t="s">
        <v>792</v>
      </c>
      <c r="S582" s="24" t="s">
        <v>28</v>
      </c>
      <c r="T582" s="9" t="s">
        <v>492</v>
      </c>
    </row>
    <row r="583" spans="1:20" ht="35.25" customHeight="1">
      <c r="A583" s="6">
        <f t="shared" si="66"/>
        <v>582</v>
      </c>
      <c r="B583" s="17" t="s">
        <v>1678</v>
      </c>
      <c r="C583" s="8" t="s">
        <v>1679</v>
      </c>
      <c r="D583" s="9" t="s">
        <v>26</v>
      </c>
      <c r="E583" s="10">
        <v>30601</v>
      </c>
      <c r="F583" s="11">
        <f t="shared" ca="1" si="64"/>
        <v>40.19178082191781</v>
      </c>
      <c r="G583" s="11">
        <f t="shared" si="61"/>
        <v>10</v>
      </c>
      <c r="H583" s="11">
        <f t="shared" si="62"/>
        <v>12</v>
      </c>
      <c r="I583" s="10">
        <v>40373</v>
      </c>
      <c r="J583" s="9" t="s">
        <v>87</v>
      </c>
      <c r="K583" s="9" t="s">
        <v>1241</v>
      </c>
      <c r="L583" s="24" t="s">
        <v>490</v>
      </c>
      <c r="M583" s="9" t="s">
        <v>491</v>
      </c>
      <c r="N583" s="19">
        <v>2</v>
      </c>
      <c r="O583" s="12">
        <f t="shared" ca="1" si="65"/>
        <v>13.419178082191781</v>
      </c>
      <c r="P583" s="12">
        <f t="shared" ca="1" si="63"/>
        <v>15.419178082191781</v>
      </c>
      <c r="Q583" s="12" t="s">
        <v>26</v>
      </c>
      <c r="R583" s="9" t="s">
        <v>347</v>
      </c>
      <c r="S583" s="24" t="s">
        <v>28</v>
      </c>
      <c r="T583" s="9" t="s">
        <v>492</v>
      </c>
    </row>
    <row r="584" spans="1:20" ht="35.25" customHeight="1">
      <c r="A584" s="6">
        <f t="shared" si="66"/>
        <v>583</v>
      </c>
      <c r="B584" s="17" t="s">
        <v>1680</v>
      </c>
      <c r="C584" s="8" t="s">
        <v>1681</v>
      </c>
      <c r="D584" s="9" t="s">
        <v>26</v>
      </c>
      <c r="E584" s="10">
        <v>27154</v>
      </c>
      <c r="F584" s="11">
        <f t="shared" ca="1" si="64"/>
        <v>49.635616438356166</v>
      </c>
      <c r="G584" s="11">
        <f t="shared" si="61"/>
        <v>5</v>
      </c>
      <c r="H584" s="11">
        <f t="shared" si="62"/>
        <v>5</v>
      </c>
      <c r="I584" s="10">
        <v>40373</v>
      </c>
      <c r="J584" s="9" t="s">
        <v>87</v>
      </c>
      <c r="K584" s="9" t="s">
        <v>1682</v>
      </c>
      <c r="L584" s="24" t="s">
        <v>490</v>
      </c>
      <c r="M584" s="9" t="s">
        <v>491</v>
      </c>
      <c r="N584" s="19">
        <v>13</v>
      </c>
      <c r="O584" s="12">
        <f t="shared" ca="1" si="65"/>
        <v>13.419178082191781</v>
      </c>
      <c r="P584" s="12">
        <f t="shared" ca="1" si="63"/>
        <v>26.419178082191781</v>
      </c>
      <c r="Q584" s="12" t="s">
        <v>26</v>
      </c>
      <c r="R584" s="9" t="s">
        <v>898</v>
      </c>
      <c r="S584" s="24" t="s">
        <v>28</v>
      </c>
      <c r="T584" s="9" t="s">
        <v>492</v>
      </c>
    </row>
    <row r="585" spans="1:20" ht="35.25" customHeight="1">
      <c r="A585" s="6">
        <f t="shared" si="66"/>
        <v>584</v>
      </c>
      <c r="B585" s="17" t="s">
        <v>1683</v>
      </c>
      <c r="C585" s="8" t="s">
        <v>1684</v>
      </c>
      <c r="D585" s="9" t="s">
        <v>26</v>
      </c>
      <c r="E585" s="10">
        <v>30468</v>
      </c>
      <c r="F585" s="11">
        <f t="shared" ca="1" si="64"/>
        <v>40.556164383561644</v>
      </c>
      <c r="G585" s="11">
        <f t="shared" si="61"/>
        <v>6</v>
      </c>
      <c r="H585" s="11">
        <f t="shared" si="62"/>
        <v>1</v>
      </c>
      <c r="I585" s="10">
        <v>40379</v>
      </c>
      <c r="J585" s="9" t="s">
        <v>110</v>
      </c>
      <c r="K585" s="9" t="s">
        <v>1685</v>
      </c>
      <c r="L585" s="9" t="s">
        <v>180</v>
      </c>
      <c r="M585" s="9" t="s">
        <v>25</v>
      </c>
      <c r="N585" s="11">
        <v>7</v>
      </c>
      <c r="O585" s="12">
        <f t="shared" ca="1" si="65"/>
        <v>13.402739726027397</v>
      </c>
      <c r="P585" s="12">
        <f t="shared" ca="1" si="63"/>
        <v>20.402739726027399</v>
      </c>
      <c r="Q585" s="12" t="s">
        <v>68</v>
      </c>
      <c r="R585" s="9" t="s">
        <v>356</v>
      </c>
      <c r="S585" s="24" t="s">
        <v>28</v>
      </c>
      <c r="T585" s="9" t="s">
        <v>29</v>
      </c>
    </row>
    <row r="586" spans="1:20" ht="35.25" customHeight="1">
      <c r="A586" s="6">
        <f t="shared" si="66"/>
        <v>585</v>
      </c>
      <c r="B586" s="17" t="s">
        <v>1686</v>
      </c>
      <c r="C586" s="8" t="s">
        <v>1687</v>
      </c>
      <c r="D586" s="9" t="s">
        <v>26</v>
      </c>
      <c r="E586" s="10">
        <v>30493</v>
      </c>
      <c r="F586" s="11">
        <f t="shared" ca="1" si="64"/>
        <v>40.487671232876714</v>
      </c>
      <c r="G586" s="11">
        <f t="shared" si="61"/>
        <v>6</v>
      </c>
      <c r="H586" s="11">
        <f t="shared" si="62"/>
        <v>26</v>
      </c>
      <c r="I586" s="10">
        <v>40359</v>
      </c>
      <c r="J586" s="9" t="s">
        <v>87</v>
      </c>
      <c r="K586" s="9" t="s">
        <v>135</v>
      </c>
      <c r="L586" s="24" t="s">
        <v>490</v>
      </c>
      <c r="M586" s="9" t="s">
        <v>491</v>
      </c>
      <c r="N586" s="19">
        <v>3</v>
      </c>
      <c r="O586" s="12">
        <f t="shared" ca="1" si="65"/>
        <v>13.457534246575342</v>
      </c>
      <c r="P586" s="12">
        <f t="shared" ca="1" si="63"/>
        <v>16.457534246575342</v>
      </c>
      <c r="Q586" s="12" t="s">
        <v>68</v>
      </c>
      <c r="R586" s="9" t="s">
        <v>816</v>
      </c>
      <c r="S586" s="24" t="s">
        <v>28</v>
      </c>
      <c r="T586" s="9" t="s">
        <v>492</v>
      </c>
    </row>
    <row r="587" spans="1:20" ht="35.25" customHeight="1">
      <c r="A587" s="6">
        <f t="shared" si="66"/>
        <v>586</v>
      </c>
      <c r="B587" s="17" t="s">
        <v>1688</v>
      </c>
      <c r="C587" s="8" t="s">
        <v>1689</v>
      </c>
      <c r="D587" s="9" t="s">
        <v>26</v>
      </c>
      <c r="E587" s="10">
        <v>33041</v>
      </c>
      <c r="F587" s="11">
        <f t="shared" ca="1" si="64"/>
        <v>33.506849315068493</v>
      </c>
      <c r="G587" s="11">
        <f t="shared" ref="G587:G599" si="67">MONTH(E587)</f>
        <v>6</v>
      </c>
      <c r="H587" s="11">
        <f t="shared" ref="H587:H599" si="68">DAY(E587)</f>
        <v>17</v>
      </c>
      <c r="I587" s="10">
        <v>40361</v>
      </c>
      <c r="J587" s="9" t="s">
        <v>226</v>
      </c>
      <c r="K587" s="9" t="s">
        <v>248</v>
      </c>
      <c r="L587" s="9" t="s">
        <v>118</v>
      </c>
      <c r="M587" s="9" t="s">
        <v>25</v>
      </c>
      <c r="N587" s="11">
        <v>1</v>
      </c>
      <c r="O587" s="12">
        <f t="shared" ca="1" si="65"/>
        <v>13.452054794520548</v>
      </c>
      <c r="P587" s="12">
        <f t="shared" ca="1" si="63"/>
        <v>14.452054794520548</v>
      </c>
      <c r="Q587" s="12" t="s">
        <v>68</v>
      </c>
      <c r="R587" s="9" t="s">
        <v>901</v>
      </c>
      <c r="S587" s="24" t="s">
        <v>28</v>
      </c>
      <c r="T587" s="9" t="s">
        <v>29</v>
      </c>
    </row>
    <row r="588" spans="1:20" ht="35.25" customHeight="1">
      <c r="A588" s="6">
        <f t="shared" si="66"/>
        <v>587</v>
      </c>
      <c r="B588" s="17" t="s">
        <v>1690</v>
      </c>
      <c r="C588" s="8" t="s">
        <v>1691</v>
      </c>
      <c r="D588" s="9" t="s">
        <v>26</v>
      </c>
      <c r="E588" s="10">
        <v>30800</v>
      </c>
      <c r="F588" s="11">
        <f t="shared" ca="1" si="64"/>
        <v>39.646575342465752</v>
      </c>
      <c r="G588" s="11">
        <f t="shared" si="67"/>
        <v>4</v>
      </c>
      <c r="H588" s="11">
        <f t="shared" si="68"/>
        <v>28</v>
      </c>
      <c r="I588" s="10">
        <v>40385</v>
      </c>
      <c r="J588" s="9" t="s">
        <v>226</v>
      </c>
      <c r="K588" s="9" t="s">
        <v>248</v>
      </c>
      <c r="L588" s="9" t="s">
        <v>213</v>
      </c>
      <c r="M588" s="9" t="s">
        <v>35</v>
      </c>
      <c r="N588" s="11">
        <v>6</v>
      </c>
      <c r="O588" s="12">
        <f t="shared" ca="1" si="65"/>
        <v>13.386301369863014</v>
      </c>
      <c r="P588" s="12">
        <f t="shared" ref="P588:P651" ca="1" si="69">SUM(N588+O588)</f>
        <v>19.386301369863013</v>
      </c>
      <c r="Q588" s="12" t="s">
        <v>26</v>
      </c>
      <c r="R588" s="9" t="s">
        <v>27</v>
      </c>
      <c r="S588" s="24" t="s">
        <v>28</v>
      </c>
      <c r="T588" s="9" t="s">
        <v>29</v>
      </c>
    </row>
    <row r="589" spans="1:20" ht="35.25" customHeight="1">
      <c r="A589" s="6">
        <f t="shared" si="66"/>
        <v>588</v>
      </c>
      <c r="B589" s="17" t="s">
        <v>1692</v>
      </c>
      <c r="C589" s="8" t="s">
        <v>1693</v>
      </c>
      <c r="D589" s="9" t="s">
        <v>26</v>
      </c>
      <c r="E589" s="10">
        <v>28308</v>
      </c>
      <c r="F589" s="11">
        <f t="shared" ca="1" si="64"/>
        <v>46.473972602739728</v>
      </c>
      <c r="G589" s="11">
        <f t="shared" si="67"/>
        <v>7</v>
      </c>
      <c r="H589" s="11">
        <f t="shared" si="68"/>
        <v>2</v>
      </c>
      <c r="I589" s="10">
        <v>40386</v>
      </c>
      <c r="J589" s="9" t="s">
        <v>50</v>
      </c>
      <c r="K589" s="9" t="s">
        <v>1694</v>
      </c>
      <c r="L589" s="9" t="s">
        <v>24</v>
      </c>
      <c r="M589" s="9" t="s">
        <v>25</v>
      </c>
      <c r="N589" s="11">
        <v>15</v>
      </c>
      <c r="O589" s="12">
        <f t="shared" ca="1" si="65"/>
        <v>13.383561643835616</v>
      </c>
      <c r="P589" s="12">
        <f t="shared" ca="1" si="69"/>
        <v>28.383561643835616</v>
      </c>
      <c r="Q589" s="12" t="s">
        <v>26</v>
      </c>
      <c r="R589" s="9" t="s">
        <v>901</v>
      </c>
      <c r="S589" s="24" t="s">
        <v>28</v>
      </c>
      <c r="T589" s="9" t="s">
        <v>29</v>
      </c>
    </row>
    <row r="590" spans="1:20" ht="35.25" customHeight="1">
      <c r="A590" s="6">
        <f t="shared" si="66"/>
        <v>589</v>
      </c>
      <c r="B590" s="17" t="s">
        <v>1695</v>
      </c>
      <c r="C590" s="8" t="s">
        <v>1696</v>
      </c>
      <c r="D590" s="9" t="s">
        <v>26</v>
      </c>
      <c r="E590" s="10">
        <v>26669</v>
      </c>
      <c r="F590" s="11">
        <f t="shared" ca="1" si="64"/>
        <v>50.964383561643835</v>
      </c>
      <c r="G590" s="11">
        <f t="shared" si="67"/>
        <v>1</v>
      </c>
      <c r="H590" s="11">
        <f t="shared" si="68"/>
        <v>5</v>
      </c>
      <c r="I590" s="10">
        <v>40387</v>
      </c>
      <c r="J590" s="9" t="s">
        <v>32</v>
      </c>
      <c r="K590" s="9" t="s">
        <v>1697</v>
      </c>
      <c r="L590" s="9" t="s">
        <v>1091</v>
      </c>
      <c r="M590" s="9" t="s">
        <v>25</v>
      </c>
      <c r="N590" s="11">
        <v>16</v>
      </c>
      <c r="O590" s="12">
        <f t="shared" ca="1" si="65"/>
        <v>13.38082191780822</v>
      </c>
      <c r="P590" s="12">
        <f t="shared" ca="1" si="69"/>
        <v>29.38082191780822</v>
      </c>
      <c r="Q590" s="12" t="s">
        <v>26</v>
      </c>
      <c r="R590" s="9" t="s">
        <v>901</v>
      </c>
      <c r="S590" s="24" t="s">
        <v>28</v>
      </c>
      <c r="T590" s="9" t="s">
        <v>29</v>
      </c>
    </row>
    <row r="591" spans="1:20" ht="35.25" customHeight="1">
      <c r="A591" s="6">
        <f t="shared" si="66"/>
        <v>590</v>
      </c>
      <c r="B591" s="17" t="s">
        <v>1698</v>
      </c>
      <c r="C591" s="8" t="s">
        <v>1699</v>
      </c>
      <c r="D591" s="9" t="s">
        <v>26</v>
      </c>
      <c r="E591" s="10">
        <v>31909</v>
      </c>
      <c r="F591" s="11">
        <f t="shared" ca="1" si="64"/>
        <v>36.608219178082194</v>
      </c>
      <c r="G591" s="11">
        <f t="shared" si="67"/>
        <v>5</v>
      </c>
      <c r="H591" s="11">
        <f t="shared" si="68"/>
        <v>12</v>
      </c>
      <c r="I591" s="10">
        <v>40385</v>
      </c>
      <c r="J591" s="9" t="s">
        <v>226</v>
      </c>
      <c r="K591" s="9" t="s">
        <v>341</v>
      </c>
      <c r="L591" s="9" t="s">
        <v>34</v>
      </c>
      <c r="M591" s="9" t="s">
        <v>35</v>
      </c>
      <c r="N591" s="11">
        <v>2</v>
      </c>
      <c r="O591" s="12">
        <f t="shared" ca="1" si="65"/>
        <v>13.386301369863014</v>
      </c>
      <c r="P591" s="12">
        <f t="shared" ca="1" si="69"/>
        <v>15.386301369863014</v>
      </c>
      <c r="Q591" s="12" t="s">
        <v>68</v>
      </c>
      <c r="R591" s="9" t="s">
        <v>901</v>
      </c>
      <c r="S591" s="24" t="s">
        <v>36</v>
      </c>
      <c r="T591" s="9" t="s">
        <v>72</v>
      </c>
    </row>
    <row r="592" spans="1:20" ht="35.25" customHeight="1">
      <c r="A592" s="6">
        <f t="shared" si="66"/>
        <v>591</v>
      </c>
      <c r="B592" s="17" t="s">
        <v>1700</v>
      </c>
      <c r="C592" s="8" t="s">
        <v>1701</v>
      </c>
      <c r="D592" s="9" t="s">
        <v>26</v>
      </c>
      <c r="E592" s="10">
        <v>30528</v>
      </c>
      <c r="F592" s="11">
        <f t="shared" ca="1" si="64"/>
        <v>40.391780821917806</v>
      </c>
      <c r="G592" s="11">
        <f t="shared" si="67"/>
        <v>7</v>
      </c>
      <c r="H592" s="11">
        <f t="shared" si="68"/>
        <v>31</v>
      </c>
      <c r="I592" s="10">
        <v>40385</v>
      </c>
      <c r="J592" s="9" t="s">
        <v>87</v>
      </c>
      <c r="K592" s="9" t="s">
        <v>418</v>
      </c>
      <c r="L592" s="9" t="s">
        <v>147</v>
      </c>
      <c r="M592" s="9" t="s">
        <v>35</v>
      </c>
      <c r="N592" s="11">
        <v>1</v>
      </c>
      <c r="O592" s="12">
        <f t="shared" ca="1" si="65"/>
        <v>13.386301369863014</v>
      </c>
      <c r="P592" s="12">
        <f t="shared" ca="1" si="69"/>
        <v>14.386301369863014</v>
      </c>
      <c r="Q592" s="12" t="s">
        <v>26</v>
      </c>
      <c r="R592" s="9" t="s">
        <v>901</v>
      </c>
      <c r="S592" s="24" t="s">
        <v>28</v>
      </c>
      <c r="T592" s="9" t="s">
        <v>29</v>
      </c>
    </row>
    <row r="593" spans="1:20" ht="35.25" customHeight="1">
      <c r="A593" s="6">
        <f t="shared" si="66"/>
        <v>592</v>
      </c>
      <c r="B593" s="17" t="s">
        <v>1702</v>
      </c>
      <c r="C593" s="8" t="s">
        <v>1703</v>
      </c>
      <c r="D593" s="9" t="s">
        <v>26</v>
      </c>
      <c r="E593" s="10">
        <v>30455</v>
      </c>
      <c r="F593" s="11">
        <f t="shared" ca="1" si="64"/>
        <v>40.591780821917808</v>
      </c>
      <c r="G593" s="11">
        <f t="shared" si="67"/>
        <v>5</v>
      </c>
      <c r="H593" s="11">
        <f t="shared" si="68"/>
        <v>19</v>
      </c>
      <c r="I593" s="10">
        <v>40389</v>
      </c>
      <c r="J593" s="9" t="s">
        <v>110</v>
      </c>
      <c r="K593" s="9" t="s">
        <v>1664</v>
      </c>
      <c r="L593" s="9" t="s">
        <v>55</v>
      </c>
      <c r="M593" s="9" t="s">
        <v>35</v>
      </c>
      <c r="N593" s="11">
        <v>8</v>
      </c>
      <c r="O593" s="12">
        <f t="shared" ca="1" si="65"/>
        <v>13.375342465753425</v>
      </c>
      <c r="P593" s="12">
        <f t="shared" ca="1" si="69"/>
        <v>21.375342465753427</v>
      </c>
      <c r="Q593" s="12" t="s">
        <v>68</v>
      </c>
      <c r="R593" s="9" t="s">
        <v>901</v>
      </c>
      <c r="S593" s="24" t="s">
        <v>36</v>
      </c>
      <c r="T593" s="9" t="s">
        <v>951</v>
      </c>
    </row>
    <row r="594" spans="1:20" ht="35.25" customHeight="1">
      <c r="A594" s="6">
        <f t="shared" si="66"/>
        <v>593</v>
      </c>
      <c r="B594" s="17" t="s">
        <v>1704</v>
      </c>
      <c r="C594" s="8" t="s">
        <v>1705</v>
      </c>
      <c r="D594" s="9" t="s">
        <v>26</v>
      </c>
      <c r="E594" s="10">
        <v>29429</v>
      </c>
      <c r="F594" s="11">
        <f t="shared" ca="1" si="64"/>
        <v>43.402739726027399</v>
      </c>
      <c r="G594" s="11">
        <f t="shared" si="67"/>
        <v>7</v>
      </c>
      <c r="H594" s="11">
        <f t="shared" si="68"/>
        <v>27</v>
      </c>
      <c r="I594" s="10">
        <v>40392</v>
      </c>
      <c r="J594" s="9" t="s">
        <v>50</v>
      </c>
      <c r="K594" s="9" t="s">
        <v>1706</v>
      </c>
      <c r="L594" s="9" t="s">
        <v>204</v>
      </c>
      <c r="M594" s="9" t="s">
        <v>25</v>
      </c>
      <c r="N594" s="11">
        <v>5</v>
      </c>
      <c r="O594" s="12">
        <f t="shared" ca="1" si="65"/>
        <v>13.367123287671232</v>
      </c>
      <c r="P594" s="12">
        <f t="shared" ca="1" si="69"/>
        <v>18.367123287671234</v>
      </c>
      <c r="Q594" s="12" t="s">
        <v>26</v>
      </c>
      <c r="R594" s="9" t="s">
        <v>901</v>
      </c>
      <c r="S594" s="24" t="s">
        <v>28</v>
      </c>
      <c r="T594" s="9" t="s">
        <v>29</v>
      </c>
    </row>
    <row r="595" spans="1:20" ht="35.25" customHeight="1">
      <c r="A595" s="6">
        <f t="shared" si="66"/>
        <v>594</v>
      </c>
      <c r="B595" s="17" t="s">
        <v>1707</v>
      </c>
      <c r="C595" s="8" t="s">
        <v>1708</v>
      </c>
      <c r="D595" s="9" t="s">
        <v>26</v>
      </c>
      <c r="E595" s="10">
        <v>28640</v>
      </c>
      <c r="F595" s="11">
        <f t="shared" ca="1" si="64"/>
        <v>45.564383561643837</v>
      </c>
      <c r="G595" s="11">
        <f t="shared" si="67"/>
        <v>5</v>
      </c>
      <c r="H595" s="11">
        <f t="shared" si="68"/>
        <v>30</v>
      </c>
      <c r="I595" s="10">
        <v>40387</v>
      </c>
      <c r="J595" s="9" t="s">
        <v>32</v>
      </c>
      <c r="K595" s="9" t="s">
        <v>313</v>
      </c>
      <c r="L595" s="9" t="s">
        <v>34</v>
      </c>
      <c r="M595" s="9" t="s">
        <v>61</v>
      </c>
      <c r="N595" s="11">
        <v>9</v>
      </c>
      <c r="O595" s="12">
        <f t="shared" ca="1" si="65"/>
        <v>13.38082191780822</v>
      </c>
      <c r="P595" s="12">
        <f t="shared" ca="1" si="69"/>
        <v>22.38082191780822</v>
      </c>
      <c r="Q595" s="12" t="s">
        <v>26</v>
      </c>
      <c r="R595" s="9" t="s">
        <v>356</v>
      </c>
      <c r="S595" s="24" t="s">
        <v>28</v>
      </c>
      <c r="T595" s="9" t="s">
        <v>29</v>
      </c>
    </row>
    <row r="596" spans="1:20" ht="35.25" customHeight="1">
      <c r="A596" s="6">
        <f t="shared" si="66"/>
        <v>595</v>
      </c>
      <c r="B596" s="17" t="s">
        <v>1709</v>
      </c>
      <c r="C596" s="8" t="s">
        <v>1710</v>
      </c>
      <c r="D596" s="9" t="s">
        <v>26</v>
      </c>
      <c r="E596" s="10">
        <v>31544</v>
      </c>
      <c r="F596" s="11">
        <f t="shared" ca="1" si="64"/>
        <v>37.608219178082194</v>
      </c>
      <c r="G596" s="11">
        <f t="shared" si="67"/>
        <v>5</v>
      </c>
      <c r="H596" s="11">
        <f t="shared" si="68"/>
        <v>12</v>
      </c>
      <c r="I596" s="10">
        <v>40387</v>
      </c>
      <c r="J596" s="9" t="s">
        <v>87</v>
      </c>
      <c r="K596" s="9" t="s">
        <v>1094</v>
      </c>
      <c r="L596" s="9" t="s">
        <v>213</v>
      </c>
      <c r="M596" s="9" t="s">
        <v>35</v>
      </c>
      <c r="N596" s="11">
        <v>3</v>
      </c>
      <c r="O596" s="12">
        <f t="shared" ca="1" si="65"/>
        <v>13.38082191780822</v>
      </c>
      <c r="P596" s="12">
        <f t="shared" ca="1" si="69"/>
        <v>16.38082191780822</v>
      </c>
      <c r="Q596" s="12" t="s">
        <v>68</v>
      </c>
      <c r="R596" s="9" t="s">
        <v>901</v>
      </c>
      <c r="S596" s="24" t="s">
        <v>36</v>
      </c>
      <c r="T596" s="9" t="s">
        <v>1304</v>
      </c>
    </row>
    <row r="597" spans="1:20" ht="35.25" customHeight="1">
      <c r="A597" s="6">
        <f t="shared" si="66"/>
        <v>596</v>
      </c>
      <c r="B597" s="17" t="s">
        <v>1711</v>
      </c>
      <c r="C597" s="8" t="s">
        <v>1712</v>
      </c>
      <c r="D597" s="9" t="s">
        <v>26</v>
      </c>
      <c r="E597" s="10">
        <v>27911</v>
      </c>
      <c r="F597" s="11">
        <f t="shared" ca="1" si="64"/>
        <v>47.561643835616437</v>
      </c>
      <c r="G597" s="11">
        <f t="shared" si="67"/>
        <v>5</v>
      </c>
      <c r="H597" s="11">
        <f t="shared" si="68"/>
        <v>31</v>
      </c>
      <c r="I597" s="10">
        <v>40392</v>
      </c>
      <c r="J597" s="9" t="s">
        <v>110</v>
      </c>
      <c r="K597" s="9" t="s">
        <v>1518</v>
      </c>
      <c r="L597" s="9" t="s">
        <v>1713</v>
      </c>
      <c r="M597" s="9" t="s">
        <v>35</v>
      </c>
      <c r="N597" s="11">
        <v>12</v>
      </c>
      <c r="O597" s="12">
        <f t="shared" ca="1" si="65"/>
        <v>13.367123287671232</v>
      </c>
      <c r="P597" s="12">
        <f t="shared" ca="1" si="69"/>
        <v>25.367123287671234</v>
      </c>
      <c r="Q597" s="12" t="s">
        <v>26</v>
      </c>
      <c r="R597" s="9" t="s">
        <v>901</v>
      </c>
      <c r="S597" s="24" t="s">
        <v>36</v>
      </c>
      <c r="T597" s="9" t="s">
        <v>72</v>
      </c>
    </row>
    <row r="598" spans="1:20" ht="35.25" customHeight="1">
      <c r="A598" s="6">
        <f t="shared" si="66"/>
        <v>597</v>
      </c>
      <c r="B598" s="17" t="s">
        <v>1714</v>
      </c>
      <c r="C598" s="8" t="s">
        <v>1715</v>
      </c>
      <c r="D598" s="9" t="s">
        <v>26</v>
      </c>
      <c r="E598" s="10">
        <v>26510</v>
      </c>
      <c r="F598" s="11">
        <f t="shared" ca="1" si="64"/>
        <v>51.4</v>
      </c>
      <c r="G598" s="11">
        <f t="shared" si="67"/>
        <v>7</v>
      </c>
      <c r="H598" s="11">
        <f t="shared" si="68"/>
        <v>30</v>
      </c>
      <c r="I598" s="10">
        <v>40392</v>
      </c>
      <c r="J598" s="9" t="s">
        <v>318</v>
      </c>
      <c r="K598" s="9" t="s">
        <v>1716</v>
      </c>
      <c r="L598" s="9" t="s">
        <v>213</v>
      </c>
      <c r="M598" s="9" t="s">
        <v>35</v>
      </c>
      <c r="N598" s="11">
        <v>19</v>
      </c>
      <c r="O598" s="12">
        <f t="shared" ca="1" si="65"/>
        <v>13.367123287671232</v>
      </c>
      <c r="P598" s="12">
        <f t="shared" ca="1" si="69"/>
        <v>32.367123287671234</v>
      </c>
      <c r="Q598" s="12" t="s">
        <v>26</v>
      </c>
      <c r="R598" s="9" t="s">
        <v>901</v>
      </c>
      <c r="S598" s="24" t="s">
        <v>28</v>
      </c>
      <c r="T598" s="9" t="s">
        <v>29</v>
      </c>
    </row>
    <row r="599" spans="1:20" ht="35.25" customHeight="1">
      <c r="A599" s="6">
        <f t="shared" si="66"/>
        <v>598</v>
      </c>
      <c r="B599" s="17" t="s">
        <v>1717</v>
      </c>
      <c r="C599" s="8" t="s">
        <v>1718</v>
      </c>
      <c r="D599" s="9" t="s">
        <v>26</v>
      </c>
      <c r="E599" s="10">
        <v>24138</v>
      </c>
      <c r="F599" s="11">
        <f t="shared" ca="1" si="64"/>
        <v>57.898630136986299</v>
      </c>
      <c r="G599" s="11">
        <f t="shared" si="67"/>
        <v>1</v>
      </c>
      <c r="H599" s="11">
        <f t="shared" si="68"/>
        <v>31</v>
      </c>
      <c r="I599" s="10">
        <v>40396</v>
      </c>
      <c r="J599" s="9" t="s">
        <v>32</v>
      </c>
      <c r="K599" s="9" t="s">
        <v>1719</v>
      </c>
      <c r="L599" s="9" t="s">
        <v>180</v>
      </c>
      <c r="M599" s="9" t="s">
        <v>25</v>
      </c>
      <c r="N599" s="11">
        <v>17</v>
      </c>
      <c r="O599" s="12">
        <f t="shared" ca="1" si="65"/>
        <v>13.356164383561644</v>
      </c>
      <c r="P599" s="12">
        <f t="shared" ca="1" si="69"/>
        <v>30.356164383561644</v>
      </c>
      <c r="Q599" s="12" t="s">
        <v>26</v>
      </c>
      <c r="R599" s="9" t="s">
        <v>901</v>
      </c>
      <c r="S599" s="24" t="s">
        <v>28</v>
      </c>
      <c r="T599" s="9" t="s">
        <v>29</v>
      </c>
    </row>
    <row r="600" spans="1:20" ht="35.25" customHeight="1">
      <c r="A600" s="6">
        <f t="shared" si="66"/>
        <v>599</v>
      </c>
      <c r="B600" s="17" t="s">
        <v>1720</v>
      </c>
      <c r="C600" s="8" t="s">
        <v>1721</v>
      </c>
      <c r="D600" s="9" t="s">
        <v>21</v>
      </c>
      <c r="E600" s="10">
        <v>25692</v>
      </c>
      <c r="F600" s="11">
        <v>40.701369863013696</v>
      </c>
      <c r="G600" s="11">
        <v>5</v>
      </c>
      <c r="H600" s="11">
        <v>4</v>
      </c>
      <c r="I600" s="10">
        <v>40392</v>
      </c>
      <c r="J600" s="9" t="s">
        <v>318</v>
      </c>
      <c r="K600" s="9" t="s">
        <v>258</v>
      </c>
      <c r="L600" s="9" t="s">
        <v>161</v>
      </c>
      <c r="M600" s="9" t="s">
        <v>161</v>
      </c>
      <c r="N600" s="11">
        <v>14</v>
      </c>
      <c r="O600" s="12">
        <f t="shared" ca="1" si="65"/>
        <v>13.367123287671232</v>
      </c>
      <c r="P600" s="12">
        <f t="shared" ca="1" si="69"/>
        <v>27.367123287671234</v>
      </c>
      <c r="Q600" s="12" t="s">
        <v>26</v>
      </c>
      <c r="R600" s="9" t="s">
        <v>901</v>
      </c>
      <c r="S600" s="24" t="s">
        <v>28</v>
      </c>
      <c r="T600" s="9" t="s">
        <v>162</v>
      </c>
    </row>
    <row r="601" spans="1:20" ht="35.25" customHeight="1">
      <c r="A601" s="6">
        <f t="shared" si="66"/>
        <v>600</v>
      </c>
      <c r="B601" s="17" t="s">
        <v>1722</v>
      </c>
      <c r="C601" s="8" t="s">
        <v>1723</v>
      </c>
      <c r="D601" s="9" t="s">
        <v>26</v>
      </c>
      <c r="E601" s="10">
        <v>25620</v>
      </c>
      <c r="F601" s="11">
        <f t="shared" ref="F601:F659" ca="1" si="70">(TODAY()-E601)/365</f>
        <v>53.838356164383562</v>
      </c>
      <c r="G601" s="11">
        <f t="shared" ref="G601:G659" si="71">MONTH(E601)</f>
        <v>2</v>
      </c>
      <c r="H601" s="11">
        <f t="shared" ref="H601:H659" si="72">DAY(E601)</f>
        <v>21</v>
      </c>
      <c r="I601" s="10">
        <v>40385</v>
      </c>
      <c r="J601" s="9" t="s">
        <v>32</v>
      </c>
      <c r="K601" s="9" t="s">
        <v>1074</v>
      </c>
      <c r="L601" s="9" t="s">
        <v>1061</v>
      </c>
      <c r="M601" s="9" t="s">
        <v>134</v>
      </c>
      <c r="N601" s="11">
        <v>19</v>
      </c>
      <c r="O601" s="12">
        <f t="shared" ca="1" si="65"/>
        <v>13.386301369863014</v>
      </c>
      <c r="P601" s="12">
        <f t="shared" ca="1" si="69"/>
        <v>32.386301369863013</v>
      </c>
      <c r="Q601" s="12" t="s">
        <v>26</v>
      </c>
      <c r="R601" s="9" t="s">
        <v>901</v>
      </c>
      <c r="S601" s="24" t="s">
        <v>36</v>
      </c>
      <c r="T601" s="9" t="s">
        <v>137</v>
      </c>
    </row>
    <row r="602" spans="1:20" ht="35.25" customHeight="1">
      <c r="A602" s="6">
        <f t="shared" si="66"/>
        <v>601</v>
      </c>
      <c r="B602" s="17" t="s">
        <v>1724</v>
      </c>
      <c r="C602" s="8" t="s">
        <v>1725</v>
      </c>
      <c r="D602" s="9" t="s">
        <v>26</v>
      </c>
      <c r="E602" s="10">
        <v>30998</v>
      </c>
      <c r="F602" s="11">
        <f t="shared" ca="1" si="70"/>
        <v>39.104109589041094</v>
      </c>
      <c r="G602" s="11">
        <f t="shared" si="71"/>
        <v>11</v>
      </c>
      <c r="H602" s="11">
        <f t="shared" si="72"/>
        <v>12</v>
      </c>
      <c r="I602" s="10">
        <v>40395</v>
      </c>
      <c r="J602" s="9" t="s">
        <v>22</v>
      </c>
      <c r="K602" s="9" t="s">
        <v>425</v>
      </c>
      <c r="L602" s="9" t="s">
        <v>796</v>
      </c>
      <c r="M602" s="9" t="s">
        <v>35</v>
      </c>
      <c r="N602" s="11">
        <v>2.8</v>
      </c>
      <c r="O602" s="12">
        <f t="shared" ca="1" si="65"/>
        <v>13.358904109589041</v>
      </c>
      <c r="P602" s="12">
        <f t="shared" ca="1" si="69"/>
        <v>16.158904109589042</v>
      </c>
      <c r="Q602" s="12" t="s">
        <v>68</v>
      </c>
      <c r="R602" s="9" t="s">
        <v>901</v>
      </c>
      <c r="S602" s="24" t="s">
        <v>28</v>
      </c>
      <c r="T602" s="9" t="s">
        <v>29</v>
      </c>
    </row>
    <row r="603" spans="1:20" ht="35.25" customHeight="1">
      <c r="A603" s="6">
        <f t="shared" si="66"/>
        <v>602</v>
      </c>
      <c r="B603" s="17" t="s">
        <v>1726</v>
      </c>
      <c r="C603" s="8" t="s">
        <v>1727</v>
      </c>
      <c r="D603" s="9" t="s">
        <v>26</v>
      </c>
      <c r="E603" s="10">
        <v>29516</v>
      </c>
      <c r="F603" s="11">
        <f t="shared" ca="1" si="70"/>
        <v>43.164383561643838</v>
      </c>
      <c r="G603" s="11">
        <f t="shared" si="71"/>
        <v>10</v>
      </c>
      <c r="H603" s="11">
        <f t="shared" si="72"/>
        <v>22</v>
      </c>
      <c r="I603" s="10">
        <v>40395</v>
      </c>
      <c r="J603" s="9" t="s">
        <v>58</v>
      </c>
      <c r="K603" s="9" t="s">
        <v>79</v>
      </c>
      <c r="L603" s="9" t="s">
        <v>34</v>
      </c>
      <c r="M603" s="9" t="s">
        <v>156</v>
      </c>
      <c r="N603" s="11">
        <v>6</v>
      </c>
      <c r="O603" s="12">
        <f t="shared" ca="1" si="65"/>
        <v>13.358904109589041</v>
      </c>
      <c r="P603" s="12">
        <f t="shared" ca="1" si="69"/>
        <v>19.358904109589041</v>
      </c>
      <c r="Q603" s="12" t="s">
        <v>26</v>
      </c>
      <c r="R603" s="9" t="s">
        <v>901</v>
      </c>
      <c r="S603" s="24" t="s">
        <v>36</v>
      </c>
      <c r="T603" s="9" t="s">
        <v>114</v>
      </c>
    </row>
    <row r="604" spans="1:20" ht="35.25" customHeight="1">
      <c r="A604" s="6">
        <f t="shared" si="66"/>
        <v>603</v>
      </c>
      <c r="B604" s="17" t="s">
        <v>1728</v>
      </c>
      <c r="C604" s="8" t="s">
        <v>1729</v>
      </c>
      <c r="D604" s="9" t="s">
        <v>26</v>
      </c>
      <c r="E604" s="10">
        <v>30663</v>
      </c>
      <c r="F604" s="11">
        <f t="shared" ca="1" si="70"/>
        <v>40.021917808219179</v>
      </c>
      <c r="G604" s="11">
        <f t="shared" si="71"/>
        <v>12</v>
      </c>
      <c r="H604" s="11">
        <f t="shared" si="72"/>
        <v>13</v>
      </c>
      <c r="I604" s="10">
        <v>40395</v>
      </c>
      <c r="J604" s="9" t="s">
        <v>22</v>
      </c>
      <c r="K604" s="9" t="s">
        <v>1730</v>
      </c>
      <c r="L604" s="9" t="s">
        <v>796</v>
      </c>
      <c r="M604" s="9" t="s">
        <v>35</v>
      </c>
      <c r="N604" s="11">
        <v>2.1</v>
      </c>
      <c r="O604" s="12">
        <f t="shared" ca="1" si="65"/>
        <v>13.358904109589041</v>
      </c>
      <c r="P604" s="12">
        <f t="shared" ca="1" si="69"/>
        <v>15.45890410958904</v>
      </c>
      <c r="Q604" s="12" t="s">
        <v>68</v>
      </c>
      <c r="R604" s="9" t="s">
        <v>901</v>
      </c>
      <c r="S604" s="24" t="s">
        <v>28</v>
      </c>
      <c r="T604" s="9" t="s">
        <v>29</v>
      </c>
    </row>
    <row r="605" spans="1:20" ht="35.25" customHeight="1">
      <c r="A605" s="6">
        <f t="shared" si="66"/>
        <v>604</v>
      </c>
      <c r="B605" s="17" t="s">
        <v>1731</v>
      </c>
      <c r="C605" s="8" t="s">
        <v>1732</v>
      </c>
      <c r="D605" s="9" t="s">
        <v>26</v>
      </c>
      <c r="E605" s="10">
        <v>28918</v>
      </c>
      <c r="F605" s="11">
        <f t="shared" ca="1" si="70"/>
        <v>44.802739726027397</v>
      </c>
      <c r="G605" s="11">
        <f t="shared" si="71"/>
        <v>3</v>
      </c>
      <c r="H605" s="11">
        <f t="shared" si="72"/>
        <v>4</v>
      </c>
      <c r="I605" s="10">
        <v>40389</v>
      </c>
      <c r="J605" s="9" t="s">
        <v>87</v>
      </c>
      <c r="K605" s="9" t="s">
        <v>1733</v>
      </c>
      <c r="L605" s="24" t="s">
        <v>490</v>
      </c>
      <c r="M605" s="9" t="s">
        <v>491</v>
      </c>
      <c r="N605" s="19">
        <v>5</v>
      </c>
      <c r="O605" s="12">
        <f t="shared" ca="1" si="65"/>
        <v>13.375342465753425</v>
      </c>
      <c r="P605" s="12">
        <f t="shared" ca="1" si="69"/>
        <v>18.375342465753427</v>
      </c>
      <c r="Q605" s="12" t="s">
        <v>68</v>
      </c>
      <c r="R605" s="9" t="s">
        <v>792</v>
      </c>
      <c r="S605" s="24" t="s">
        <v>28</v>
      </c>
      <c r="T605" s="9" t="s">
        <v>492</v>
      </c>
    </row>
    <row r="606" spans="1:20" ht="35.25" customHeight="1">
      <c r="A606" s="6">
        <f t="shared" si="66"/>
        <v>605</v>
      </c>
      <c r="B606" s="17" t="s">
        <v>1734</v>
      </c>
      <c r="C606" s="8" t="s">
        <v>1735</v>
      </c>
      <c r="D606" s="9" t="s">
        <v>26</v>
      </c>
      <c r="E606" s="10">
        <v>29174</v>
      </c>
      <c r="F606" s="11">
        <f t="shared" ca="1" si="70"/>
        <v>44.101369863013701</v>
      </c>
      <c r="G606" s="11">
        <f t="shared" si="71"/>
        <v>11</v>
      </c>
      <c r="H606" s="11">
        <f t="shared" si="72"/>
        <v>15</v>
      </c>
      <c r="I606" s="10">
        <v>40392</v>
      </c>
      <c r="J606" s="9" t="s">
        <v>87</v>
      </c>
      <c r="K606" s="9" t="s">
        <v>135</v>
      </c>
      <c r="L606" s="24" t="s">
        <v>490</v>
      </c>
      <c r="M606" s="9" t="s">
        <v>491</v>
      </c>
      <c r="N606" s="19">
        <v>3</v>
      </c>
      <c r="O606" s="12">
        <f t="shared" ca="1" si="65"/>
        <v>13.367123287671232</v>
      </c>
      <c r="P606" s="12">
        <f t="shared" ca="1" si="69"/>
        <v>16.367123287671234</v>
      </c>
      <c r="Q606" s="12" t="s">
        <v>26</v>
      </c>
      <c r="R606" s="9" t="s">
        <v>705</v>
      </c>
      <c r="S606" s="24" t="s">
        <v>28</v>
      </c>
      <c r="T606" s="9" t="s">
        <v>492</v>
      </c>
    </row>
    <row r="607" spans="1:20" ht="35.25" customHeight="1">
      <c r="A607" s="6">
        <f t="shared" si="66"/>
        <v>606</v>
      </c>
      <c r="B607" s="17" t="s">
        <v>1736</v>
      </c>
      <c r="C607" s="8" t="s">
        <v>1737</v>
      </c>
      <c r="D607" s="9" t="s">
        <v>26</v>
      </c>
      <c r="E607" s="10">
        <v>31035</v>
      </c>
      <c r="F607" s="11">
        <f t="shared" ca="1" si="70"/>
        <v>39.0027397260274</v>
      </c>
      <c r="G607" s="11">
        <f t="shared" si="71"/>
        <v>12</v>
      </c>
      <c r="H607" s="11">
        <f t="shared" si="72"/>
        <v>19</v>
      </c>
      <c r="I607" s="10">
        <v>40395</v>
      </c>
      <c r="J607" s="9" t="s">
        <v>45</v>
      </c>
      <c r="K607" s="9" t="s">
        <v>477</v>
      </c>
      <c r="L607" s="9" t="s">
        <v>34</v>
      </c>
      <c r="M607" s="9" t="s">
        <v>35</v>
      </c>
      <c r="N607" s="11">
        <v>5.0999999999999996</v>
      </c>
      <c r="O607" s="12">
        <f t="shared" ca="1" si="65"/>
        <v>13.358904109589041</v>
      </c>
      <c r="P607" s="12">
        <f t="shared" ca="1" si="69"/>
        <v>18.458904109589042</v>
      </c>
      <c r="Q607" s="12" t="s">
        <v>68</v>
      </c>
      <c r="R607" s="9" t="s">
        <v>901</v>
      </c>
      <c r="S607" s="24" t="s">
        <v>36</v>
      </c>
      <c r="T607" s="9" t="s">
        <v>860</v>
      </c>
    </row>
    <row r="608" spans="1:20" ht="35.25" customHeight="1">
      <c r="A608" s="6">
        <f t="shared" si="66"/>
        <v>607</v>
      </c>
      <c r="B608" s="17" t="s">
        <v>1738</v>
      </c>
      <c r="C608" s="8" t="s">
        <v>1739</v>
      </c>
      <c r="D608" s="9" t="s">
        <v>26</v>
      </c>
      <c r="E608" s="10">
        <v>28562</v>
      </c>
      <c r="F608" s="11">
        <f t="shared" ca="1" si="70"/>
        <v>45.778082191780825</v>
      </c>
      <c r="G608" s="11">
        <f t="shared" si="71"/>
        <v>3</v>
      </c>
      <c r="H608" s="11">
        <f t="shared" si="72"/>
        <v>13</v>
      </c>
      <c r="I608" s="10">
        <v>40395</v>
      </c>
      <c r="J608" s="9" t="s">
        <v>226</v>
      </c>
      <c r="K608" s="9" t="s">
        <v>710</v>
      </c>
      <c r="L608" s="9" t="s">
        <v>55</v>
      </c>
      <c r="M608" s="9" t="s">
        <v>35</v>
      </c>
      <c r="N608" s="11">
        <v>9</v>
      </c>
      <c r="O608" s="12">
        <f t="shared" ca="1" si="65"/>
        <v>13.358904109589041</v>
      </c>
      <c r="P608" s="12">
        <f t="shared" ca="1" si="69"/>
        <v>22.358904109589041</v>
      </c>
      <c r="Q608" s="12" t="s">
        <v>26</v>
      </c>
      <c r="R608" s="9" t="s">
        <v>95</v>
      </c>
      <c r="S608" s="24" t="s">
        <v>36</v>
      </c>
      <c r="T608" s="9" t="s">
        <v>976</v>
      </c>
    </row>
    <row r="609" spans="1:20" ht="35.25" customHeight="1">
      <c r="A609" s="6">
        <f t="shared" si="66"/>
        <v>608</v>
      </c>
      <c r="B609" s="17" t="s">
        <v>1740</v>
      </c>
      <c r="C609" s="8" t="s">
        <v>1741</v>
      </c>
      <c r="D609" s="9" t="s">
        <v>21</v>
      </c>
      <c r="E609" s="10">
        <v>32282</v>
      </c>
      <c r="F609" s="11">
        <f t="shared" ca="1" si="70"/>
        <v>35.586301369863016</v>
      </c>
      <c r="G609" s="11">
        <f t="shared" si="71"/>
        <v>5</v>
      </c>
      <c r="H609" s="11">
        <f t="shared" si="72"/>
        <v>19</v>
      </c>
      <c r="I609" s="10">
        <v>40399</v>
      </c>
      <c r="J609" s="9" t="s">
        <v>226</v>
      </c>
      <c r="K609" s="9" t="s">
        <v>600</v>
      </c>
      <c r="L609" s="9" t="s">
        <v>213</v>
      </c>
      <c r="M609" s="9" t="s">
        <v>35</v>
      </c>
      <c r="N609" s="11">
        <v>1</v>
      </c>
      <c r="O609" s="12">
        <f t="shared" ca="1" si="65"/>
        <v>13.347945205479451</v>
      </c>
      <c r="P609" s="12">
        <f t="shared" ca="1" si="69"/>
        <v>14.347945205479451</v>
      </c>
      <c r="Q609" s="12" t="s">
        <v>68</v>
      </c>
      <c r="R609" s="9" t="s">
        <v>901</v>
      </c>
      <c r="S609" s="24" t="s">
        <v>28</v>
      </c>
      <c r="T609" s="9" t="s">
        <v>29</v>
      </c>
    </row>
    <row r="610" spans="1:20" ht="35.25" customHeight="1">
      <c r="A610" s="6">
        <f t="shared" si="66"/>
        <v>609</v>
      </c>
      <c r="B610" s="17" t="s">
        <v>1742</v>
      </c>
      <c r="C610" s="8" t="s">
        <v>1743</v>
      </c>
      <c r="D610" s="9" t="s">
        <v>26</v>
      </c>
      <c r="E610" s="10">
        <v>31186</v>
      </c>
      <c r="F610" s="11">
        <f t="shared" ca="1" si="70"/>
        <v>38.589041095890408</v>
      </c>
      <c r="G610" s="11">
        <f t="shared" si="71"/>
        <v>5</v>
      </c>
      <c r="H610" s="11">
        <f t="shared" si="72"/>
        <v>19</v>
      </c>
      <c r="I610" s="10">
        <v>40399</v>
      </c>
      <c r="J610" s="9" t="s">
        <v>45</v>
      </c>
      <c r="K610" s="9" t="s">
        <v>477</v>
      </c>
      <c r="L610" s="9" t="s">
        <v>34</v>
      </c>
      <c r="M610" s="9" t="s">
        <v>35</v>
      </c>
      <c r="N610" s="11">
        <v>4</v>
      </c>
      <c r="O610" s="12">
        <f t="shared" ca="1" si="65"/>
        <v>13.347945205479451</v>
      </c>
      <c r="P610" s="12">
        <f t="shared" ca="1" si="69"/>
        <v>17.347945205479451</v>
      </c>
      <c r="Q610" s="12" t="s">
        <v>26</v>
      </c>
      <c r="R610" s="9" t="s">
        <v>901</v>
      </c>
      <c r="S610" s="24" t="s">
        <v>36</v>
      </c>
      <c r="T610" s="9" t="s">
        <v>860</v>
      </c>
    </row>
    <row r="611" spans="1:20" ht="35.25" customHeight="1">
      <c r="A611" s="6">
        <f t="shared" si="66"/>
        <v>610</v>
      </c>
      <c r="B611" s="17" t="s">
        <v>1744</v>
      </c>
      <c r="C611" s="8" t="s">
        <v>1745</v>
      </c>
      <c r="D611" s="9" t="s">
        <v>26</v>
      </c>
      <c r="E611" s="10">
        <v>30744</v>
      </c>
      <c r="F611" s="11">
        <f t="shared" ca="1" si="70"/>
        <v>39.799999999999997</v>
      </c>
      <c r="G611" s="11">
        <f t="shared" si="71"/>
        <v>3</v>
      </c>
      <c r="H611" s="11">
        <f t="shared" si="72"/>
        <v>3</v>
      </c>
      <c r="I611" s="10">
        <v>40401</v>
      </c>
      <c r="J611" s="9" t="s">
        <v>45</v>
      </c>
      <c r="K611" s="9" t="s">
        <v>1746</v>
      </c>
      <c r="L611" s="9" t="s">
        <v>34</v>
      </c>
      <c r="M611" s="9" t="s">
        <v>35</v>
      </c>
      <c r="N611" s="11">
        <v>4.0999999999999996</v>
      </c>
      <c r="O611" s="12">
        <f t="shared" ca="1" si="65"/>
        <v>13.342465753424657</v>
      </c>
      <c r="P611" s="12">
        <f t="shared" ca="1" si="69"/>
        <v>17.442465753424656</v>
      </c>
      <c r="Q611" s="12" t="s">
        <v>68</v>
      </c>
      <c r="R611" s="9" t="s">
        <v>901</v>
      </c>
      <c r="S611" s="24" t="s">
        <v>36</v>
      </c>
      <c r="T611" s="9" t="s">
        <v>72</v>
      </c>
    </row>
    <row r="612" spans="1:20" ht="35.25" customHeight="1">
      <c r="A612" s="6">
        <f t="shared" si="66"/>
        <v>611</v>
      </c>
      <c r="B612" s="17" t="s">
        <v>1747</v>
      </c>
      <c r="C612" s="8" t="s">
        <v>1748</v>
      </c>
      <c r="D612" s="9" t="s">
        <v>26</v>
      </c>
      <c r="E612" s="10">
        <v>31168</v>
      </c>
      <c r="F612" s="11">
        <f t="shared" ca="1" si="70"/>
        <v>38.638356164383559</v>
      </c>
      <c r="G612" s="11">
        <f t="shared" si="71"/>
        <v>5</v>
      </c>
      <c r="H612" s="11">
        <f t="shared" si="72"/>
        <v>1</v>
      </c>
      <c r="I612" s="10">
        <v>40401</v>
      </c>
      <c r="J612" s="9" t="s">
        <v>41</v>
      </c>
      <c r="K612" s="9" t="s">
        <v>863</v>
      </c>
      <c r="L612" s="9" t="s">
        <v>1333</v>
      </c>
      <c r="M612" s="9" t="s">
        <v>35</v>
      </c>
      <c r="N612" s="11">
        <v>4</v>
      </c>
      <c r="O612" s="12">
        <f t="shared" ca="1" si="65"/>
        <v>13.342465753424657</v>
      </c>
      <c r="P612" s="12">
        <f t="shared" ca="1" si="69"/>
        <v>17.342465753424655</v>
      </c>
      <c r="Q612" s="12" t="s">
        <v>68</v>
      </c>
      <c r="R612" s="9" t="s">
        <v>627</v>
      </c>
      <c r="S612" s="24" t="s">
        <v>36</v>
      </c>
      <c r="T612" s="9" t="s">
        <v>1329</v>
      </c>
    </row>
    <row r="613" spans="1:20" ht="35.25" customHeight="1">
      <c r="A613" s="6">
        <f t="shared" si="66"/>
        <v>612</v>
      </c>
      <c r="B613" s="17" t="s">
        <v>1749</v>
      </c>
      <c r="C613" s="8" t="s">
        <v>1750</v>
      </c>
      <c r="D613" s="9" t="s">
        <v>26</v>
      </c>
      <c r="E613" s="10">
        <v>24215</v>
      </c>
      <c r="F613" s="11">
        <f t="shared" ca="1" si="70"/>
        <v>57.68767123287671</v>
      </c>
      <c r="G613" s="11">
        <f t="shared" si="71"/>
        <v>4</v>
      </c>
      <c r="H613" s="11">
        <f t="shared" si="72"/>
        <v>18</v>
      </c>
      <c r="I613" s="10">
        <v>40403</v>
      </c>
      <c r="J613" s="9" t="s">
        <v>22</v>
      </c>
      <c r="K613" s="9" t="s">
        <v>729</v>
      </c>
      <c r="L613" s="9" t="s">
        <v>60</v>
      </c>
      <c r="M613" s="9" t="s">
        <v>134</v>
      </c>
      <c r="N613" s="11">
        <v>20</v>
      </c>
      <c r="O613" s="12">
        <f t="shared" ca="1" si="65"/>
        <v>13.336986301369864</v>
      </c>
      <c r="P613" s="12">
        <f t="shared" ca="1" si="69"/>
        <v>33.336986301369862</v>
      </c>
      <c r="Q613" s="12" t="s">
        <v>26</v>
      </c>
      <c r="R613" s="9" t="s">
        <v>901</v>
      </c>
      <c r="S613" s="24" t="s">
        <v>28</v>
      </c>
      <c r="T613" s="9" t="s">
        <v>29</v>
      </c>
    </row>
    <row r="614" spans="1:20" ht="35.25" customHeight="1">
      <c r="A614" s="6">
        <f t="shared" si="66"/>
        <v>613</v>
      </c>
      <c r="B614" s="17" t="s">
        <v>1751</v>
      </c>
      <c r="C614" s="8" t="s">
        <v>1752</v>
      </c>
      <c r="D614" s="9" t="s">
        <v>21</v>
      </c>
      <c r="E614" s="10">
        <v>22872</v>
      </c>
      <c r="F614" s="11">
        <f t="shared" ca="1" si="70"/>
        <v>61.367123287671234</v>
      </c>
      <c r="G614" s="11">
        <f t="shared" si="71"/>
        <v>8</v>
      </c>
      <c r="H614" s="11">
        <f t="shared" si="72"/>
        <v>14</v>
      </c>
      <c r="I614" s="10">
        <v>40403</v>
      </c>
      <c r="J614" s="9" t="s">
        <v>66</v>
      </c>
      <c r="K614" s="9" t="s">
        <v>1753</v>
      </c>
      <c r="L614" s="9" t="s">
        <v>147</v>
      </c>
      <c r="M614" s="9" t="s">
        <v>25</v>
      </c>
      <c r="N614" s="11">
        <v>24</v>
      </c>
      <c r="O614" s="12">
        <f t="shared" ca="1" si="65"/>
        <v>13.336986301369864</v>
      </c>
      <c r="P614" s="12">
        <f t="shared" ca="1" si="69"/>
        <v>37.336986301369862</v>
      </c>
      <c r="Q614" s="12" t="s">
        <v>26</v>
      </c>
      <c r="R614" s="9" t="s">
        <v>901</v>
      </c>
      <c r="S614" s="24" t="s">
        <v>28</v>
      </c>
      <c r="T614" s="9" t="s">
        <v>29</v>
      </c>
    </row>
    <row r="615" spans="1:20" ht="35.25" customHeight="1">
      <c r="A615" s="6">
        <f t="shared" si="66"/>
        <v>614</v>
      </c>
      <c r="B615" s="17" t="s">
        <v>1754</v>
      </c>
      <c r="C615" s="8" t="s">
        <v>1755</v>
      </c>
      <c r="D615" s="9" t="s">
        <v>26</v>
      </c>
      <c r="E615" s="10">
        <v>26027</v>
      </c>
      <c r="F615" s="11">
        <f t="shared" ca="1" si="70"/>
        <v>52.723287671232875</v>
      </c>
      <c r="G615" s="11">
        <f t="shared" si="71"/>
        <v>4</v>
      </c>
      <c r="H615" s="11">
        <f t="shared" si="72"/>
        <v>4</v>
      </c>
      <c r="I615" s="10">
        <v>40397</v>
      </c>
      <c r="J615" s="9" t="s">
        <v>318</v>
      </c>
      <c r="K615" s="9" t="s">
        <v>1756</v>
      </c>
      <c r="L615" s="9" t="s">
        <v>180</v>
      </c>
      <c r="M615" s="9" t="s">
        <v>25</v>
      </c>
      <c r="N615" s="11">
        <v>39</v>
      </c>
      <c r="O615" s="12">
        <f t="shared" ca="1" si="65"/>
        <v>13.353424657534246</v>
      </c>
      <c r="P615" s="12">
        <f t="shared" ca="1" si="69"/>
        <v>52.353424657534248</v>
      </c>
      <c r="Q615" s="12" t="s">
        <v>26</v>
      </c>
      <c r="R615" s="9" t="s">
        <v>232</v>
      </c>
      <c r="S615" s="24" t="s">
        <v>28</v>
      </c>
      <c r="T615" s="9" t="s">
        <v>29</v>
      </c>
    </row>
    <row r="616" spans="1:20" ht="35.25" customHeight="1">
      <c r="A616" s="6">
        <f t="shared" si="66"/>
        <v>615</v>
      </c>
      <c r="B616" s="17" t="s">
        <v>1757</v>
      </c>
      <c r="C616" s="8" t="s">
        <v>1758</v>
      </c>
      <c r="D616" s="9" t="s">
        <v>26</v>
      </c>
      <c r="E616" s="10">
        <v>31203</v>
      </c>
      <c r="F616" s="11">
        <f t="shared" ca="1" si="70"/>
        <v>38.542465753424658</v>
      </c>
      <c r="G616" s="11">
        <f t="shared" si="71"/>
        <v>6</v>
      </c>
      <c r="H616" s="11">
        <f t="shared" si="72"/>
        <v>5</v>
      </c>
      <c r="I616" s="10">
        <v>40406</v>
      </c>
      <c r="J616" s="9" t="s">
        <v>45</v>
      </c>
      <c r="K616" s="9" t="s">
        <v>1759</v>
      </c>
      <c r="L616" s="9" t="s">
        <v>34</v>
      </c>
      <c r="M616" s="9" t="s">
        <v>35</v>
      </c>
      <c r="N616" s="11">
        <v>6</v>
      </c>
      <c r="O616" s="12">
        <f t="shared" ca="1" si="65"/>
        <v>13.328767123287671</v>
      </c>
      <c r="P616" s="12">
        <f t="shared" ca="1" si="69"/>
        <v>19.328767123287669</v>
      </c>
      <c r="Q616" s="12" t="s">
        <v>68</v>
      </c>
      <c r="R616" s="9" t="s">
        <v>27</v>
      </c>
      <c r="S616" s="24" t="s">
        <v>36</v>
      </c>
      <c r="T616" s="9" t="s">
        <v>72</v>
      </c>
    </row>
    <row r="617" spans="1:20" ht="35.25" customHeight="1">
      <c r="A617" s="6">
        <f t="shared" si="66"/>
        <v>616</v>
      </c>
      <c r="B617" s="17" t="s">
        <v>1760</v>
      </c>
      <c r="C617" s="17" t="s">
        <v>1761</v>
      </c>
      <c r="D617" s="9" t="s">
        <v>26</v>
      </c>
      <c r="E617" s="10">
        <v>25348</v>
      </c>
      <c r="F617" s="11">
        <f t="shared" ca="1" si="70"/>
        <v>54.583561643835615</v>
      </c>
      <c r="G617" s="11">
        <f t="shared" si="71"/>
        <v>5</v>
      </c>
      <c r="H617" s="11">
        <f t="shared" si="72"/>
        <v>25</v>
      </c>
      <c r="I617" s="10">
        <v>40406</v>
      </c>
      <c r="J617" s="9" t="s">
        <v>318</v>
      </c>
      <c r="K617" s="9" t="s">
        <v>1762</v>
      </c>
      <c r="L617" s="9" t="s">
        <v>147</v>
      </c>
      <c r="M617" s="9" t="s">
        <v>25</v>
      </c>
      <c r="N617" s="11">
        <v>19</v>
      </c>
      <c r="O617" s="12">
        <f t="shared" ca="1" si="65"/>
        <v>13.328767123287671</v>
      </c>
      <c r="P617" s="12">
        <f t="shared" ca="1" si="69"/>
        <v>32.328767123287669</v>
      </c>
      <c r="Q617" s="12" t="s">
        <v>26</v>
      </c>
      <c r="R617" s="9" t="s">
        <v>27</v>
      </c>
      <c r="S617" s="24" t="s">
        <v>28</v>
      </c>
      <c r="T617" s="9" t="s">
        <v>29</v>
      </c>
    </row>
    <row r="618" spans="1:20" ht="35.25" customHeight="1">
      <c r="A618" s="6">
        <f t="shared" si="66"/>
        <v>617</v>
      </c>
      <c r="B618" s="17" t="s">
        <v>1763</v>
      </c>
      <c r="C618" s="8" t="s">
        <v>1764</v>
      </c>
      <c r="D618" s="9" t="s">
        <v>26</v>
      </c>
      <c r="E618" s="10">
        <v>23139</v>
      </c>
      <c r="F618" s="11">
        <f t="shared" ca="1" si="70"/>
        <v>60.635616438356166</v>
      </c>
      <c r="G618" s="11">
        <f t="shared" si="71"/>
        <v>5</v>
      </c>
      <c r="H618" s="11">
        <f t="shared" si="72"/>
        <v>8</v>
      </c>
      <c r="I618" s="10">
        <v>40409</v>
      </c>
      <c r="J618" s="9" t="s">
        <v>93</v>
      </c>
      <c r="K618" s="9" t="s">
        <v>1765</v>
      </c>
      <c r="L618" s="9" t="s">
        <v>60</v>
      </c>
      <c r="M618" s="9" t="s">
        <v>35</v>
      </c>
      <c r="N618" s="11">
        <v>25</v>
      </c>
      <c r="O618" s="12">
        <f t="shared" ca="1" si="65"/>
        <v>13.32054794520548</v>
      </c>
      <c r="P618" s="12">
        <f t="shared" ca="1" si="69"/>
        <v>38.320547945205476</v>
      </c>
      <c r="Q618" s="12" t="s">
        <v>26</v>
      </c>
      <c r="R618" s="9" t="s">
        <v>95</v>
      </c>
      <c r="S618" s="24" t="s">
        <v>28</v>
      </c>
      <c r="T618" s="9" t="s">
        <v>29</v>
      </c>
    </row>
    <row r="619" spans="1:20" ht="35.25" customHeight="1">
      <c r="A619" s="6">
        <f t="shared" si="66"/>
        <v>618</v>
      </c>
      <c r="B619" s="17" t="s">
        <v>1766</v>
      </c>
      <c r="C619" s="8" t="s">
        <v>1767</v>
      </c>
      <c r="D619" s="9" t="s">
        <v>26</v>
      </c>
      <c r="E619" s="10">
        <v>29009</v>
      </c>
      <c r="F619" s="11">
        <f t="shared" ca="1" si="70"/>
        <v>44.553424657534244</v>
      </c>
      <c r="G619" s="11">
        <f t="shared" si="71"/>
        <v>6</v>
      </c>
      <c r="H619" s="11">
        <f t="shared" si="72"/>
        <v>3</v>
      </c>
      <c r="I619" s="10">
        <v>40409</v>
      </c>
      <c r="J619" s="9" t="s">
        <v>110</v>
      </c>
      <c r="K619" s="9" t="s">
        <v>278</v>
      </c>
      <c r="L619" s="9" t="s">
        <v>34</v>
      </c>
      <c r="M619" s="9" t="s">
        <v>35</v>
      </c>
      <c r="N619" s="11">
        <v>11</v>
      </c>
      <c r="O619" s="12">
        <f t="shared" ca="1" si="65"/>
        <v>13.32054794520548</v>
      </c>
      <c r="P619" s="12">
        <f t="shared" ca="1" si="69"/>
        <v>24.32054794520548</v>
      </c>
      <c r="Q619" s="12" t="s">
        <v>26</v>
      </c>
      <c r="R619" s="9" t="s">
        <v>27</v>
      </c>
      <c r="S619" s="24" t="s">
        <v>36</v>
      </c>
      <c r="T619" s="9" t="s">
        <v>860</v>
      </c>
    </row>
    <row r="620" spans="1:20" ht="35.25" customHeight="1">
      <c r="A620" s="6">
        <f t="shared" si="66"/>
        <v>619</v>
      </c>
      <c r="B620" s="17" t="s">
        <v>1768</v>
      </c>
      <c r="C620" s="8" t="s">
        <v>1769</v>
      </c>
      <c r="D620" s="9" t="s">
        <v>21</v>
      </c>
      <c r="E620" s="10">
        <v>28543</v>
      </c>
      <c r="F620" s="11">
        <f t="shared" ca="1" si="70"/>
        <v>45.830136986301369</v>
      </c>
      <c r="G620" s="11">
        <f t="shared" si="71"/>
        <v>2</v>
      </c>
      <c r="H620" s="11">
        <f t="shared" si="72"/>
        <v>22</v>
      </c>
      <c r="I620" s="10">
        <v>40410</v>
      </c>
      <c r="J620" s="9" t="s">
        <v>50</v>
      </c>
      <c r="K620" s="9" t="s">
        <v>159</v>
      </c>
      <c r="L620" s="9" t="s">
        <v>160</v>
      </c>
      <c r="M620" s="9" t="s">
        <v>156</v>
      </c>
      <c r="N620" s="11">
        <v>11</v>
      </c>
      <c r="O620" s="12">
        <f t="shared" ca="1" si="65"/>
        <v>13.317808219178081</v>
      </c>
      <c r="P620" s="12">
        <f t="shared" ca="1" si="69"/>
        <v>24.317808219178083</v>
      </c>
      <c r="Q620" s="12" t="s">
        <v>26</v>
      </c>
      <c r="R620" s="9" t="s">
        <v>27</v>
      </c>
      <c r="S620" s="24" t="s">
        <v>28</v>
      </c>
      <c r="T620" s="9" t="s">
        <v>29</v>
      </c>
    </row>
    <row r="621" spans="1:20" ht="35.25" customHeight="1">
      <c r="A621" s="6">
        <f t="shared" si="66"/>
        <v>620</v>
      </c>
      <c r="B621" s="17" t="s">
        <v>1770</v>
      </c>
      <c r="C621" s="8" t="s">
        <v>1771</v>
      </c>
      <c r="D621" s="9" t="s">
        <v>26</v>
      </c>
      <c r="E621" s="10">
        <v>24615</v>
      </c>
      <c r="F621" s="11">
        <f t="shared" ca="1" si="70"/>
        <v>56.591780821917808</v>
      </c>
      <c r="G621" s="11">
        <f t="shared" si="71"/>
        <v>5</v>
      </c>
      <c r="H621" s="11">
        <f t="shared" si="72"/>
        <v>23</v>
      </c>
      <c r="I621" s="10">
        <v>40409</v>
      </c>
      <c r="J621" s="9" t="s">
        <v>132</v>
      </c>
      <c r="K621" s="9" t="s">
        <v>103</v>
      </c>
      <c r="L621" s="9" t="s">
        <v>231</v>
      </c>
      <c r="M621" s="9" t="s">
        <v>61</v>
      </c>
      <c r="N621" s="11">
        <v>7</v>
      </c>
      <c r="O621" s="12">
        <f t="shared" ca="1" si="65"/>
        <v>13.32054794520548</v>
      </c>
      <c r="P621" s="12">
        <f t="shared" ca="1" si="69"/>
        <v>20.32054794520548</v>
      </c>
      <c r="Q621" s="12" t="s">
        <v>26</v>
      </c>
      <c r="R621" s="9" t="s">
        <v>27</v>
      </c>
      <c r="S621" s="24" t="s">
        <v>36</v>
      </c>
      <c r="T621" s="9" t="s">
        <v>114</v>
      </c>
    </row>
    <row r="622" spans="1:20" ht="35.25" customHeight="1">
      <c r="A622" s="6">
        <f t="shared" si="66"/>
        <v>621</v>
      </c>
      <c r="B622" s="17" t="s">
        <v>1772</v>
      </c>
      <c r="C622" s="8" t="s">
        <v>1773</v>
      </c>
      <c r="D622" s="9" t="s">
        <v>26</v>
      </c>
      <c r="E622" s="10">
        <v>24607</v>
      </c>
      <c r="F622" s="11">
        <f t="shared" ca="1" si="70"/>
        <v>56.613698630136987</v>
      </c>
      <c r="G622" s="11">
        <f t="shared" si="71"/>
        <v>5</v>
      </c>
      <c r="H622" s="11">
        <f t="shared" si="72"/>
        <v>15</v>
      </c>
      <c r="I622" s="10">
        <v>40411</v>
      </c>
      <c r="J622" s="9" t="s">
        <v>318</v>
      </c>
      <c r="K622" s="9" t="s">
        <v>1774</v>
      </c>
      <c r="L622" s="9" t="s">
        <v>724</v>
      </c>
      <c r="M622" s="9" t="s">
        <v>134</v>
      </c>
      <c r="N622" s="11">
        <v>20</v>
      </c>
      <c r="O622" s="12">
        <f t="shared" ca="1" si="65"/>
        <v>13.315068493150685</v>
      </c>
      <c r="P622" s="12">
        <f t="shared" ca="1" si="69"/>
        <v>33.315068493150683</v>
      </c>
      <c r="Q622" s="12" t="s">
        <v>26</v>
      </c>
      <c r="R622" s="9" t="s">
        <v>27</v>
      </c>
      <c r="S622" s="24" t="s">
        <v>36</v>
      </c>
      <c r="T622" s="9" t="s">
        <v>137</v>
      </c>
    </row>
    <row r="623" spans="1:20" ht="35.25" customHeight="1">
      <c r="A623" s="6">
        <f t="shared" si="66"/>
        <v>622</v>
      </c>
      <c r="B623" s="17" t="s">
        <v>1775</v>
      </c>
      <c r="C623" s="8" t="s">
        <v>1776</v>
      </c>
      <c r="D623" s="9" t="s">
        <v>26</v>
      </c>
      <c r="E623" s="10">
        <v>32649</v>
      </c>
      <c r="F623" s="11">
        <f t="shared" ca="1" si="70"/>
        <v>34.580821917808223</v>
      </c>
      <c r="G623" s="11">
        <f t="shared" si="71"/>
        <v>5</v>
      </c>
      <c r="H623" s="11">
        <f t="shared" si="72"/>
        <v>21</v>
      </c>
      <c r="I623" s="10">
        <v>40413</v>
      </c>
      <c r="J623" s="9" t="s">
        <v>45</v>
      </c>
      <c r="K623" s="9" t="s">
        <v>1777</v>
      </c>
      <c r="L623" s="9" t="s">
        <v>1713</v>
      </c>
      <c r="M623" s="9" t="s">
        <v>35</v>
      </c>
      <c r="N623" s="11">
        <v>3.4</v>
      </c>
      <c r="O623" s="12">
        <f t="shared" ca="1" si="65"/>
        <v>13.30958904109589</v>
      </c>
      <c r="P623" s="12">
        <f t="shared" ca="1" si="69"/>
        <v>16.709589041095889</v>
      </c>
      <c r="Q623" s="12" t="s">
        <v>68</v>
      </c>
      <c r="R623" s="9" t="s">
        <v>27</v>
      </c>
      <c r="S623" s="24" t="s">
        <v>36</v>
      </c>
      <c r="T623" s="9" t="s">
        <v>1673</v>
      </c>
    </row>
    <row r="624" spans="1:20" ht="35.25" customHeight="1">
      <c r="A624" s="6">
        <f t="shared" si="66"/>
        <v>623</v>
      </c>
      <c r="B624" s="17" t="s">
        <v>1778</v>
      </c>
      <c r="C624" s="8" t="s">
        <v>1779</v>
      </c>
      <c r="D624" s="9" t="s">
        <v>26</v>
      </c>
      <c r="E624" s="10">
        <v>26385</v>
      </c>
      <c r="F624" s="11">
        <f t="shared" ca="1" si="70"/>
        <v>51.742465753424661</v>
      </c>
      <c r="G624" s="11">
        <f t="shared" si="71"/>
        <v>3</v>
      </c>
      <c r="H624" s="11">
        <f t="shared" si="72"/>
        <v>27</v>
      </c>
      <c r="I624" s="10">
        <v>40413</v>
      </c>
      <c r="J624" s="9" t="s">
        <v>22</v>
      </c>
      <c r="K624" s="9" t="s">
        <v>1428</v>
      </c>
      <c r="L624" s="9" t="s">
        <v>34</v>
      </c>
      <c r="M624" s="9" t="s">
        <v>35</v>
      </c>
      <c r="N624" s="11">
        <v>15</v>
      </c>
      <c r="O624" s="12">
        <f t="shared" ca="1" si="65"/>
        <v>13.30958904109589</v>
      </c>
      <c r="P624" s="12">
        <f t="shared" ca="1" si="69"/>
        <v>28.30958904109589</v>
      </c>
      <c r="Q624" s="12" t="s">
        <v>26</v>
      </c>
      <c r="R624" s="9" t="s">
        <v>27</v>
      </c>
      <c r="S624" s="24" t="s">
        <v>36</v>
      </c>
      <c r="T624" s="9" t="s">
        <v>860</v>
      </c>
    </row>
    <row r="625" spans="1:20" ht="35.25" customHeight="1">
      <c r="A625" s="6">
        <f t="shared" si="66"/>
        <v>624</v>
      </c>
      <c r="B625" s="17" t="s">
        <v>1780</v>
      </c>
      <c r="C625" s="8" t="s">
        <v>1781</v>
      </c>
      <c r="D625" s="9" t="s">
        <v>26</v>
      </c>
      <c r="E625" s="10">
        <v>30188</v>
      </c>
      <c r="F625" s="11">
        <f t="shared" ca="1" si="70"/>
        <v>41.323287671232876</v>
      </c>
      <c r="G625" s="11">
        <f t="shared" si="71"/>
        <v>8</v>
      </c>
      <c r="H625" s="11">
        <f t="shared" si="72"/>
        <v>25</v>
      </c>
      <c r="I625" s="10">
        <v>40413</v>
      </c>
      <c r="J625" s="9" t="s">
        <v>22</v>
      </c>
      <c r="K625" s="9" t="s">
        <v>241</v>
      </c>
      <c r="L625" s="9" t="s">
        <v>1782</v>
      </c>
      <c r="M625" s="9" t="s">
        <v>156</v>
      </c>
      <c r="N625" s="11">
        <v>6</v>
      </c>
      <c r="O625" s="12">
        <f t="shared" ca="1" si="65"/>
        <v>13.30958904109589</v>
      </c>
      <c r="P625" s="12">
        <f t="shared" ca="1" si="69"/>
        <v>19.30958904109589</v>
      </c>
      <c r="Q625" s="12" t="s">
        <v>68</v>
      </c>
      <c r="R625" s="9" t="s">
        <v>27</v>
      </c>
      <c r="S625" s="24" t="s">
        <v>28</v>
      </c>
      <c r="T625" s="9" t="s">
        <v>29</v>
      </c>
    </row>
    <row r="626" spans="1:20" ht="35.25" customHeight="1">
      <c r="A626" s="6">
        <f t="shared" si="66"/>
        <v>625</v>
      </c>
      <c r="B626" s="17" t="s">
        <v>1783</v>
      </c>
      <c r="C626" s="8" t="s">
        <v>1784</v>
      </c>
      <c r="D626" s="9" t="s">
        <v>26</v>
      </c>
      <c r="E626" s="10">
        <v>31409</v>
      </c>
      <c r="F626" s="11">
        <f t="shared" ca="1" si="70"/>
        <v>37.978082191780821</v>
      </c>
      <c r="G626" s="11">
        <f t="shared" si="71"/>
        <v>12</v>
      </c>
      <c r="H626" s="11">
        <f t="shared" si="72"/>
        <v>28</v>
      </c>
      <c r="I626" s="10">
        <v>40406</v>
      </c>
      <c r="J626" s="9" t="s">
        <v>110</v>
      </c>
      <c r="K626" s="9" t="s">
        <v>1785</v>
      </c>
      <c r="L626" s="9" t="s">
        <v>118</v>
      </c>
      <c r="M626" s="9" t="s">
        <v>25</v>
      </c>
      <c r="N626" s="11">
        <v>1.3</v>
      </c>
      <c r="O626" s="12">
        <f t="shared" ca="1" si="65"/>
        <v>13.328767123287671</v>
      </c>
      <c r="P626" s="12">
        <f t="shared" ca="1" si="69"/>
        <v>14.628767123287671</v>
      </c>
      <c r="Q626" s="12" t="s">
        <v>68</v>
      </c>
      <c r="R626" s="9" t="s">
        <v>27</v>
      </c>
      <c r="S626" s="24" t="s">
        <v>28</v>
      </c>
      <c r="T626" s="9" t="s">
        <v>29</v>
      </c>
    </row>
    <row r="627" spans="1:20" ht="35.25" customHeight="1">
      <c r="A627" s="6">
        <f t="shared" si="66"/>
        <v>626</v>
      </c>
      <c r="B627" s="17" t="s">
        <v>1786</v>
      </c>
      <c r="C627" s="8" t="s">
        <v>1787</v>
      </c>
      <c r="D627" s="9" t="s">
        <v>26</v>
      </c>
      <c r="E627" s="10">
        <v>27930</v>
      </c>
      <c r="F627" s="11">
        <f t="shared" ca="1" si="70"/>
        <v>47.509589041095893</v>
      </c>
      <c r="G627" s="11">
        <f t="shared" si="71"/>
        <v>6</v>
      </c>
      <c r="H627" s="11">
        <f t="shared" si="72"/>
        <v>19</v>
      </c>
      <c r="I627" s="10">
        <v>40413</v>
      </c>
      <c r="J627" s="9" t="s">
        <v>22</v>
      </c>
      <c r="K627" s="9" t="s">
        <v>241</v>
      </c>
      <c r="L627" s="9" t="s">
        <v>34</v>
      </c>
      <c r="M627" s="9" t="s">
        <v>165</v>
      </c>
      <c r="N627" s="11">
        <v>9</v>
      </c>
      <c r="O627" s="12">
        <f t="shared" ca="1" si="65"/>
        <v>13.30958904109589</v>
      </c>
      <c r="P627" s="12">
        <f t="shared" ca="1" si="69"/>
        <v>22.30958904109589</v>
      </c>
      <c r="Q627" s="12" t="s">
        <v>68</v>
      </c>
      <c r="R627" s="9" t="s">
        <v>27</v>
      </c>
      <c r="S627" s="24" t="s">
        <v>36</v>
      </c>
      <c r="T627" s="9" t="s">
        <v>37</v>
      </c>
    </row>
    <row r="628" spans="1:20" ht="35.25" customHeight="1">
      <c r="A628" s="6">
        <f t="shared" si="66"/>
        <v>627</v>
      </c>
      <c r="B628" s="17" t="s">
        <v>1788</v>
      </c>
      <c r="C628" s="8" t="s">
        <v>1789</v>
      </c>
      <c r="D628" s="9" t="s">
        <v>26</v>
      </c>
      <c r="E628" s="10">
        <v>30521</v>
      </c>
      <c r="F628" s="11">
        <f t="shared" ca="1" si="70"/>
        <v>40.410958904109592</v>
      </c>
      <c r="G628" s="11">
        <f t="shared" si="71"/>
        <v>7</v>
      </c>
      <c r="H628" s="11">
        <f t="shared" si="72"/>
        <v>24</v>
      </c>
      <c r="I628" s="10">
        <v>40415</v>
      </c>
      <c r="J628" s="9" t="s">
        <v>226</v>
      </c>
      <c r="K628" s="9" t="s">
        <v>341</v>
      </c>
      <c r="L628" s="9" t="s">
        <v>34</v>
      </c>
      <c r="M628" s="9" t="s">
        <v>35</v>
      </c>
      <c r="N628" s="11">
        <v>6</v>
      </c>
      <c r="O628" s="12">
        <f t="shared" ca="1" si="65"/>
        <v>13.304109589041095</v>
      </c>
      <c r="P628" s="12">
        <f t="shared" ca="1" si="69"/>
        <v>19.304109589041097</v>
      </c>
      <c r="Q628" s="12" t="s">
        <v>26</v>
      </c>
      <c r="R628" s="9" t="s">
        <v>27</v>
      </c>
      <c r="S628" s="24" t="s">
        <v>36</v>
      </c>
      <c r="T628" s="9" t="s">
        <v>72</v>
      </c>
    </row>
    <row r="629" spans="1:20" ht="35.25" customHeight="1">
      <c r="A629" s="6">
        <f t="shared" si="66"/>
        <v>628</v>
      </c>
      <c r="B629" s="17" t="s">
        <v>1790</v>
      </c>
      <c r="C629" s="8" t="s">
        <v>1791</v>
      </c>
      <c r="D629" s="9" t="s">
        <v>26</v>
      </c>
      <c r="E629" s="10">
        <v>25148</v>
      </c>
      <c r="F629" s="11">
        <f t="shared" ca="1" si="70"/>
        <v>55.131506849315066</v>
      </c>
      <c r="G629" s="11">
        <f t="shared" si="71"/>
        <v>11</v>
      </c>
      <c r="H629" s="11">
        <f t="shared" si="72"/>
        <v>6</v>
      </c>
      <c r="I629" s="10">
        <v>40416</v>
      </c>
      <c r="J629" s="9" t="s">
        <v>66</v>
      </c>
      <c r="K629" s="9" t="s">
        <v>1168</v>
      </c>
      <c r="L629" s="9" t="s">
        <v>213</v>
      </c>
      <c r="M629" s="9" t="s">
        <v>35</v>
      </c>
      <c r="N629" s="11">
        <v>20</v>
      </c>
      <c r="O629" s="12">
        <f t="shared" ca="1" si="65"/>
        <v>13.301369863013699</v>
      </c>
      <c r="P629" s="12">
        <f t="shared" ca="1" si="69"/>
        <v>33.301369863013697</v>
      </c>
      <c r="Q629" s="12" t="s">
        <v>26</v>
      </c>
      <c r="R629" s="9" t="s">
        <v>356</v>
      </c>
      <c r="S629" s="24" t="s">
        <v>36</v>
      </c>
      <c r="T629" s="9" t="s">
        <v>72</v>
      </c>
    </row>
    <row r="630" spans="1:20" ht="35.25" customHeight="1">
      <c r="A630" s="6">
        <f t="shared" si="66"/>
        <v>629</v>
      </c>
      <c r="B630" s="17" t="s">
        <v>1792</v>
      </c>
      <c r="C630" s="8" t="s">
        <v>1793</v>
      </c>
      <c r="D630" s="9" t="s">
        <v>26</v>
      </c>
      <c r="E630" s="10">
        <v>26075</v>
      </c>
      <c r="F630" s="11">
        <f t="shared" ca="1" si="70"/>
        <v>52.591780821917808</v>
      </c>
      <c r="G630" s="11">
        <f t="shared" si="71"/>
        <v>5</v>
      </c>
      <c r="H630" s="11">
        <f t="shared" si="72"/>
        <v>22</v>
      </c>
      <c r="I630" s="10">
        <v>40417</v>
      </c>
      <c r="J630" s="9" t="s">
        <v>110</v>
      </c>
      <c r="K630" s="9" t="s">
        <v>1212</v>
      </c>
      <c r="L630" s="9" t="s">
        <v>24</v>
      </c>
      <c r="M630" s="9" t="s">
        <v>35</v>
      </c>
      <c r="N630" s="11">
        <v>18</v>
      </c>
      <c r="O630" s="12">
        <f t="shared" ca="1" si="65"/>
        <v>13.298630136986301</v>
      </c>
      <c r="P630" s="12">
        <f t="shared" ca="1" si="69"/>
        <v>31.298630136986301</v>
      </c>
      <c r="Q630" s="12" t="s">
        <v>26</v>
      </c>
      <c r="R630" s="9" t="s">
        <v>627</v>
      </c>
      <c r="S630" s="24" t="s">
        <v>36</v>
      </c>
      <c r="T630" s="9" t="s">
        <v>951</v>
      </c>
    </row>
    <row r="631" spans="1:20" ht="35.25" customHeight="1">
      <c r="A631" s="6">
        <f t="shared" si="66"/>
        <v>630</v>
      </c>
      <c r="B631" s="17" t="s">
        <v>1794</v>
      </c>
      <c r="C631" s="8" t="s">
        <v>1795</v>
      </c>
      <c r="D631" s="9" t="s">
        <v>26</v>
      </c>
      <c r="E631" s="10">
        <v>23961</v>
      </c>
      <c r="F631" s="11">
        <f t="shared" ca="1" si="70"/>
        <v>58.38356164383562</v>
      </c>
      <c r="G631" s="11">
        <f t="shared" si="71"/>
        <v>8</v>
      </c>
      <c r="H631" s="11">
        <f t="shared" si="72"/>
        <v>7</v>
      </c>
      <c r="I631" s="10">
        <v>40417</v>
      </c>
      <c r="J631" s="9" t="s">
        <v>140</v>
      </c>
      <c r="K631" s="9" t="s">
        <v>1796</v>
      </c>
      <c r="L631" s="9" t="s">
        <v>1002</v>
      </c>
      <c r="M631" s="9" t="s">
        <v>35</v>
      </c>
      <c r="N631" s="11">
        <v>25</v>
      </c>
      <c r="O631" s="12">
        <f t="shared" ca="1" si="65"/>
        <v>13.298630136986301</v>
      </c>
      <c r="P631" s="12">
        <f t="shared" ca="1" si="69"/>
        <v>38.298630136986304</v>
      </c>
      <c r="Q631" s="12" t="s">
        <v>26</v>
      </c>
      <c r="R631" s="9" t="s">
        <v>27</v>
      </c>
      <c r="S631" s="24" t="s">
        <v>28</v>
      </c>
      <c r="T631" s="9" t="s">
        <v>29</v>
      </c>
    </row>
    <row r="632" spans="1:20" ht="35.25" customHeight="1">
      <c r="A632" s="6">
        <f t="shared" si="66"/>
        <v>631</v>
      </c>
      <c r="B632" s="17" t="s">
        <v>1797</v>
      </c>
      <c r="C632" s="8" t="s">
        <v>1798</v>
      </c>
      <c r="D632" s="9" t="s">
        <v>26</v>
      </c>
      <c r="E632" s="10">
        <v>27195</v>
      </c>
      <c r="F632" s="11">
        <f t="shared" ca="1" si="70"/>
        <v>49.523287671232879</v>
      </c>
      <c r="G632" s="11">
        <f t="shared" si="71"/>
        <v>6</v>
      </c>
      <c r="H632" s="11">
        <f t="shared" si="72"/>
        <v>15</v>
      </c>
      <c r="I632" s="10">
        <v>40420</v>
      </c>
      <c r="J632" s="9" t="s">
        <v>32</v>
      </c>
      <c r="K632" s="9" t="s">
        <v>1356</v>
      </c>
      <c r="L632" s="9" t="s">
        <v>208</v>
      </c>
      <c r="M632" s="9" t="s">
        <v>35</v>
      </c>
      <c r="N632" s="11">
        <v>15</v>
      </c>
      <c r="O632" s="12">
        <f t="shared" ca="1" si="65"/>
        <v>13.29041095890411</v>
      </c>
      <c r="P632" s="12">
        <f t="shared" ca="1" si="69"/>
        <v>28.290410958904111</v>
      </c>
      <c r="Q632" s="12" t="s">
        <v>26</v>
      </c>
      <c r="R632" s="9" t="s">
        <v>27</v>
      </c>
      <c r="S632" s="24" t="s">
        <v>28</v>
      </c>
      <c r="T632" s="9" t="s">
        <v>29</v>
      </c>
    </row>
    <row r="633" spans="1:20" ht="35.25" customHeight="1">
      <c r="A633" s="6">
        <f t="shared" si="66"/>
        <v>632</v>
      </c>
      <c r="B633" s="17" t="s">
        <v>1799</v>
      </c>
      <c r="C633" s="8" t="s">
        <v>1800</v>
      </c>
      <c r="D633" s="9" t="s">
        <v>26</v>
      </c>
      <c r="E633" s="10">
        <v>21644</v>
      </c>
      <c r="F633" s="11">
        <f t="shared" ca="1" si="70"/>
        <v>64.731506849315068</v>
      </c>
      <c r="G633" s="11">
        <f t="shared" si="71"/>
        <v>4</v>
      </c>
      <c r="H633" s="11">
        <f t="shared" si="72"/>
        <v>4</v>
      </c>
      <c r="I633" s="10">
        <v>40420</v>
      </c>
      <c r="J633" s="9" t="s">
        <v>140</v>
      </c>
      <c r="K633" s="9" t="s">
        <v>1801</v>
      </c>
      <c r="L633" s="9" t="s">
        <v>204</v>
      </c>
      <c r="M633" s="9" t="s">
        <v>205</v>
      </c>
      <c r="N633" s="11">
        <v>25</v>
      </c>
      <c r="O633" s="12">
        <f t="shared" ca="1" si="65"/>
        <v>13.29041095890411</v>
      </c>
      <c r="P633" s="12">
        <f t="shared" ca="1" si="69"/>
        <v>38.290410958904111</v>
      </c>
      <c r="Q633" s="12" t="s">
        <v>26</v>
      </c>
      <c r="R633" s="9" t="s">
        <v>356</v>
      </c>
      <c r="S633" s="24" t="s">
        <v>28</v>
      </c>
      <c r="T633" s="9" t="s">
        <v>29</v>
      </c>
    </row>
    <row r="634" spans="1:20" ht="35.25" customHeight="1">
      <c r="A634" s="6">
        <f t="shared" si="66"/>
        <v>633</v>
      </c>
      <c r="B634" s="17" t="s">
        <v>1802</v>
      </c>
      <c r="C634" s="8" t="s">
        <v>1803</v>
      </c>
      <c r="D634" s="9" t="s">
        <v>26</v>
      </c>
      <c r="E634" s="10">
        <v>27907</v>
      </c>
      <c r="F634" s="11">
        <f t="shared" ca="1" si="70"/>
        <v>47.57260273972603</v>
      </c>
      <c r="G634" s="11">
        <f t="shared" si="71"/>
        <v>5</v>
      </c>
      <c r="H634" s="11">
        <f t="shared" si="72"/>
        <v>27</v>
      </c>
      <c r="I634" s="10">
        <v>40422</v>
      </c>
      <c r="J634" s="9" t="s">
        <v>66</v>
      </c>
      <c r="K634" s="9" t="s">
        <v>350</v>
      </c>
      <c r="L634" s="9" t="s">
        <v>325</v>
      </c>
      <c r="M634" s="9" t="s">
        <v>205</v>
      </c>
      <c r="N634" s="11">
        <v>14</v>
      </c>
      <c r="O634" s="12">
        <f t="shared" ca="1" si="65"/>
        <v>13.284931506849315</v>
      </c>
      <c r="P634" s="12">
        <f t="shared" ca="1" si="69"/>
        <v>27.284931506849315</v>
      </c>
      <c r="Q634" s="12" t="s">
        <v>26</v>
      </c>
      <c r="R634" s="9" t="s">
        <v>232</v>
      </c>
      <c r="S634" s="24" t="s">
        <v>28</v>
      </c>
      <c r="T634" s="9" t="s">
        <v>29</v>
      </c>
    </row>
    <row r="635" spans="1:20" ht="35.25" customHeight="1">
      <c r="A635" s="6">
        <f t="shared" si="66"/>
        <v>634</v>
      </c>
      <c r="B635" s="17" t="s">
        <v>1804</v>
      </c>
      <c r="C635" s="8" t="s">
        <v>1805</v>
      </c>
      <c r="D635" s="9" t="s">
        <v>26</v>
      </c>
      <c r="E635" s="10">
        <v>30701</v>
      </c>
      <c r="F635" s="11">
        <f t="shared" ca="1" si="70"/>
        <v>39.917808219178085</v>
      </c>
      <c r="G635" s="11">
        <f t="shared" si="71"/>
        <v>1</v>
      </c>
      <c r="H635" s="11">
        <f t="shared" si="72"/>
        <v>20</v>
      </c>
      <c r="I635" s="10">
        <v>40424</v>
      </c>
      <c r="J635" s="9" t="s">
        <v>50</v>
      </c>
      <c r="K635" s="9" t="s">
        <v>51</v>
      </c>
      <c r="L635" s="9" t="s">
        <v>1806</v>
      </c>
      <c r="M635" s="9" t="s">
        <v>134</v>
      </c>
      <c r="N635" s="11">
        <v>1.1000000000000001</v>
      </c>
      <c r="O635" s="12">
        <f t="shared" ca="1" si="65"/>
        <v>13.27945205479452</v>
      </c>
      <c r="P635" s="12">
        <f t="shared" ca="1" si="69"/>
        <v>14.37945205479452</v>
      </c>
      <c r="Q635" s="12" t="s">
        <v>68</v>
      </c>
      <c r="R635" s="9" t="s">
        <v>27</v>
      </c>
      <c r="S635" s="24" t="s">
        <v>28</v>
      </c>
      <c r="T635" s="9" t="s">
        <v>29</v>
      </c>
    </row>
    <row r="636" spans="1:20" ht="35.25" customHeight="1">
      <c r="A636" s="6">
        <f t="shared" si="66"/>
        <v>635</v>
      </c>
      <c r="B636" s="17" t="s">
        <v>1807</v>
      </c>
      <c r="C636" s="8" t="s">
        <v>1808</v>
      </c>
      <c r="D636" s="9" t="s">
        <v>26</v>
      </c>
      <c r="E636" s="10">
        <v>23806</v>
      </c>
      <c r="F636" s="19">
        <f t="shared" ca="1" si="70"/>
        <v>58.80821917808219</v>
      </c>
      <c r="G636" s="11">
        <f t="shared" si="71"/>
        <v>3</v>
      </c>
      <c r="H636" s="11">
        <f t="shared" si="72"/>
        <v>5</v>
      </c>
      <c r="I636" s="10">
        <v>40422</v>
      </c>
      <c r="J636" s="9" t="s">
        <v>318</v>
      </c>
      <c r="K636" s="9" t="s">
        <v>1809</v>
      </c>
      <c r="L636" s="9" t="s">
        <v>796</v>
      </c>
      <c r="M636" s="9" t="s">
        <v>35</v>
      </c>
      <c r="N636" s="11">
        <v>18</v>
      </c>
      <c r="O636" s="12">
        <f t="shared" ca="1" si="65"/>
        <v>13.284931506849315</v>
      </c>
      <c r="P636" s="12">
        <f t="shared" ca="1" si="69"/>
        <v>31.284931506849315</v>
      </c>
      <c r="Q636" s="12" t="s">
        <v>26</v>
      </c>
      <c r="R636" s="9" t="s">
        <v>356</v>
      </c>
      <c r="S636" s="24" t="s">
        <v>36</v>
      </c>
      <c r="T636" s="9" t="s">
        <v>137</v>
      </c>
    </row>
    <row r="637" spans="1:20" ht="35.25" customHeight="1">
      <c r="A637" s="6">
        <f t="shared" si="66"/>
        <v>636</v>
      </c>
      <c r="B637" s="17" t="s">
        <v>1810</v>
      </c>
      <c r="C637" s="8" t="s">
        <v>1811</v>
      </c>
      <c r="D637" s="9" t="s">
        <v>26</v>
      </c>
      <c r="E637" s="10">
        <v>27631</v>
      </c>
      <c r="F637" s="19">
        <f t="shared" ca="1" si="70"/>
        <v>48.328767123287669</v>
      </c>
      <c r="G637" s="11">
        <f t="shared" si="71"/>
        <v>8</v>
      </c>
      <c r="H637" s="11">
        <f t="shared" si="72"/>
        <v>25</v>
      </c>
      <c r="I637" s="10">
        <v>40422</v>
      </c>
      <c r="J637" s="9" t="s">
        <v>110</v>
      </c>
      <c r="K637" s="9" t="s">
        <v>1812</v>
      </c>
      <c r="L637" s="9" t="s">
        <v>34</v>
      </c>
      <c r="M637" s="9" t="s">
        <v>35</v>
      </c>
      <c r="N637" s="11">
        <v>9.11</v>
      </c>
      <c r="O637" s="12">
        <f t="shared" ca="1" si="65"/>
        <v>13.284931506849315</v>
      </c>
      <c r="P637" s="12">
        <f t="shared" ca="1" si="69"/>
        <v>22.394931506849314</v>
      </c>
      <c r="Q637" s="12" t="s">
        <v>26</v>
      </c>
      <c r="R637" s="9" t="s">
        <v>27</v>
      </c>
      <c r="S637" s="24" t="s">
        <v>36</v>
      </c>
      <c r="T637" s="9" t="s">
        <v>72</v>
      </c>
    </row>
    <row r="638" spans="1:20" ht="35.25" customHeight="1">
      <c r="A638" s="6">
        <f t="shared" si="66"/>
        <v>637</v>
      </c>
      <c r="B638" s="17" t="s">
        <v>1813</v>
      </c>
      <c r="C638" s="8" t="s">
        <v>1814</v>
      </c>
      <c r="D638" s="9" t="s">
        <v>26</v>
      </c>
      <c r="E638" s="10">
        <v>31828</v>
      </c>
      <c r="F638" s="19">
        <f t="shared" ca="1" si="70"/>
        <v>36.830136986301369</v>
      </c>
      <c r="G638" s="11">
        <f t="shared" si="71"/>
        <v>2</v>
      </c>
      <c r="H638" s="11">
        <f t="shared" si="72"/>
        <v>20</v>
      </c>
      <c r="I638" s="10">
        <v>40422</v>
      </c>
      <c r="J638" s="9" t="s">
        <v>45</v>
      </c>
      <c r="K638" s="9" t="s">
        <v>1815</v>
      </c>
      <c r="L638" s="9" t="s">
        <v>34</v>
      </c>
      <c r="M638" s="9" t="s">
        <v>35</v>
      </c>
      <c r="N638" s="11">
        <v>3.3</v>
      </c>
      <c r="O638" s="12">
        <f t="shared" ca="1" si="65"/>
        <v>13.284931506849315</v>
      </c>
      <c r="P638" s="12">
        <f t="shared" ca="1" si="69"/>
        <v>16.584931506849315</v>
      </c>
      <c r="Q638" s="12" t="s">
        <v>68</v>
      </c>
      <c r="R638" s="9" t="s">
        <v>27</v>
      </c>
      <c r="S638" s="24" t="s">
        <v>36</v>
      </c>
      <c r="T638" s="9" t="s">
        <v>951</v>
      </c>
    </row>
    <row r="639" spans="1:20" ht="35.25" customHeight="1">
      <c r="A639" s="6">
        <f t="shared" si="66"/>
        <v>638</v>
      </c>
      <c r="B639" s="17" t="s">
        <v>1816</v>
      </c>
      <c r="C639" s="8" t="s">
        <v>1817</v>
      </c>
      <c r="D639" s="9" t="s">
        <v>21</v>
      </c>
      <c r="E639" s="10">
        <v>32438</v>
      </c>
      <c r="F639" s="19">
        <f t="shared" ca="1" si="70"/>
        <v>35.158904109589038</v>
      </c>
      <c r="G639" s="11">
        <f t="shared" si="71"/>
        <v>10</v>
      </c>
      <c r="H639" s="11">
        <f t="shared" si="72"/>
        <v>22</v>
      </c>
      <c r="I639" s="10">
        <v>40422</v>
      </c>
      <c r="J639" s="9" t="s">
        <v>226</v>
      </c>
      <c r="K639" s="9" t="s">
        <v>248</v>
      </c>
      <c r="L639" s="9" t="s">
        <v>34</v>
      </c>
      <c r="M639" s="9" t="s">
        <v>156</v>
      </c>
      <c r="N639" s="11">
        <v>0</v>
      </c>
      <c r="O639" s="12">
        <f t="shared" ca="1" si="65"/>
        <v>13.284931506849315</v>
      </c>
      <c r="P639" s="12">
        <f t="shared" ca="1" si="69"/>
        <v>13.284931506849315</v>
      </c>
      <c r="Q639" s="12" t="s">
        <v>68</v>
      </c>
      <c r="R639" s="9" t="s">
        <v>27</v>
      </c>
      <c r="S639" s="24" t="s">
        <v>28</v>
      </c>
      <c r="T639" s="9" t="s">
        <v>29</v>
      </c>
    </row>
    <row r="640" spans="1:20" ht="35.25" customHeight="1">
      <c r="A640" s="6">
        <f t="shared" si="66"/>
        <v>639</v>
      </c>
      <c r="B640" s="17" t="s">
        <v>1818</v>
      </c>
      <c r="C640" s="8" t="s">
        <v>1006</v>
      </c>
      <c r="D640" s="9" t="s">
        <v>26</v>
      </c>
      <c r="E640" s="10">
        <v>32201</v>
      </c>
      <c r="F640" s="19">
        <f t="shared" ca="1" si="70"/>
        <v>35.80821917808219</v>
      </c>
      <c r="G640" s="11">
        <f t="shared" si="71"/>
        <v>2</v>
      </c>
      <c r="H640" s="11">
        <f t="shared" si="72"/>
        <v>28</v>
      </c>
      <c r="I640" s="10">
        <v>40423</v>
      </c>
      <c r="J640" s="9" t="s">
        <v>226</v>
      </c>
      <c r="K640" s="9" t="s">
        <v>1152</v>
      </c>
      <c r="L640" s="9" t="s">
        <v>34</v>
      </c>
      <c r="M640" s="9" t="s">
        <v>35</v>
      </c>
      <c r="N640" s="11">
        <v>4.3</v>
      </c>
      <c r="O640" s="12">
        <f t="shared" ca="1" si="65"/>
        <v>13.282191780821918</v>
      </c>
      <c r="P640" s="12">
        <f t="shared" ca="1" si="69"/>
        <v>17.582191780821919</v>
      </c>
      <c r="Q640" s="12" t="s">
        <v>68</v>
      </c>
      <c r="R640" s="9" t="s">
        <v>27</v>
      </c>
      <c r="S640" s="24" t="s">
        <v>36</v>
      </c>
      <c r="T640" s="9" t="s">
        <v>72</v>
      </c>
    </row>
    <row r="641" spans="1:20" ht="35.25" customHeight="1">
      <c r="A641" s="6">
        <f t="shared" si="66"/>
        <v>640</v>
      </c>
      <c r="B641" s="17" t="s">
        <v>1819</v>
      </c>
      <c r="C641" s="8" t="s">
        <v>1820</v>
      </c>
      <c r="D641" s="9" t="s">
        <v>26</v>
      </c>
      <c r="E641" s="10">
        <v>27153</v>
      </c>
      <c r="F641" s="19">
        <f t="shared" ca="1" si="70"/>
        <v>49.638356164383559</v>
      </c>
      <c r="G641" s="11">
        <f t="shared" si="71"/>
        <v>5</v>
      </c>
      <c r="H641" s="11">
        <f t="shared" si="72"/>
        <v>4</v>
      </c>
      <c r="I641" s="10">
        <v>40424</v>
      </c>
      <c r="J641" s="9" t="s">
        <v>58</v>
      </c>
      <c r="K641" s="9" t="s">
        <v>1821</v>
      </c>
      <c r="L641" s="9" t="s">
        <v>34</v>
      </c>
      <c r="M641" s="9" t="s">
        <v>35</v>
      </c>
      <c r="N641" s="11">
        <v>18.3</v>
      </c>
      <c r="O641" s="12">
        <f t="shared" ca="1" si="65"/>
        <v>13.27945205479452</v>
      </c>
      <c r="P641" s="12">
        <f t="shared" ca="1" si="69"/>
        <v>31.579452054794523</v>
      </c>
      <c r="Q641" s="12" t="s">
        <v>26</v>
      </c>
      <c r="R641" s="9" t="s">
        <v>27</v>
      </c>
      <c r="S641" s="24" t="s">
        <v>36</v>
      </c>
      <c r="T641" s="9" t="s">
        <v>1404</v>
      </c>
    </row>
    <row r="642" spans="1:20" ht="35.25" customHeight="1">
      <c r="A642" s="6">
        <f t="shared" si="66"/>
        <v>641</v>
      </c>
      <c r="B642" s="17" t="s">
        <v>1822</v>
      </c>
      <c r="C642" s="8" t="s">
        <v>1823</v>
      </c>
      <c r="D642" s="9" t="s">
        <v>26</v>
      </c>
      <c r="E642" s="10">
        <v>23562</v>
      </c>
      <c r="F642" s="19">
        <f t="shared" ca="1" si="70"/>
        <v>59.476712328767121</v>
      </c>
      <c r="G642" s="11">
        <f t="shared" si="71"/>
        <v>7</v>
      </c>
      <c r="H642" s="11">
        <f t="shared" si="72"/>
        <v>4</v>
      </c>
      <c r="I642" s="10">
        <v>40425</v>
      </c>
      <c r="J642" s="9" t="s">
        <v>66</v>
      </c>
      <c r="K642" s="9" t="s">
        <v>1824</v>
      </c>
      <c r="L642" s="9" t="s">
        <v>122</v>
      </c>
      <c r="M642" s="9" t="s">
        <v>134</v>
      </c>
      <c r="N642" s="11">
        <v>25</v>
      </c>
      <c r="O642" s="12">
        <f t="shared" ref="O642:O687" ca="1" si="73">(TODAY()-I642)/365</f>
        <v>13.276712328767124</v>
      </c>
      <c r="P642" s="12">
        <f t="shared" ca="1" si="69"/>
        <v>38.276712328767125</v>
      </c>
      <c r="Q642" s="12" t="s">
        <v>26</v>
      </c>
      <c r="R642" s="9" t="s">
        <v>27</v>
      </c>
      <c r="S642" s="24" t="s">
        <v>36</v>
      </c>
      <c r="T642" s="9" t="s">
        <v>137</v>
      </c>
    </row>
    <row r="643" spans="1:20" ht="35.25" customHeight="1">
      <c r="A643" s="6">
        <f t="shared" si="66"/>
        <v>642</v>
      </c>
      <c r="B643" s="17" t="s">
        <v>1825</v>
      </c>
      <c r="C643" s="8" t="s">
        <v>1826</v>
      </c>
      <c r="D643" s="9" t="s">
        <v>26</v>
      </c>
      <c r="E643" s="10">
        <v>31237</v>
      </c>
      <c r="F643" s="19">
        <f t="shared" ca="1" si="70"/>
        <v>38.449315068493149</v>
      </c>
      <c r="G643" s="11">
        <f t="shared" si="71"/>
        <v>7</v>
      </c>
      <c r="H643" s="11">
        <f t="shared" si="72"/>
        <v>9</v>
      </c>
      <c r="I643" s="10">
        <v>40427</v>
      </c>
      <c r="J643" s="9" t="s">
        <v>45</v>
      </c>
      <c r="K643" s="9" t="s">
        <v>1827</v>
      </c>
      <c r="L643" s="9" t="s">
        <v>34</v>
      </c>
      <c r="M643" s="9" t="s">
        <v>35</v>
      </c>
      <c r="N643" s="11">
        <v>7.2</v>
      </c>
      <c r="O643" s="12">
        <f t="shared" ca="1" si="73"/>
        <v>13.271232876712329</v>
      </c>
      <c r="P643" s="12">
        <f t="shared" ca="1" si="69"/>
        <v>20.471232876712328</v>
      </c>
      <c r="Q643" s="12" t="s">
        <v>68</v>
      </c>
      <c r="R643" s="9" t="s">
        <v>27</v>
      </c>
      <c r="S643" s="24" t="s">
        <v>36</v>
      </c>
      <c r="T643" s="9" t="s">
        <v>90</v>
      </c>
    </row>
    <row r="644" spans="1:20" ht="35.25" customHeight="1">
      <c r="A644" s="6">
        <f t="shared" ref="A644:A707" si="74">+A643+1</f>
        <v>643</v>
      </c>
      <c r="B644" s="17" t="s">
        <v>1828</v>
      </c>
      <c r="C644" s="8" t="s">
        <v>1829</v>
      </c>
      <c r="D644" s="9" t="s">
        <v>26</v>
      </c>
      <c r="E644" s="10">
        <v>31569</v>
      </c>
      <c r="F644" s="19">
        <f t="shared" ca="1" si="70"/>
        <v>37.539726027397258</v>
      </c>
      <c r="G644" s="11">
        <f t="shared" si="71"/>
        <v>6</v>
      </c>
      <c r="H644" s="11">
        <f t="shared" si="72"/>
        <v>6</v>
      </c>
      <c r="I644" s="10">
        <v>40427</v>
      </c>
      <c r="J644" s="9" t="s">
        <v>226</v>
      </c>
      <c r="K644" s="9" t="s">
        <v>1152</v>
      </c>
      <c r="L644" s="9" t="s">
        <v>34</v>
      </c>
      <c r="M644" s="9" t="s">
        <v>35</v>
      </c>
      <c r="N644" s="11">
        <v>4</v>
      </c>
      <c r="O644" s="12">
        <f t="shared" ca="1" si="73"/>
        <v>13.271232876712329</v>
      </c>
      <c r="P644" s="12">
        <f t="shared" ca="1" si="69"/>
        <v>17.271232876712329</v>
      </c>
      <c r="Q644" s="12" t="s">
        <v>68</v>
      </c>
      <c r="R644" s="9" t="s">
        <v>27</v>
      </c>
      <c r="S644" s="24" t="s">
        <v>36</v>
      </c>
      <c r="T644" s="9" t="s">
        <v>137</v>
      </c>
    </row>
    <row r="645" spans="1:20" ht="35.25" customHeight="1">
      <c r="A645" s="6">
        <f t="shared" si="74"/>
        <v>644</v>
      </c>
      <c r="B645" s="17" t="s">
        <v>1830</v>
      </c>
      <c r="C645" s="8" t="s">
        <v>1831</v>
      </c>
      <c r="D645" s="9" t="s">
        <v>26</v>
      </c>
      <c r="E645" s="10">
        <v>31188</v>
      </c>
      <c r="F645" s="19">
        <f t="shared" ca="1" si="70"/>
        <v>38.583561643835615</v>
      </c>
      <c r="G645" s="11">
        <f t="shared" si="71"/>
        <v>5</v>
      </c>
      <c r="H645" s="11">
        <f t="shared" si="72"/>
        <v>21</v>
      </c>
      <c r="I645" s="10">
        <v>40427</v>
      </c>
      <c r="J645" s="9" t="s">
        <v>87</v>
      </c>
      <c r="K645" s="9" t="s">
        <v>1832</v>
      </c>
      <c r="L645" s="9" t="s">
        <v>34</v>
      </c>
      <c r="M645" s="9" t="s">
        <v>35</v>
      </c>
      <c r="N645" s="11">
        <v>6.4</v>
      </c>
      <c r="O645" s="12">
        <f t="shared" ca="1" si="73"/>
        <v>13.271232876712329</v>
      </c>
      <c r="P645" s="12">
        <f t="shared" ca="1" si="69"/>
        <v>19.671232876712331</v>
      </c>
      <c r="Q645" s="12" t="s">
        <v>68</v>
      </c>
      <c r="R645" s="9" t="s">
        <v>27</v>
      </c>
      <c r="S645" s="24" t="s">
        <v>36</v>
      </c>
      <c r="T645" s="9" t="s">
        <v>72</v>
      </c>
    </row>
    <row r="646" spans="1:20" ht="35.25" customHeight="1">
      <c r="A646" s="6">
        <f t="shared" si="74"/>
        <v>645</v>
      </c>
      <c r="B646" s="17" t="s">
        <v>1833</v>
      </c>
      <c r="C646" s="8" t="s">
        <v>1834</v>
      </c>
      <c r="D646" s="9" t="s">
        <v>26</v>
      </c>
      <c r="E646" s="10">
        <v>30749</v>
      </c>
      <c r="F646" s="19">
        <f t="shared" ca="1" si="70"/>
        <v>39.786301369863011</v>
      </c>
      <c r="G646" s="11">
        <f t="shared" si="71"/>
        <v>3</v>
      </c>
      <c r="H646" s="11">
        <f t="shared" si="72"/>
        <v>8</v>
      </c>
      <c r="I646" s="10">
        <v>40427</v>
      </c>
      <c r="J646" s="9" t="s">
        <v>87</v>
      </c>
      <c r="K646" s="9" t="s">
        <v>1835</v>
      </c>
      <c r="L646" s="9" t="s">
        <v>147</v>
      </c>
      <c r="M646" s="9" t="s">
        <v>134</v>
      </c>
      <c r="N646" s="11">
        <v>3.2</v>
      </c>
      <c r="O646" s="12">
        <f t="shared" ca="1" si="73"/>
        <v>13.271232876712329</v>
      </c>
      <c r="P646" s="12">
        <f t="shared" ca="1" si="69"/>
        <v>16.471232876712328</v>
      </c>
      <c r="Q646" s="12" t="s">
        <v>68</v>
      </c>
      <c r="R646" s="9" t="s">
        <v>27</v>
      </c>
      <c r="S646" s="24" t="s">
        <v>28</v>
      </c>
      <c r="T646" s="9" t="s">
        <v>29</v>
      </c>
    </row>
    <row r="647" spans="1:20" ht="35.25" customHeight="1">
      <c r="A647" s="6">
        <f t="shared" si="74"/>
        <v>646</v>
      </c>
      <c r="B647" s="17" t="s">
        <v>1836</v>
      </c>
      <c r="C647" s="8" t="s">
        <v>1837</v>
      </c>
      <c r="D647" s="9" t="s">
        <v>26</v>
      </c>
      <c r="E647" s="10">
        <v>30369</v>
      </c>
      <c r="F647" s="19">
        <f t="shared" ca="1" si="70"/>
        <v>40.827397260273976</v>
      </c>
      <c r="G647" s="11">
        <f t="shared" si="71"/>
        <v>2</v>
      </c>
      <c r="H647" s="11">
        <f t="shared" si="72"/>
        <v>22</v>
      </c>
      <c r="I647" s="10">
        <v>40427</v>
      </c>
      <c r="J647" s="9" t="s">
        <v>110</v>
      </c>
      <c r="K647" s="9" t="s">
        <v>63</v>
      </c>
      <c r="L647" s="9" t="s">
        <v>34</v>
      </c>
      <c r="M647" s="9" t="s">
        <v>156</v>
      </c>
      <c r="N647" s="11">
        <v>6.3</v>
      </c>
      <c r="O647" s="12">
        <f t="shared" ca="1" si="73"/>
        <v>13.271232876712329</v>
      </c>
      <c r="P647" s="12">
        <f t="shared" ca="1" si="69"/>
        <v>19.57123287671233</v>
      </c>
      <c r="Q647" s="12" t="s">
        <v>26</v>
      </c>
      <c r="R647" s="9" t="s">
        <v>27</v>
      </c>
      <c r="S647" s="24" t="s">
        <v>28</v>
      </c>
      <c r="T647" s="9" t="s">
        <v>29</v>
      </c>
    </row>
    <row r="648" spans="1:20" ht="35.25" customHeight="1">
      <c r="A648" s="6">
        <f t="shared" si="74"/>
        <v>647</v>
      </c>
      <c r="B648" s="17" t="s">
        <v>1838</v>
      </c>
      <c r="C648" s="8" t="s">
        <v>1839</v>
      </c>
      <c r="D648" s="9" t="s">
        <v>26</v>
      </c>
      <c r="E648" s="10">
        <v>30851</v>
      </c>
      <c r="F648" s="19">
        <f t="shared" ca="1" si="70"/>
        <v>39.506849315068493</v>
      </c>
      <c r="G648" s="11">
        <f t="shared" si="71"/>
        <v>6</v>
      </c>
      <c r="H648" s="11">
        <f t="shared" si="72"/>
        <v>18</v>
      </c>
      <c r="I648" s="10">
        <v>40429</v>
      </c>
      <c r="J648" s="9" t="s">
        <v>87</v>
      </c>
      <c r="K648" s="9" t="s">
        <v>1840</v>
      </c>
      <c r="L648" s="9" t="s">
        <v>55</v>
      </c>
      <c r="M648" s="9" t="s">
        <v>35</v>
      </c>
      <c r="N648" s="11">
        <v>5</v>
      </c>
      <c r="O648" s="12">
        <f t="shared" ca="1" si="73"/>
        <v>13.265753424657534</v>
      </c>
      <c r="P648" s="12">
        <f t="shared" ca="1" si="69"/>
        <v>18.265753424657532</v>
      </c>
      <c r="Q648" s="12" t="s">
        <v>26</v>
      </c>
      <c r="R648" s="9" t="s">
        <v>27</v>
      </c>
      <c r="S648" s="24" t="s">
        <v>36</v>
      </c>
      <c r="T648" s="9" t="s">
        <v>860</v>
      </c>
    </row>
    <row r="649" spans="1:20" ht="35.25" customHeight="1">
      <c r="A649" s="6">
        <f t="shared" si="74"/>
        <v>648</v>
      </c>
      <c r="B649" s="17" t="s">
        <v>1841</v>
      </c>
      <c r="C649" s="8" t="s">
        <v>1842</v>
      </c>
      <c r="D649" s="9" t="s">
        <v>26</v>
      </c>
      <c r="E649" s="10">
        <v>30808</v>
      </c>
      <c r="F649" s="19">
        <f t="shared" ca="1" si="70"/>
        <v>39.624657534246573</v>
      </c>
      <c r="G649" s="11">
        <f t="shared" si="71"/>
        <v>5</v>
      </c>
      <c r="H649" s="11">
        <f t="shared" si="72"/>
        <v>6</v>
      </c>
      <c r="I649" s="10">
        <v>40429</v>
      </c>
      <c r="J649" s="9" t="s">
        <v>110</v>
      </c>
      <c r="K649" s="9" t="s">
        <v>1843</v>
      </c>
      <c r="L649" s="9" t="s">
        <v>34</v>
      </c>
      <c r="M649" s="9" t="s">
        <v>35</v>
      </c>
      <c r="N649" s="11">
        <v>8.3000000000000007</v>
      </c>
      <c r="O649" s="12">
        <f t="shared" ca="1" si="73"/>
        <v>13.265753424657534</v>
      </c>
      <c r="P649" s="12">
        <f t="shared" ca="1" si="69"/>
        <v>21.565753424657537</v>
      </c>
      <c r="Q649" s="12" t="s">
        <v>68</v>
      </c>
      <c r="R649" s="9" t="s">
        <v>27</v>
      </c>
      <c r="S649" s="24" t="s">
        <v>36</v>
      </c>
      <c r="T649" s="9" t="s">
        <v>1032</v>
      </c>
    </row>
    <row r="650" spans="1:20" ht="35.25" customHeight="1">
      <c r="A650" s="6">
        <f t="shared" si="74"/>
        <v>649</v>
      </c>
      <c r="B650" s="17" t="s">
        <v>1844</v>
      </c>
      <c r="C650" s="8" t="s">
        <v>1845</v>
      </c>
      <c r="D650" s="9" t="s">
        <v>26</v>
      </c>
      <c r="E650" s="10">
        <v>29698</v>
      </c>
      <c r="F650" s="19">
        <f t="shared" ca="1" si="70"/>
        <v>42.665753424657531</v>
      </c>
      <c r="G650" s="11">
        <f t="shared" si="71"/>
        <v>4</v>
      </c>
      <c r="H650" s="11">
        <f t="shared" si="72"/>
        <v>22</v>
      </c>
      <c r="I650" s="10">
        <v>40429</v>
      </c>
      <c r="J650" s="9" t="s">
        <v>45</v>
      </c>
      <c r="K650" s="9" t="s">
        <v>1815</v>
      </c>
      <c r="L650" s="9" t="s">
        <v>34</v>
      </c>
      <c r="M650" s="9" t="s">
        <v>35</v>
      </c>
      <c r="N650" s="11">
        <v>5.5</v>
      </c>
      <c r="O650" s="12">
        <f t="shared" ca="1" si="73"/>
        <v>13.265753424657534</v>
      </c>
      <c r="P650" s="12">
        <f t="shared" ca="1" si="69"/>
        <v>18.765753424657532</v>
      </c>
      <c r="Q650" s="12" t="s">
        <v>68</v>
      </c>
      <c r="R650" s="9" t="s">
        <v>27</v>
      </c>
      <c r="S650" s="24" t="s">
        <v>36</v>
      </c>
      <c r="T650" s="9" t="s">
        <v>90</v>
      </c>
    </row>
    <row r="651" spans="1:20" ht="35.25" customHeight="1">
      <c r="A651" s="6">
        <f t="shared" si="74"/>
        <v>650</v>
      </c>
      <c r="B651" s="17" t="s">
        <v>1846</v>
      </c>
      <c r="C651" s="8" t="s">
        <v>1847</v>
      </c>
      <c r="D651" s="9" t="s">
        <v>26</v>
      </c>
      <c r="E651" s="10">
        <v>30451</v>
      </c>
      <c r="F651" s="19">
        <f t="shared" ca="1" si="70"/>
        <v>40.602739726027394</v>
      </c>
      <c r="G651" s="11">
        <f t="shared" si="71"/>
        <v>5</v>
      </c>
      <c r="H651" s="11">
        <f t="shared" si="72"/>
        <v>15</v>
      </c>
      <c r="I651" s="10">
        <v>40429</v>
      </c>
      <c r="J651" s="9" t="s">
        <v>110</v>
      </c>
      <c r="K651" s="9" t="s">
        <v>1848</v>
      </c>
      <c r="L651" s="9" t="s">
        <v>55</v>
      </c>
      <c r="M651" s="9" t="s">
        <v>35</v>
      </c>
      <c r="N651" s="11">
        <v>6.2</v>
      </c>
      <c r="O651" s="12">
        <f t="shared" ca="1" si="73"/>
        <v>13.265753424657534</v>
      </c>
      <c r="P651" s="12">
        <f t="shared" ca="1" si="69"/>
        <v>19.465753424657535</v>
      </c>
      <c r="Q651" s="12" t="s">
        <v>68</v>
      </c>
      <c r="R651" s="9" t="s">
        <v>27</v>
      </c>
      <c r="S651" s="24" t="s">
        <v>28</v>
      </c>
      <c r="T651" s="9" t="s">
        <v>29</v>
      </c>
    </row>
    <row r="652" spans="1:20" ht="35.25" customHeight="1">
      <c r="A652" s="6">
        <f t="shared" si="74"/>
        <v>651</v>
      </c>
      <c r="B652" s="17" t="s">
        <v>1849</v>
      </c>
      <c r="C652" s="8" t="s">
        <v>1850</v>
      </c>
      <c r="D652" s="9" t="s">
        <v>26</v>
      </c>
      <c r="E652" s="10">
        <v>31372</v>
      </c>
      <c r="F652" s="19">
        <f t="shared" ca="1" si="70"/>
        <v>38.079452054794523</v>
      </c>
      <c r="G652" s="11">
        <f t="shared" si="71"/>
        <v>11</v>
      </c>
      <c r="H652" s="11">
        <f t="shared" si="72"/>
        <v>21</v>
      </c>
      <c r="I652" s="10">
        <v>40429</v>
      </c>
      <c r="J652" s="9" t="s">
        <v>226</v>
      </c>
      <c r="K652" s="9" t="s">
        <v>1152</v>
      </c>
      <c r="L652" s="9" t="s">
        <v>34</v>
      </c>
      <c r="M652" s="9" t="s">
        <v>35</v>
      </c>
      <c r="N652" s="11">
        <v>3.3</v>
      </c>
      <c r="O652" s="12">
        <f t="shared" ca="1" si="73"/>
        <v>13.265753424657534</v>
      </c>
      <c r="P652" s="12">
        <f t="shared" ref="P652:P715" ca="1" si="75">SUM(N652+O652)</f>
        <v>16.565753424657533</v>
      </c>
      <c r="Q652" s="12" t="s">
        <v>68</v>
      </c>
      <c r="R652" s="9" t="s">
        <v>27</v>
      </c>
      <c r="S652" s="24" t="s">
        <v>36</v>
      </c>
      <c r="T652" s="9" t="s">
        <v>72</v>
      </c>
    </row>
    <row r="653" spans="1:20" ht="35.25" customHeight="1">
      <c r="A653" s="6">
        <f t="shared" si="74"/>
        <v>652</v>
      </c>
      <c r="B653" s="17" t="s">
        <v>1851</v>
      </c>
      <c r="C653" s="8" t="s">
        <v>1852</v>
      </c>
      <c r="D653" s="9" t="s">
        <v>26</v>
      </c>
      <c r="E653" s="10">
        <v>32080</v>
      </c>
      <c r="F653" s="19">
        <f t="shared" ca="1" si="70"/>
        <v>36.139726027397259</v>
      </c>
      <c r="G653" s="11">
        <f t="shared" si="71"/>
        <v>10</v>
      </c>
      <c r="H653" s="11">
        <f t="shared" si="72"/>
        <v>30</v>
      </c>
      <c r="I653" s="10">
        <v>40430</v>
      </c>
      <c r="J653" s="9" t="s">
        <v>45</v>
      </c>
      <c r="K653" s="9" t="s">
        <v>1853</v>
      </c>
      <c r="L653" s="9" t="s">
        <v>34</v>
      </c>
      <c r="M653" s="9" t="s">
        <v>35</v>
      </c>
      <c r="N653" s="11">
        <v>3</v>
      </c>
      <c r="O653" s="12">
        <f t="shared" ca="1" si="73"/>
        <v>13.263013698630138</v>
      </c>
      <c r="P653" s="12">
        <f t="shared" ca="1" si="75"/>
        <v>16.263013698630139</v>
      </c>
      <c r="Q653" s="12" t="s">
        <v>68</v>
      </c>
      <c r="R653" s="9" t="s">
        <v>27</v>
      </c>
      <c r="S653" s="24" t="s">
        <v>36</v>
      </c>
      <c r="T653" s="9" t="s">
        <v>72</v>
      </c>
    </row>
    <row r="654" spans="1:20" ht="35.25" customHeight="1">
      <c r="A654" s="6">
        <f t="shared" si="74"/>
        <v>653</v>
      </c>
      <c r="B654" s="17" t="s">
        <v>1854</v>
      </c>
      <c r="C654" s="8" t="s">
        <v>1855</v>
      </c>
      <c r="D654" s="9" t="s">
        <v>26</v>
      </c>
      <c r="E654" s="10">
        <v>31985</v>
      </c>
      <c r="F654" s="19">
        <f t="shared" ca="1" si="70"/>
        <v>36.4</v>
      </c>
      <c r="G654" s="11">
        <f t="shared" si="71"/>
        <v>7</v>
      </c>
      <c r="H654" s="11">
        <f t="shared" si="72"/>
        <v>27</v>
      </c>
      <c r="I654" s="10">
        <v>40430</v>
      </c>
      <c r="J654" s="9" t="s">
        <v>45</v>
      </c>
      <c r="K654" s="9" t="s">
        <v>477</v>
      </c>
      <c r="L654" s="9" t="s">
        <v>34</v>
      </c>
      <c r="M654" s="9" t="s">
        <v>35</v>
      </c>
      <c r="N654" s="11">
        <v>4</v>
      </c>
      <c r="O654" s="12">
        <f t="shared" ca="1" si="73"/>
        <v>13.263013698630138</v>
      </c>
      <c r="P654" s="12">
        <f t="shared" ca="1" si="75"/>
        <v>17.263013698630139</v>
      </c>
      <c r="Q654" s="12" t="s">
        <v>68</v>
      </c>
      <c r="R654" s="9" t="s">
        <v>27</v>
      </c>
      <c r="S654" s="24" t="s">
        <v>36</v>
      </c>
      <c r="T654" s="9" t="s">
        <v>860</v>
      </c>
    </row>
    <row r="655" spans="1:20" ht="35.25" customHeight="1">
      <c r="A655" s="6">
        <f t="shared" si="74"/>
        <v>654</v>
      </c>
      <c r="B655" s="17" t="s">
        <v>1856</v>
      </c>
      <c r="C655" s="8" t="s">
        <v>1857</v>
      </c>
      <c r="D655" s="9" t="s">
        <v>26</v>
      </c>
      <c r="E655" s="10">
        <v>26728</v>
      </c>
      <c r="F655" s="19">
        <f t="shared" ca="1" si="70"/>
        <v>50.802739726027397</v>
      </c>
      <c r="G655" s="11">
        <f t="shared" si="71"/>
        <v>3</v>
      </c>
      <c r="H655" s="11">
        <f t="shared" si="72"/>
        <v>5</v>
      </c>
      <c r="I655" s="10">
        <v>40417</v>
      </c>
      <c r="J655" s="9" t="s">
        <v>192</v>
      </c>
      <c r="K655" s="9" t="s">
        <v>1858</v>
      </c>
      <c r="L655" s="9" t="s">
        <v>1859</v>
      </c>
      <c r="M655" s="9" t="s">
        <v>1859</v>
      </c>
      <c r="N655" s="11">
        <v>16</v>
      </c>
      <c r="O655" s="12">
        <f t="shared" ca="1" si="73"/>
        <v>13.298630136986301</v>
      </c>
      <c r="P655" s="12">
        <f t="shared" ca="1" si="75"/>
        <v>29.298630136986301</v>
      </c>
      <c r="Q655" s="12" t="s">
        <v>26</v>
      </c>
      <c r="R655" s="9" t="s">
        <v>901</v>
      </c>
      <c r="S655" s="24" t="s">
        <v>28</v>
      </c>
      <c r="T655" s="9" t="s">
        <v>162</v>
      </c>
    </row>
    <row r="656" spans="1:20" ht="35.25" customHeight="1">
      <c r="A656" s="6">
        <f t="shared" si="74"/>
        <v>655</v>
      </c>
      <c r="B656" s="17" t="s">
        <v>1860</v>
      </c>
      <c r="C656" s="8" t="s">
        <v>1861</v>
      </c>
      <c r="D656" s="9" t="s">
        <v>26</v>
      </c>
      <c r="E656" s="10">
        <v>26405</v>
      </c>
      <c r="F656" s="11">
        <f t="shared" ca="1" si="70"/>
        <v>51.68767123287671</v>
      </c>
      <c r="G656" s="11">
        <f t="shared" si="71"/>
        <v>4</v>
      </c>
      <c r="H656" s="11">
        <f t="shared" si="72"/>
        <v>16</v>
      </c>
      <c r="I656" s="10">
        <v>40436</v>
      </c>
      <c r="J656" s="9" t="s">
        <v>318</v>
      </c>
      <c r="K656" s="9" t="s">
        <v>1862</v>
      </c>
      <c r="L656" s="9" t="s">
        <v>1480</v>
      </c>
      <c r="M656" s="9" t="s">
        <v>35</v>
      </c>
      <c r="N656" s="11">
        <v>16.8</v>
      </c>
      <c r="O656" s="12">
        <f t="shared" ca="1" si="73"/>
        <v>13.246575342465754</v>
      </c>
      <c r="P656" s="12">
        <f t="shared" ca="1" si="75"/>
        <v>30.046575342465754</v>
      </c>
      <c r="Q656" s="12" t="s">
        <v>26</v>
      </c>
      <c r="R656" s="9" t="s">
        <v>901</v>
      </c>
      <c r="S656" s="24" t="s">
        <v>28</v>
      </c>
      <c r="T656" s="9" t="s">
        <v>29</v>
      </c>
    </row>
    <row r="657" spans="1:20" ht="35.25" customHeight="1">
      <c r="A657" s="6">
        <f t="shared" si="74"/>
        <v>656</v>
      </c>
      <c r="B657" s="17" t="s">
        <v>1863</v>
      </c>
      <c r="C657" s="8" t="s">
        <v>1864</v>
      </c>
      <c r="D657" s="9" t="s">
        <v>26</v>
      </c>
      <c r="E657" s="10">
        <v>29474</v>
      </c>
      <c r="F657" s="11">
        <f t="shared" ca="1" si="70"/>
        <v>43.279452054794518</v>
      </c>
      <c r="G657" s="11">
        <f t="shared" si="71"/>
        <v>9</v>
      </c>
      <c r="H657" s="11">
        <f t="shared" si="72"/>
        <v>10</v>
      </c>
      <c r="I657" s="10">
        <v>40434</v>
      </c>
      <c r="J657" s="9" t="s">
        <v>110</v>
      </c>
      <c r="K657" s="9" t="s">
        <v>1212</v>
      </c>
      <c r="L657" s="9" t="s">
        <v>34</v>
      </c>
      <c r="M657" s="9" t="s">
        <v>35</v>
      </c>
      <c r="N657" s="11">
        <v>11</v>
      </c>
      <c r="O657" s="12">
        <f t="shared" ca="1" si="73"/>
        <v>13.252054794520548</v>
      </c>
      <c r="P657" s="12">
        <f t="shared" ca="1" si="75"/>
        <v>24.252054794520546</v>
      </c>
      <c r="Q657" s="12" t="s">
        <v>68</v>
      </c>
      <c r="R657" s="9" t="s">
        <v>901</v>
      </c>
      <c r="S657" s="24" t="s">
        <v>28</v>
      </c>
      <c r="T657" s="9" t="s">
        <v>29</v>
      </c>
    </row>
    <row r="658" spans="1:20" ht="35.25" customHeight="1">
      <c r="A658" s="6">
        <f t="shared" si="74"/>
        <v>657</v>
      </c>
      <c r="B658" s="17" t="s">
        <v>1865</v>
      </c>
      <c r="C658" s="8" t="s">
        <v>1866</v>
      </c>
      <c r="D658" s="9" t="s">
        <v>26</v>
      </c>
      <c r="E658" s="10">
        <v>29889</v>
      </c>
      <c r="F658" s="11">
        <f t="shared" ca="1" si="70"/>
        <v>42.142465753424659</v>
      </c>
      <c r="G658" s="11">
        <f t="shared" si="71"/>
        <v>10</v>
      </c>
      <c r="H658" s="11">
        <f t="shared" si="72"/>
        <v>30</v>
      </c>
      <c r="I658" s="10">
        <v>40437</v>
      </c>
      <c r="J658" s="9" t="s">
        <v>110</v>
      </c>
      <c r="K658" s="9" t="s">
        <v>1867</v>
      </c>
      <c r="L658" s="9" t="s">
        <v>1091</v>
      </c>
      <c r="M658" s="9" t="s">
        <v>25</v>
      </c>
      <c r="N658" s="11">
        <v>3</v>
      </c>
      <c r="O658" s="12">
        <f t="shared" ca="1" si="73"/>
        <v>13.243835616438357</v>
      </c>
      <c r="P658" s="12">
        <f t="shared" ca="1" si="75"/>
        <v>16.243835616438357</v>
      </c>
      <c r="Q658" s="12" t="s">
        <v>68</v>
      </c>
      <c r="R658" s="9" t="s">
        <v>901</v>
      </c>
      <c r="S658" s="24" t="s">
        <v>28</v>
      </c>
      <c r="T658" s="9" t="s">
        <v>29</v>
      </c>
    </row>
    <row r="659" spans="1:20" ht="35.25" customHeight="1">
      <c r="A659" s="6">
        <f t="shared" si="74"/>
        <v>658</v>
      </c>
      <c r="B659" s="17" t="s">
        <v>1868</v>
      </c>
      <c r="C659" s="8" t="s">
        <v>1869</v>
      </c>
      <c r="D659" s="9" t="s">
        <v>26</v>
      </c>
      <c r="E659" s="10">
        <v>31507</v>
      </c>
      <c r="F659" s="11">
        <f t="shared" ca="1" si="70"/>
        <v>37.709589041095889</v>
      </c>
      <c r="G659" s="11">
        <f t="shared" si="71"/>
        <v>4</v>
      </c>
      <c r="H659" s="11">
        <f t="shared" si="72"/>
        <v>5</v>
      </c>
      <c r="I659" s="10">
        <v>40436</v>
      </c>
      <c r="J659" s="9" t="s">
        <v>226</v>
      </c>
      <c r="K659" s="9" t="s">
        <v>537</v>
      </c>
      <c r="L659" s="9" t="s">
        <v>122</v>
      </c>
      <c r="M659" s="9" t="s">
        <v>35</v>
      </c>
      <c r="N659" s="11">
        <v>1.8</v>
      </c>
      <c r="O659" s="12">
        <f t="shared" ca="1" si="73"/>
        <v>13.246575342465754</v>
      </c>
      <c r="P659" s="12">
        <f t="shared" ca="1" si="75"/>
        <v>15.046575342465754</v>
      </c>
      <c r="Q659" s="12" t="s">
        <v>68</v>
      </c>
      <c r="R659" s="9" t="s">
        <v>901</v>
      </c>
      <c r="S659" s="24" t="s">
        <v>36</v>
      </c>
      <c r="T659" s="9" t="s">
        <v>72</v>
      </c>
    </row>
    <row r="660" spans="1:20" ht="35.25" customHeight="1">
      <c r="A660" s="6">
        <f t="shared" si="74"/>
        <v>659</v>
      </c>
      <c r="B660" s="17" t="s">
        <v>1870</v>
      </c>
      <c r="C660" s="8" t="s">
        <v>1871</v>
      </c>
      <c r="D660" s="9" t="s">
        <v>26</v>
      </c>
      <c r="E660" s="10">
        <v>29302</v>
      </c>
      <c r="F660" s="11">
        <v>30.890410958904109</v>
      </c>
      <c r="G660" s="11">
        <v>3</v>
      </c>
      <c r="H660" s="11">
        <v>22</v>
      </c>
      <c r="I660" s="10">
        <v>40436</v>
      </c>
      <c r="J660" s="9" t="s">
        <v>110</v>
      </c>
      <c r="K660" s="9" t="s">
        <v>278</v>
      </c>
      <c r="L660" s="9" t="s">
        <v>34</v>
      </c>
      <c r="M660" s="9" t="s">
        <v>35</v>
      </c>
      <c r="N660" s="11">
        <v>9.1</v>
      </c>
      <c r="O660" s="12">
        <f t="shared" ca="1" si="73"/>
        <v>13.246575342465754</v>
      </c>
      <c r="P660" s="12">
        <f t="shared" ca="1" si="75"/>
        <v>22.346575342465755</v>
      </c>
      <c r="Q660" s="12" t="s">
        <v>26</v>
      </c>
      <c r="R660" s="9" t="s">
        <v>901</v>
      </c>
      <c r="S660" s="24" t="s">
        <v>36</v>
      </c>
      <c r="T660" s="9" t="s">
        <v>72</v>
      </c>
    </row>
    <row r="661" spans="1:20" ht="35.25" customHeight="1">
      <c r="A661" s="6">
        <f t="shared" si="74"/>
        <v>660</v>
      </c>
      <c r="B661" s="17" t="s">
        <v>1872</v>
      </c>
      <c r="C661" s="8" t="s">
        <v>1873</v>
      </c>
      <c r="D661" s="9" t="s">
        <v>26</v>
      </c>
      <c r="E661" s="10">
        <v>31491</v>
      </c>
      <c r="F661" s="11">
        <f t="shared" ref="F661:F678" ca="1" si="76">(TODAY()-E661)/365</f>
        <v>37.753424657534246</v>
      </c>
      <c r="G661" s="11">
        <f t="shared" ref="G661:G678" si="77">MONTH(E661)</f>
        <v>3</v>
      </c>
      <c r="H661" s="11">
        <f t="shared" ref="H661:H678" si="78">DAY(E661)</f>
        <v>20</v>
      </c>
      <c r="I661" s="10">
        <v>40436</v>
      </c>
      <c r="J661" s="9" t="s">
        <v>87</v>
      </c>
      <c r="K661" s="9" t="s">
        <v>332</v>
      </c>
      <c r="L661" s="9" t="s">
        <v>34</v>
      </c>
      <c r="M661" s="9" t="s">
        <v>35</v>
      </c>
      <c r="N661" s="11">
        <v>6</v>
      </c>
      <c r="O661" s="12">
        <f t="shared" ca="1" si="73"/>
        <v>13.246575342465754</v>
      </c>
      <c r="P661" s="12">
        <f t="shared" ca="1" si="75"/>
        <v>19.246575342465754</v>
      </c>
      <c r="Q661" s="12" t="s">
        <v>68</v>
      </c>
      <c r="R661" s="9" t="s">
        <v>901</v>
      </c>
      <c r="S661" s="24" t="s">
        <v>36</v>
      </c>
      <c r="T661" s="9" t="s">
        <v>137</v>
      </c>
    </row>
    <row r="662" spans="1:20" ht="35.25" customHeight="1">
      <c r="A662" s="6">
        <f t="shared" si="74"/>
        <v>661</v>
      </c>
      <c r="B662" s="17" t="s">
        <v>1874</v>
      </c>
      <c r="C662" s="8" t="s">
        <v>1875</v>
      </c>
      <c r="D662" s="9" t="s">
        <v>26</v>
      </c>
      <c r="E662" s="10">
        <v>28353</v>
      </c>
      <c r="F662" s="11">
        <f t="shared" ca="1" si="76"/>
        <v>46.350684931506848</v>
      </c>
      <c r="G662" s="11">
        <f t="shared" si="77"/>
        <v>8</v>
      </c>
      <c r="H662" s="11">
        <f t="shared" si="78"/>
        <v>16</v>
      </c>
      <c r="I662" s="10">
        <v>40441</v>
      </c>
      <c r="J662" s="9" t="s">
        <v>132</v>
      </c>
      <c r="K662" s="9" t="s">
        <v>1876</v>
      </c>
      <c r="L662" s="9" t="s">
        <v>1091</v>
      </c>
      <c r="M662" s="9" t="s">
        <v>25</v>
      </c>
      <c r="N662" s="11">
        <v>9</v>
      </c>
      <c r="O662" s="12">
        <f t="shared" ca="1" si="73"/>
        <v>13.232876712328768</v>
      </c>
      <c r="P662" s="12">
        <f t="shared" ca="1" si="75"/>
        <v>22.232876712328768</v>
      </c>
      <c r="Q662" s="12" t="s">
        <v>26</v>
      </c>
      <c r="R662" s="9" t="s">
        <v>627</v>
      </c>
      <c r="S662" s="24" t="s">
        <v>28</v>
      </c>
      <c r="T662" s="9" t="s">
        <v>29</v>
      </c>
    </row>
    <row r="663" spans="1:20" ht="35.25" customHeight="1">
      <c r="A663" s="6">
        <f t="shared" si="74"/>
        <v>662</v>
      </c>
      <c r="B663" s="17" t="s">
        <v>1877</v>
      </c>
      <c r="C663" s="8" t="s">
        <v>1878</v>
      </c>
      <c r="D663" s="9" t="s">
        <v>26</v>
      </c>
      <c r="E663" s="10">
        <v>31003</v>
      </c>
      <c r="F663" s="11">
        <f t="shared" ca="1" si="76"/>
        <v>39.090410958904108</v>
      </c>
      <c r="G663" s="11">
        <f t="shared" si="77"/>
        <v>11</v>
      </c>
      <c r="H663" s="11">
        <f t="shared" si="78"/>
        <v>17</v>
      </c>
      <c r="I663" s="10">
        <v>40434</v>
      </c>
      <c r="J663" s="9" t="s">
        <v>50</v>
      </c>
      <c r="K663" s="9" t="s">
        <v>159</v>
      </c>
      <c r="L663" s="9" t="s">
        <v>1782</v>
      </c>
      <c r="M663" s="9" t="s">
        <v>156</v>
      </c>
      <c r="N663" s="11">
        <v>5</v>
      </c>
      <c r="O663" s="12">
        <f t="shared" ca="1" si="73"/>
        <v>13.252054794520548</v>
      </c>
      <c r="P663" s="12">
        <f t="shared" ca="1" si="75"/>
        <v>18.252054794520546</v>
      </c>
      <c r="Q663" s="12" t="s">
        <v>68</v>
      </c>
      <c r="R663" s="9" t="s">
        <v>901</v>
      </c>
      <c r="S663" s="24" t="s">
        <v>28</v>
      </c>
      <c r="T663" s="9" t="s">
        <v>114</v>
      </c>
    </row>
    <row r="664" spans="1:20" ht="35.25" customHeight="1">
      <c r="A664" s="6">
        <f t="shared" si="74"/>
        <v>663</v>
      </c>
      <c r="B664" s="17" t="s">
        <v>1879</v>
      </c>
      <c r="C664" s="8" t="s">
        <v>1448</v>
      </c>
      <c r="D664" s="9" t="s">
        <v>26</v>
      </c>
      <c r="E664" s="10">
        <v>26575</v>
      </c>
      <c r="F664" s="11">
        <f t="shared" ca="1" si="76"/>
        <v>51.221917808219175</v>
      </c>
      <c r="G664" s="11">
        <f t="shared" si="77"/>
        <v>10</v>
      </c>
      <c r="H664" s="11">
        <f t="shared" si="78"/>
        <v>3</v>
      </c>
      <c r="I664" s="10">
        <v>40429</v>
      </c>
      <c r="J664" s="9" t="s">
        <v>50</v>
      </c>
      <c r="K664" s="9" t="s">
        <v>1880</v>
      </c>
      <c r="L664" s="9" t="s">
        <v>34</v>
      </c>
      <c r="M664" s="9" t="s">
        <v>134</v>
      </c>
      <c r="N664" s="11">
        <v>15</v>
      </c>
      <c r="O664" s="12">
        <f t="shared" ca="1" si="73"/>
        <v>13.265753424657534</v>
      </c>
      <c r="P664" s="12">
        <f t="shared" ca="1" si="75"/>
        <v>28.265753424657532</v>
      </c>
      <c r="Q664" s="12" t="s">
        <v>26</v>
      </c>
      <c r="R664" s="9" t="s">
        <v>442</v>
      </c>
      <c r="S664" s="24" t="s">
        <v>36</v>
      </c>
      <c r="T664" s="9" t="s">
        <v>137</v>
      </c>
    </row>
    <row r="665" spans="1:20" ht="35.25" customHeight="1">
      <c r="A665" s="6">
        <f t="shared" si="74"/>
        <v>664</v>
      </c>
      <c r="B665" s="17" t="s">
        <v>1881</v>
      </c>
      <c r="C665" s="8" t="s">
        <v>1882</v>
      </c>
      <c r="D665" s="9" t="s">
        <v>26</v>
      </c>
      <c r="E665" s="10">
        <v>24852</v>
      </c>
      <c r="F665" s="11">
        <f t="shared" ca="1" si="76"/>
        <v>55.942465753424656</v>
      </c>
      <c r="G665" s="11">
        <f t="shared" si="77"/>
        <v>1</v>
      </c>
      <c r="H665" s="11">
        <f t="shared" si="78"/>
        <v>15</v>
      </c>
      <c r="I665" s="10">
        <v>40430</v>
      </c>
      <c r="J665" s="9" t="s">
        <v>140</v>
      </c>
      <c r="K665" s="9" t="s">
        <v>1883</v>
      </c>
      <c r="L665" s="9" t="s">
        <v>377</v>
      </c>
      <c r="M665" s="9" t="s">
        <v>134</v>
      </c>
      <c r="N665" s="11">
        <v>21</v>
      </c>
      <c r="O665" s="12">
        <f t="shared" ca="1" si="73"/>
        <v>13.263013698630138</v>
      </c>
      <c r="P665" s="12">
        <f t="shared" ca="1" si="75"/>
        <v>34.263013698630139</v>
      </c>
      <c r="Q665" s="12" t="s">
        <v>26</v>
      </c>
      <c r="R665" s="9" t="s">
        <v>901</v>
      </c>
      <c r="S665" s="24" t="s">
        <v>36</v>
      </c>
      <c r="T665" s="9" t="s">
        <v>137</v>
      </c>
    </row>
    <row r="666" spans="1:20" ht="35.25" customHeight="1">
      <c r="A666" s="6">
        <f t="shared" si="74"/>
        <v>665</v>
      </c>
      <c r="B666" s="17" t="s">
        <v>1884</v>
      </c>
      <c r="C666" s="8" t="s">
        <v>1885</v>
      </c>
      <c r="D666" s="9" t="s">
        <v>26</v>
      </c>
      <c r="E666" s="10">
        <v>25277</v>
      </c>
      <c r="F666" s="11">
        <f t="shared" ca="1" si="76"/>
        <v>54.778082191780825</v>
      </c>
      <c r="G666" s="11">
        <f t="shared" si="77"/>
        <v>3</v>
      </c>
      <c r="H666" s="11">
        <f t="shared" si="78"/>
        <v>15</v>
      </c>
      <c r="I666" s="10">
        <v>40434</v>
      </c>
      <c r="J666" s="9" t="s">
        <v>58</v>
      </c>
      <c r="K666" s="9" t="s">
        <v>1886</v>
      </c>
      <c r="L666" s="9" t="s">
        <v>204</v>
      </c>
      <c r="M666" s="9" t="s">
        <v>134</v>
      </c>
      <c r="N666" s="11">
        <v>21</v>
      </c>
      <c r="O666" s="12">
        <f t="shared" ca="1" si="73"/>
        <v>13.252054794520548</v>
      </c>
      <c r="P666" s="12">
        <f t="shared" ca="1" si="75"/>
        <v>34.252054794520546</v>
      </c>
      <c r="Q666" s="12" t="s">
        <v>26</v>
      </c>
      <c r="R666" s="9" t="s">
        <v>95</v>
      </c>
      <c r="S666" s="24" t="s">
        <v>36</v>
      </c>
      <c r="T666" s="9" t="s">
        <v>137</v>
      </c>
    </row>
    <row r="667" spans="1:20" ht="35.25" customHeight="1">
      <c r="A667" s="6">
        <f t="shared" si="74"/>
        <v>666</v>
      </c>
      <c r="B667" s="54" t="s">
        <v>1887</v>
      </c>
      <c r="C667" s="54" t="s">
        <v>1888</v>
      </c>
      <c r="D667" s="55" t="s">
        <v>26</v>
      </c>
      <c r="E667" s="56">
        <v>30601</v>
      </c>
      <c r="F667" s="57">
        <f t="shared" ca="1" si="76"/>
        <v>40.19178082191781</v>
      </c>
      <c r="G667" s="57">
        <f t="shared" si="77"/>
        <v>10</v>
      </c>
      <c r="H667" s="57">
        <f t="shared" si="78"/>
        <v>12</v>
      </c>
      <c r="I667" s="56">
        <v>40436</v>
      </c>
      <c r="J667" s="55" t="s">
        <v>50</v>
      </c>
      <c r="K667" s="55" t="s">
        <v>159</v>
      </c>
      <c r="L667" s="55" t="s">
        <v>393</v>
      </c>
      <c r="M667" s="55" t="s">
        <v>156</v>
      </c>
      <c r="N667" s="57">
        <v>1</v>
      </c>
      <c r="O667" s="58">
        <f t="shared" ca="1" si="73"/>
        <v>13.246575342465754</v>
      </c>
      <c r="P667" s="58">
        <f t="shared" ca="1" si="75"/>
        <v>14.246575342465754</v>
      </c>
      <c r="Q667" s="58" t="s">
        <v>68</v>
      </c>
      <c r="R667" s="55" t="s">
        <v>901</v>
      </c>
      <c r="S667" s="59" t="s">
        <v>28</v>
      </c>
      <c r="T667" s="55" t="s">
        <v>616</v>
      </c>
    </row>
    <row r="668" spans="1:20" ht="35.25" customHeight="1">
      <c r="A668" s="6">
        <f t="shared" si="74"/>
        <v>667</v>
      </c>
      <c r="B668" s="17" t="s">
        <v>1889</v>
      </c>
      <c r="C668" s="8" t="s">
        <v>1890</v>
      </c>
      <c r="D668" s="9" t="s">
        <v>26</v>
      </c>
      <c r="E668" s="10">
        <v>26865</v>
      </c>
      <c r="F668" s="11">
        <f t="shared" ca="1" si="76"/>
        <v>50.42739726027397</v>
      </c>
      <c r="G668" s="11">
        <f t="shared" si="77"/>
        <v>7</v>
      </c>
      <c r="H668" s="11">
        <f t="shared" si="78"/>
        <v>20</v>
      </c>
      <c r="I668" s="10">
        <v>40438</v>
      </c>
      <c r="J668" s="9" t="s">
        <v>32</v>
      </c>
      <c r="K668" s="9" t="s">
        <v>313</v>
      </c>
      <c r="L668" s="9" t="s">
        <v>231</v>
      </c>
      <c r="M668" s="9" t="s">
        <v>156</v>
      </c>
      <c r="N668" s="11">
        <v>15</v>
      </c>
      <c r="O668" s="12">
        <f t="shared" ca="1" si="73"/>
        <v>13.241095890410959</v>
      </c>
      <c r="P668" s="12">
        <f t="shared" ca="1" si="75"/>
        <v>28.241095890410961</v>
      </c>
      <c r="Q668" s="12" t="s">
        <v>26</v>
      </c>
      <c r="R668" s="9" t="s">
        <v>95</v>
      </c>
      <c r="S668" s="24" t="s">
        <v>36</v>
      </c>
      <c r="T668" s="9" t="s">
        <v>90</v>
      </c>
    </row>
    <row r="669" spans="1:20" ht="35.25" customHeight="1">
      <c r="A669" s="6">
        <f t="shared" si="74"/>
        <v>668</v>
      </c>
      <c r="B669" s="17" t="s">
        <v>1891</v>
      </c>
      <c r="C669" s="8" t="s">
        <v>1892</v>
      </c>
      <c r="D669" s="9" t="s">
        <v>26</v>
      </c>
      <c r="E669" s="10">
        <v>30324</v>
      </c>
      <c r="F669" s="11">
        <f t="shared" ca="1" si="76"/>
        <v>40.950684931506849</v>
      </c>
      <c r="G669" s="11">
        <f t="shared" si="77"/>
        <v>1</v>
      </c>
      <c r="H669" s="11">
        <f t="shared" si="78"/>
        <v>8</v>
      </c>
      <c r="I669" s="10">
        <v>40441</v>
      </c>
      <c r="J669" s="9" t="s">
        <v>50</v>
      </c>
      <c r="K669" s="9" t="s">
        <v>1893</v>
      </c>
      <c r="L669" s="9" t="s">
        <v>524</v>
      </c>
      <c r="M669" s="9" t="s">
        <v>35</v>
      </c>
      <c r="N669" s="11">
        <v>3.3</v>
      </c>
      <c r="O669" s="12">
        <f t="shared" ca="1" si="73"/>
        <v>13.232876712328768</v>
      </c>
      <c r="P669" s="12">
        <f t="shared" ca="1" si="75"/>
        <v>16.532876712328768</v>
      </c>
      <c r="Q669" s="12" t="s">
        <v>26</v>
      </c>
      <c r="R669" s="9" t="s">
        <v>27</v>
      </c>
      <c r="S669" s="24" t="s">
        <v>28</v>
      </c>
      <c r="T669" s="9" t="s">
        <v>29</v>
      </c>
    </row>
    <row r="670" spans="1:20" ht="35.25" customHeight="1">
      <c r="A670" s="6">
        <f t="shared" si="74"/>
        <v>669</v>
      </c>
      <c r="B670" s="17" t="s">
        <v>1894</v>
      </c>
      <c r="C670" s="8" t="s">
        <v>1895</v>
      </c>
      <c r="D670" s="9" t="s">
        <v>26</v>
      </c>
      <c r="E670" s="10">
        <v>30502</v>
      </c>
      <c r="F670" s="11">
        <f t="shared" ca="1" si="76"/>
        <v>40.463013698630135</v>
      </c>
      <c r="G670" s="11">
        <f t="shared" si="77"/>
        <v>7</v>
      </c>
      <c r="H670" s="11">
        <f t="shared" si="78"/>
        <v>5</v>
      </c>
      <c r="I670" s="10">
        <v>40441</v>
      </c>
      <c r="J670" s="9" t="s">
        <v>110</v>
      </c>
      <c r="K670" s="9" t="s">
        <v>1165</v>
      </c>
      <c r="L670" s="9" t="s">
        <v>34</v>
      </c>
      <c r="M670" s="9" t="s">
        <v>35</v>
      </c>
      <c r="N670" s="11">
        <v>6</v>
      </c>
      <c r="O670" s="12">
        <f t="shared" ca="1" si="73"/>
        <v>13.232876712328768</v>
      </c>
      <c r="P670" s="12">
        <f t="shared" ca="1" si="75"/>
        <v>19.232876712328768</v>
      </c>
      <c r="Q670" s="12" t="s">
        <v>68</v>
      </c>
      <c r="R670" s="9" t="s">
        <v>27</v>
      </c>
      <c r="S670" s="24" t="s">
        <v>36</v>
      </c>
      <c r="T670" s="9" t="s">
        <v>1304</v>
      </c>
    </row>
    <row r="671" spans="1:20" ht="35.25" customHeight="1">
      <c r="A671" s="6">
        <f t="shared" si="74"/>
        <v>670</v>
      </c>
      <c r="B671" s="17" t="s">
        <v>1896</v>
      </c>
      <c r="C671" s="8" t="s">
        <v>1897</v>
      </c>
      <c r="D671" s="9" t="s">
        <v>26</v>
      </c>
      <c r="E671" s="10">
        <v>32016</v>
      </c>
      <c r="F671" s="11">
        <f t="shared" ca="1" si="76"/>
        <v>36.315068493150683</v>
      </c>
      <c r="G671" s="11">
        <f t="shared" si="77"/>
        <v>8</v>
      </c>
      <c r="H671" s="11">
        <f t="shared" si="78"/>
        <v>27</v>
      </c>
      <c r="I671" s="10">
        <v>40441</v>
      </c>
      <c r="J671" s="9" t="s">
        <v>45</v>
      </c>
      <c r="K671" s="9" t="s">
        <v>477</v>
      </c>
      <c r="L671" s="9" t="s">
        <v>34</v>
      </c>
      <c r="M671" s="9" t="s">
        <v>35</v>
      </c>
      <c r="N671" s="11">
        <v>3</v>
      </c>
      <c r="O671" s="12">
        <f t="shared" ca="1" si="73"/>
        <v>13.232876712328768</v>
      </c>
      <c r="P671" s="12">
        <f t="shared" ca="1" si="75"/>
        <v>16.232876712328768</v>
      </c>
      <c r="Q671" s="12" t="s">
        <v>68</v>
      </c>
      <c r="R671" s="9" t="s">
        <v>27</v>
      </c>
      <c r="S671" s="24" t="s">
        <v>36</v>
      </c>
      <c r="T671" s="9" t="s">
        <v>1304</v>
      </c>
    </row>
    <row r="672" spans="1:20" ht="35.25" customHeight="1">
      <c r="A672" s="6">
        <f t="shared" si="74"/>
        <v>671</v>
      </c>
      <c r="B672" s="17" t="s">
        <v>1898</v>
      </c>
      <c r="C672" s="8" t="s">
        <v>1899</v>
      </c>
      <c r="D672" s="9" t="s">
        <v>21</v>
      </c>
      <c r="E672" s="10">
        <v>29600</v>
      </c>
      <c r="F672" s="11">
        <f t="shared" ca="1" si="76"/>
        <v>42.934246575342463</v>
      </c>
      <c r="G672" s="11">
        <f t="shared" si="77"/>
        <v>1</v>
      </c>
      <c r="H672" s="11">
        <f t="shared" si="78"/>
        <v>14</v>
      </c>
      <c r="I672" s="10">
        <v>40438</v>
      </c>
      <c r="J672" s="9" t="s">
        <v>58</v>
      </c>
      <c r="K672" s="9" t="s">
        <v>1900</v>
      </c>
      <c r="L672" s="9" t="s">
        <v>1901</v>
      </c>
      <c r="M672" s="9" t="s">
        <v>156</v>
      </c>
      <c r="N672" s="11">
        <v>5.6</v>
      </c>
      <c r="O672" s="12">
        <f t="shared" ca="1" si="73"/>
        <v>13.241095890410959</v>
      </c>
      <c r="P672" s="12">
        <f t="shared" ca="1" si="75"/>
        <v>18.841095890410958</v>
      </c>
      <c r="Q672" s="12" t="s">
        <v>26</v>
      </c>
      <c r="R672" s="9" t="s">
        <v>27</v>
      </c>
      <c r="S672" s="24" t="s">
        <v>28</v>
      </c>
      <c r="T672" s="9" t="s">
        <v>29</v>
      </c>
    </row>
    <row r="673" spans="1:20" ht="35.25" customHeight="1">
      <c r="A673" s="6">
        <f t="shared" si="74"/>
        <v>672</v>
      </c>
      <c r="B673" s="17" t="s">
        <v>1902</v>
      </c>
      <c r="C673" s="8" t="s">
        <v>1903</v>
      </c>
      <c r="D673" s="9" t="s">
        <v>26</v>
      </c>
      <c r="E673" s="10">
        <v>32058</v>
      </c>
      <c r="F673" s="11">
        <f t="shared" ca="1" si="76"/>
        <v>36.200000000000003</v>
      </c>
      <c r="G673" s="11">
        <f t="shared" si="77"/>
        <v>10</v>
      </c>
      <c r="H673" s="11">
        <f t="shared" si="78"/>
        <v>8</v>
      </c>
      <c r="I673" s="10">
        <v>40443</v>
      </c>
      <c r="J673" s="9" t="s">
        <v>226</v>
      </c>
      <c r="K673" s="9" t="s">
        <v>537</v>
      </c>
      <c r="L673" s="9" t="s">
        <v>122</v>
      </c>
      <c r="M673" s="9" t="s">
        <v>35</v>
      </c>
      <c r="N673" s="11">
        <v>2.2000000000000002</v>
      </c>
      <c r="O673" s="12">
        <f t="shared" ca="1" si="73"/>
        <v>13.227397260273973</v>
      </c>
      <c r="P673" s="12">
        <f t="shared" ca="1" si="75"/>
        <v>15.427397260273974</v>
      </c>
      <c r="Q673" s="12" t="s">
        <v>68</v>
      </c>
      <c r="R673" s="9" t="s">
        <v>27</v>
      </c>
      <c r="S673" s="24" t="s">
        <v>36</v>
      </c>
      <c r="T673" s="9" t="s">
        <v>72</v>
      </c>
    </row>
    <row r="674" spans="1:20" ht="35.25" customHeight="1">
      <c r="A674" s="6">
        <f t="shared" si="74"/>
        <v>673</v>
      </c>
      <c r="B674" s="17" t="s">
        <v>1904</v>
      </c>
      <c r="C674" s="8" t="s">
        <v>1905</v>
      </c>
      <c r="D674" s="9" t="s">
        <v>26</v>
      </c>
      <c r="E674" s="10">
        <v>29051</v>
      </c>
      <c r="F674" s="11">
        <f t="shared" ca="1" si="76"/>
        <v>44.438356164383563</v>
      </c>
      <c r="G674" s="11">
        <f t="shared" si="77"/>
        <v>7</v>
      </c>
      <c r="H674" s="11">
        <f t="shared" si="78"/>
        <v>15</v>
      </c>
      <c r="I674" s="10">
        <v>40443</v>
      </c>
      <c r="J674" s="9" t="s">
        <v>22</v>
      </c>
      <c r="K674" s="9" t="s">
        <v>1428</v>
      </c>
      <c r="L674" s="9" t="s">
        <v>34</v>
      </c>
      <c r="M674" s="9" t="s">
        <v>35</v>
      </c>
      <c r="N674" s="11">
        <v>11</v>
      </c>
      <c r="O674" s="12">
        <f t="shared" ca="1" si="73"/>
        <v>13.227397260273973</v>
      </c>
      <c r="P674" s="12">
        <f t="shared" ca="1" si="75"/>
        <v>24.227397260273975</v>
      </c>
      <c r="Q674" s="12" t="s">
        <v>26</v>
      </c>
      <c r="R674" s="9" t="s">
        <v>27</v>
      </c>
      <c r="S674" s="24" t="s">
        <v>36</v>
      </c>
      <c r="T674" s="9" t="s">
        <v>72</v>
      </c>
    </row>
    <row r="675" spans="1:20" ht="35.25" customHeight="1">
      <c r="A675" s="6">
        <f t="shared" si="74"/>
        <v>674</v>
      </c>
      <c r="B675" s="17" t="s">
        <v>1906</v>
      </c>
      <c r="C675" s="8" t="s">
        <v>1907</v>
      </c>
      <c r="D675" s="9" t="s">
        <v>26</v>
      </c>
      <c r="E675" s="10">
        <v>26941</v>
      </c>
      <c r="F675" s="11">
        <f t="shared" ca="1" si="76"/>
        <v>50.219178082191782</v>
      </c>
      <c r="G675" s="11">
        <f t="shared" si="77"/>
        <v>10</v>
      </c>
      <c r="H675" s="11">
        <f t="shared" si="78"/>
        <v>4</v>
      </c>
      <c r="I675" s="10">
        <v>40443</v>
      </c>
      <c r="J675" s="9" t="s">
        <v>58</v>
      </c>
      <c r="K675" s="9" t="s">
        <v>1270</v>
      </c>
      <c r="L675" s="9" t="s">
        <v>24</v>
      </c>
      <c r="M675" s="9" t="s">
        <v>35</v>
      </c>
      <c r="N675" s="11">
        <v>6</v>
      </c>
      <c r="O675" s="12">
        <f t="shared" ca="1" si="73"/>
        <v>13.227397260273973</v>
      </c>
      <c r="P675" s="12">
        <f t="shared" ca="1" si="75"/>
        <v>19.227397260273975</v>
      </c>
      <c r="Q675" s="12" t="s">
        <v>26</v>
      </c>
      <c r="R675" s="9" t="s">
        <v>27</v>
      </c>
      <c r="S675" s="24" t="s">
        <v>36</v>
      </c>
      <c r="T675" s="9" t="s">
        <v>72</v>
      </c>
    </row>
    <row r="676" spans="1:20" ht="35.25" customHeight="1">
      <c r="A676" s="6">
        <f t="shared" si="74"/>
        <v>675</v>
      </c>
      <c r="B676" s="17" t="s">
        <v>1908</v>
      </c>
      <c r="C676" s="8" t="s">
        <v>1909</v>
      </c>
      <c r="D676" s="9" t="s">
        <v>26</v>
      </c>
      <c r="E676" s="10">
        <v>29970</v>
      </c>
      <c r="F676" s="11">
        <f t="shared" ca="1" si="76"/>
        <v>41.920547945205477</v>
      </c>
      <c r="G676" s="11">
        <f t="shared" si="77"/>
        <v>1</v>
      </c>
      <c r="H676" s="11">
        <f t="shared" si="78"/>
        <v>19</v>
      </c>
      <c r="I676" s="10">
        <v>40435</v>
      </c>
      <c r="J676" s="9" t="s">
        <v>58</v>
      </c>
      <c r="K676" s="9" t="s">
        <v>1910</v>
      </c>
      <c r="L676" s="9" t="s">
        <v>34</v>
      </c>
      <c r="M676" s="9" t="s">
        <v>61</v>
      </c>
      <c r="N676" s="11">
        <v>6</v>
      </c>
      <c r="O676" s="12">
        <f t="shared" ca="1" si="73"/>
        <v>13.24931506849315</v>
      </c>
      <c r="P676" s="12">
        <f t="shared" ca="1" si="75"/>
        <v>19.24931506849315</v>
      </c>
      <c r="Q676" s="12" t="s">
        <v>26</v>
      </c>
      <c r="R676" s="9" t="s">
        <v>27</v>
      </c>
      <c r="S676" s="9" t="s">
        <v>28</v>
      </c>
      <c r="T676" s="9" t="s">
        <v>29</v>
      </c>
    </row>
    <row r="677" spans="1:20" ht="35.25" customHeight="1">
      <c r="A677" s="6">
        <f t="shared" si="74"/>
        <v>676</v>
      </c>
      <c r="B677" s="17" t="s">
        <v>1911</v>
      </c>
      <c r="C677" s="8" t="s">
        <v>1912</v>
      </c>
      <c r="D677" s="9" t="s">
        <v>26</v>
      </c>
      <c r="E677" s="10">
        <v>31009</v>
      </c>
      <c r="F677" s="11">
        <f t="shared" ca="1" si="76"/>
        <v>39.073972602739723</v>
      </c>
      <c r="G677" s="11">
        <f t="shared" si="77"/>
        <v>11</v>
      </c>
      <c r="H677" s="11">
        <f t="shared" si="78"/>
        <v>23</v>
      </c>
      <c r="I677" s="10">
        <v>40445</v>
      </c>
      <c r="J677" s="9" t="s">
        <v>110</v>
      </c>
      <c r="K677" s="9" t="s">
        <v>63</v>
      </c>
      <c r="L677" s="9" t="s">
        <v>34</v>
      </c>
      <c r="M677" s="9" t="s">
        <v>156</v>
      </c>
      <c r="N677" s="11">
        <v>3</v>
      </c>
      <c r="O677" s="12">
        <f t="shared" ca="1" si="73"/>
        <v>13.221917808219178</v>
      </c>
      <c r="P677" s="12">
        <f t="shared" ca="1" si="75"/>
        <v>16.221917808219178</v>
      </c>
      <c r="Q677" s="12" t="s">
        <v>68</v>
      </c>
      <c r="R677" s="9" t="s">
        <v>27</v>
      </c>
      <c r="S677" s="9" t="s">
        <v>36</v>
      </c>
      <c r="T677" s="9" t="s">
        <v>279</v>
      </c>
    </row>
    <row r="678" spans="1:20" ht="35.25" customHeight="1">
      <c r="A678" s="6">
        <f t="shared" si="74"/>
        <v>677</v>
      </c>
      <c r="B678" s="17" t="s">
        <v>1913</v>
      </c>
      <c r="C678" s="8" t="s">
        <v>1914</v>
      </c>
      <c r="D678" s="9" t="s">
        <v>26</v>
      </c>
      <c r="E678" s="10">
        <v>28244</v>
      </c>
      <c r="F678" s="11">
        <f t="shared" ca="1" si="76"/>
        <v>46.649315068493152</v>
      </c>
      <c r="G678" s="11">
        <f t="shared" si="77"/>
        <v>4</v>
      </c>
      <c r="H678" s="11">
        <f t="shared" si="78"/>
        <v>29</v>
      </c>
      <c r="I678" s="10">
        <v>40443</v>
      </c>
      <c r="J678" s="9" t="s">
        <v>58</v>
      </c>
      <c r="K678" s="9" t="s">
        <v>129</v>
      </c>
      <c r="L678" s="9" t="s">
        <v>34</v>
      </c>
      <c r="M678" s="9" t="s">
        <v>156</v>
      </c>
      <c r="N678" s="11">
        <v>14</v>
      </c>
      <c r="O678" s="12">
        <f t="shared" ca="1" si="73"/>
        <v>13.227397260273973</v>
      </c>
      <c r="P678" s="12">
        <f t="shared" ca="1" si="75"/>
        <v>27.227397260273975</v>
      </c>
      <c r="Q678" s="12" t="s">
        <v>26</v>
      </c>
      <c r="R678" s="9" t="s">
        <v>27</v>
      </c>
      <c r="S678" s="9" t="s">
        <v>28</v>
      </c>
      <c r="T678" s="9" t="s">
        <v>1915</v>
      </c>
    </row>
    <row r="679" spans="1:20" ht="35.25" customHeight="1">
      <c r="A679" s="6">
        <f t="shared" si="74"/>
        <v>678</v>
      </c>
      <c r="B679" s="17" t="s">
        <v>1916</v>
      </c>
      <c r="C679" s="8" t="s">
        <v>1917</v>
      </c>
      <c r="D679" s="9" t="s">
        <v>26</v>
      </c>
      <c r="E679" s="10">
        <v>20454</v>
      </c>
      <c r="F679" s="11">
        <v>55.035616438356165</v>
      </c>
      <c r="G679" s="11">
        <v>12</v>
      </c>
      <c r="H679" s="11">
        <v>31</v>
      </c>
      <c r="I679" s="10">
        <v>40417</v>
      </c>
      <c r="J679" s="9" t="s">
        <v>110</v>
      </c>
      <c r="K679" s="9" t="s">
        <v>1918</v>
      </c>
      <c r="L679" s="24" t="s">
        <v>490</v>
      </c>
      <c r="M679" s="9" t="s">
        <v>491</v>
      </c>
      <c r="N679" s="19">
        <v>31</v>
      </c>
      <c r="O679" s="12">
        <f t="shared" ca="1" si="73"/>
        <v>13.298630136986301</v>
      </c>
      <c r="P679" s="12">
        <f t="shared" ca="1" si="75"/>
        <v>44.298630136986304</v>
      </c>
      <c r="Q679" s="12" t="s">
        <v>26</v>
      </c>
      <c r="R679" s="9" t="s">
        <v>347</v>
      </c>
      <c r="S679" s="9" t="s">
        <v>28</v>
      </c>
      <c r="T679" s="9" t="s">
        <v>492</v>
      </c>
    </row>
    <row r="680" spans="1:20" ht="35.25" customHeight="1">
      <c r="A680" s="6">
        <f t="shared" si="74"/>
        <v>679</v>
      </c>
      <c r="B680" s="17" t="s">
        <v>1919</v>
      </c>
      <c r="C680" s="8" t="s">
        <v>1920</v>
      </c>
      <c r="D680" s="9" t="s">
        <v>26</v>
      </c>
      <c r="E680" s="10">
        <v>20882</v>
      </c>
      <c r="F680" s="11">
        <f t="shared" ref="F680:F691" ca="1" si="79">(TODAY()-E680)/365</f>
        <v>66.819178082191783</v>
      </c>
      <c r="G680" s="11">
        <f>MONTH(E680)</f>
        <v>3</v>
      </c>
      <c r="H680" s="11">
        <f>DAY(E680)</f>
        <v>3</v>
      </c>
      <c r="I680" s="10">
        <v>40424</v>
      </c>
      <c r="J680" s="9" t="s">
        <v>32</v>
      </c>
      <c r="K680" s="9" t="s">
        <v>1921</v>
      </c>
      <c r="L680" s="24" t="s">
        <v>490</v>
      </c>
      <c r="M680" s="9" t="s">
        <v>491</v>
      </c>
      <c r="N680" s="19">
        <v>32</v>
      </c>
      <c r="O680" s="12">
        <f t="shared" ca="1" si="73"/>
        <v>13.27945205479452</v>
      </c>
      <c r="P680" s="12">
        <f t="shared" ca="1" si="75"/>
        <v>45.279452054794518</v>
      </c>
      <c r="Q680" s="12" t="s">
        <v>26</v>
      </c>
      <c r="R680" s="9" t="s">
        <v>347</v>
      </c>
      <c r="S680" s="9" t="s">
        <v>28</v>
      </c>
      <c r="T680" s="9" t="s">
        <v>492</v>
      </c>
    </row>
    <row r="681" spans="1:20" ht="35.25" customHeight="1">
      <c r="A681" s="6">
        <f t="shared" si="74"/>
        <v>680</v>
      </c>
      <c r="B681" s="17" t="s">
        <v>1922</v>
      </c>
      <c r="C681" s="8" t="s">
        <v>1923</v>
      </c>
      <c r="D681" s="9" t="s">
        <v>26</v>
      </c>
      <c r="E681" s="10">
        <v>30046</v>
      </c>
      <c r="F681" s="11">
        <f t="shared" ca="1" si="79"/>
        <v>41.712328767123289</v>
      </c>
      <c r="G681" s="11">
        <f t="shared" ref="G681:G691" si="80">MONTH(E681)</f>
        <v>4</v>
      </c>
      <c r="H681" s="11">
        <f t="shared" ref="H681:H691" si="81">DAY(E681)</f>
        <v>5</v>
      </c>
      <c r="I681" s="10">
        <v>40427</v>
      </c>
      <c r="J681" s="9" t="s">
        <v>87</v>
      </c>
      <c r="K681" s="9" t="s">
        <v>135</v>
      </c>
      <c r="L681" s="24" t="s">
        <v>490</v>
      </c>
      <c r="M681" s="9" t="s">
        <v>491</v>
      </c>
      <c r="N681" s="19">
        <v>5</v>
      </c>
      <c r="O681" s="12">
        <f t="shared" ca="1" si="73"/>
        <v>13.271232876712329</v>
      </c>
      <c r="P681" s="12">
        <f t="shared" ca="1" si="75"/>
        <v>18.271232876712329</v>
      </c>
      <c r="Q681" s="12" t="s">
        <v>26</v>
      </c>
      <c r="R681" s="9" t="s">
        <v>792</v>
      </c>
      <c r="S681" s="9" t="s">
        <v>28</v>
      </c>
      <c r="T681" s="9" t="s">
        <v>492</v>
      </c>
    </row>
    <row r="682" spans="1:20" ht="35.25" customHeight="1">
      <c r="A682" s="6">
        <f t="shared" si="74"/>
        <v>681</v>
      </c>
      <c r="B682" s="17" t="s">
        <v>1924</v>
      </c>
      <c r="C682" s="8" t="s">
        <v>1925</v>
      </c>
      <c r="D682" s="9" t="s">
        <v>26</v>
      </c>
      <c r="E682" s="10">
        <v>27791</v>
      </c>
      <c r="F682" s="11">
        <f t="shared" ca="1" si="79"/>
        <v>47.890410958904113</v>
      </c>
      <c r="G682" s="11">
        <f t="shared" si="80"/>
        <v>2</v>
      </c>
      <c r="H682" s="11">
        <f t="shared" si="81"/>
        <v>1</v>
      </c>
      <c r="I682" s="10">
        <v>40450</v>
      </c>
      <c r="J682" s="9" t="s">
        <v>32</v>
      </c>
      <c r="K682" s="9" t="s">
        <v>1086</v>
      </c>
      <c r="L682" s="9" t="s">
        <v>204</v>
      </c>
      <c r="M682" s="9" t="s">
        <v>25</v>
      </c>
      <c r="N682" s="11">
        <v>12.1</v>
      </c>
      <c r="O682" s="12">
        <f t="shared" ca="1" si="73"/>
        <v>13.208219178082192</v>
      </c>
      <c r="P682" s="12">
        <f t="shared" ca="1" si="75"/>
        <v>25.30821917808219</v>
      </c>
      <c r="Q682" s="12" t="s">
        <v>26</v>
      </c>
      <c r="R682" s="9" t="s">
        <v>27</v>
      </c>
      <c r="S682" s="24" t="s">
        <v>28</v>
      </c>
      <c r="T682" s="9" t="s">
        <v>29</v>
      </c>
    </row>
    <row r="683" spans="1:20" ht="35.25" customHeight="1">
      <c r="A683" s="6">
        <f t="shared" si="74"/>
        <v>682</v>
      </c>
      <c r="B683" s="17" t="s">
        <v>1926</v>
      </c>
      <c r="C683" s="8" t="s">
        <v>1927</v>
      </c>
      <c r="D683" s="9" t="s">
        <v>26</v>
      </c>
      <c r="E683" s="10">
        <v>30750</v>
      </c>
      <c r="F683" s="11">
        <f t="shared" ca="1" si="79"/>
        <v>39.783561643835618</v>
      </c>
      <c r="G683" s="11">
        <f t="shared" si="80"/>
        <v>3</v>
      </c>
      <c r="H683" s="11">
        <f t="shared" si="81"/>
        <v>9</v>
      </c>
      <c r="I683" s="10">
        <v>40448</v>
      </c>
      <c r="J683" s="9" t="s">
        <v>87</v>
      </c>
      <c r="K683" s="9" t="s">
        <v>1094</v>
      </c>
      <c r="L683" s="9" t="s">
        <v>213</v>
      </c>
      <c r="M683" s="9" t="s">
        <v>35</v>
      </c>
      <c r="N683" s="11">
        <v>4.4000000000000004</v>
      </c>
      <c r="O683" s="12">
        <f t="shared" ca="1" si="73"/>
        <v>13.213698630136987</v>
      </c>
      <c r="P683" s="12">
        <f t="shared" ca="1" si="75"/>
        <v>17.613698630136987</v>
      </c>
      <c r="Q683" s="12" t="s">
        <v>68</v>
      </c>
      <c r="R683" s="9" t="s">
        <v>27</v>
      </c>
      <c r="S683" s="24" t="s">
        <v>28</v>
      </c>
      <c r="T683" s="9" t="s">
        <v>29</v>
      </c>
    </row>
    <row r="684" spans="1:20" ht="35.25" customHeight="1">
      <c r="A684" s="6">
        <f t="shared" si="74"/>
        <v>683</v>
      </c>
      <c r="B684" s="17" t="s">
        <v>1928</v>
      </c>
      <c r="C684" s="8" t="s">
        <v>1929</v>
      </c>
      <c r="D684" s="9" t="s">
        <v>26</v>
      </c>
      <c r="E684" s="10">
        <v>25179</v>
      </c>
      <c r="F684" s="11">
        <f t="shared" ca="1" si="79"/>
        <v>55.046575342465751</v>
      </c>
      <c r="G684" s="11">
        <f t="shared" si="80"/>
        <v>12</v>
      </c>
      <c r="H684" s="11">
        <f t="shared" si="81"/>
        <v>7</v>
      </c>
      <c r="I684" s="10">
        <v>40452</v>
      </c>
      <c r="J684" s="9" t="s">
        <v>318</v>
      </c>
      <c r="K684" s="9" t="s">
        <v>1930</v>
      </c>
      <c r="L684" s="9" t="s">
        <v>1002</v>
      </c>
      <c r="M684" s="9" t="s">
        <v>35</v>
      </c>
      <c r="N684" s="11">
        <v>18</v>
      </c>
      <c r="O684" s="12">
        <f t="shared" ca="1" si="73"/>
        <v>13.202739726027398</v>
      </c>
      <c r="P684" s="12">
        <f t="shared" ca="1" si="75"/>
        <v>31.202739726027396</v>
      </c>
      <c r="Q684" s="12" t="s">
        <v>26</v>
      </c>
      <c r="R684" s="9" t="s">
        <v>27</v>
      </c>
      <c r="S684" s="24" t="s">
        <v>28</v>
      </c>
      <c r="T684" s="9" t="s">
        <v>29</v>
      </c>
    </row>
    <row r="685" spans="1:20" ht="35.25" customHeight="1">
      <c r="A685" s="6">
        <f t="shared" si="74"/>
        <v>684</v>
      </c>
      <c r="B685" s="17" t="s">
        <v>1931</v>
      </c>
      <c r="C685" s="8" t="s">
        <v>1932</v>
      </c>
      <c r="D685" s="9" t="s">
        <v>26</v>
      </c>
      <c r="E685" s="10">
        <v>31513</v>
      </c>
      <c r="F685" s="11">
        <f t="shared" ca="1" si="79"/>
        <v>37.69315068493151</v>
      </c>
      <c r="G685" s="11">
        <f t="shared" si="80"/>
        <v>4</v>
      </c>
      <c r="H685" s="11">
        <f t="shared" si="81"/>
        <v>11</v>
      </c>
      <c r="I685" s="10">
        <v>40448</v>
      </c>
      <c r="J685" s="9" t="s">
        <v>45</v>
      </c>
      <c r="K685" s="9" t="s">
        <v>477</v>
      </c>
      <c r="L685" s="9" t="s">
        <v>34</v>
      </c>
      <c r="M685" s="9" t="s">
        <v>35</v>
      </c>
      <c r="N685" s="11">
        <v>1.1000000000000001</v>
      </c>
      <c r="O685" s="12">
        <f t="shared" ca="1" si="73"/>
        <v>13.213698630136987</v>
      </c>
      <c r="P685" s="12">
        <f t="shared" ca="1" si="75"/>
        <v>14.313698630136987</v>
      </c>
      <c r="Q685" s="12" t="s">
        <v>68</v>
      </c>
      <c r="R685" s="9" t="s">
        <v>27</v>
      </c>
      <c r="S685" s="24" t="s">
        <v>36</v>
      </c>
      <c r="T685" s="9" t="s">
        <v>72</v>
      </c>
    </row>
    <row r="686" spans="1:20" ht="35.25" customHeight="1">
      <c r="A686" s="6">
        <f t="shared" si="74"/>
        <v>685</v>
      </c>
      <c r="B686" s="17" t="s">
        <v>1933</v>
      </c>
      <c r="C686" s="8" t="s">
        <v>1934</v>
      </c>
      <c r="D686" s="9" t="s">
        <v>26</v>
      </c>
      <c r="E686" s="10">
        <v>30597</v>
      </c>
      <c r="F686" s="11">
        <f t="shared" ca="1" si="79"/>
        <v>40.202739726027396</v>
      </c>
      <c r="G686" s="11">
        <f t="shared" si="80"/>
        <v>10</v>
      </c>
      <c r="H686" s="11">
        <f t="shared" si="81"/>
        <v>8</v>
      </c>
      <c r="I686" s="10">
        <v>40448</v>
      </c>
      <c r="J686" s="9" t="s">
        <v>110</v>
      </c>
      <c r="K686" s="9" t="s">
        <v>415</v>
      </c>
      <c r="L686" s="9" t="s">
        <v>122</v>
      </c>
      <c r="M686" s="9" t="s">
        <v>35</v>
      </c>
      <c r="N686" s="11">
        <v>8</v>
      </c>
      <c r="O686" s="12">
        <f t="shared" ca="1" si="73"/>
        <v>13.213698630136987</v>
      </c>
      <c r="P686" s="12">
        <f t="shared" ca="1" si="75"/>
        <v>21.213698630136989</v>
      </c>
      <c r="Q686" s="12" t="s">
        <v>68</v>
      </c>
      <c r="R686" s="9" t="s">
        <v>27</v>
      </c>
      <c r="S686" s="24" t="s">
        <v>36</v>
      </c>
      <c r="T686" s="9" t="s">
        <v>186</v>
      </c>
    </row>
    <row r="687" spans="1:20" ht="35.25" customHeight="1">
      <c r="A687" s="6">
        <f t="shared" si="74"/>
        <v>686</v>
      </c>
      <c r="B687" s="17" t="s">
        <v>1935</v>
      </c>
      <c r="C687" s="8" t="s">
        <v>1936</v>
      </c>
      <c r="D687" s="9" t="s">
        <v>26</v>
      </c>
      <c r="E687" s="10">
        <v>31342</v>
      </c>
      <c r="F687" s="11">
        <f t="shared" ca="1" si="79"/>
        <v>38.161643835616438</v>
      </c>
      <c r="G687" s="11">
        <f t="shared" si="80"/>
        <v>10</v>
      </c>
      <c r="H687" s="11">
        <f t="shared" si="81"/>
        <v>22</v>
      </c>
      <c r="I687" s="10">
        <v>40448</v>
      </c>
      <c r="J687" s="9" t="s">
        <v>45</v>
      </c>
      <c r="K687" s="9" t="s">
        <v>477</v>
      </c>
      <c r="L687" s="9" t="s">
        <v>34</v>
      </c>
      <c r="M687" s="9" t="s">
        <v>35</v>
      </c>
      <c r="N687" s="11">
        <v>3.3</v>
      </c>
      <c r="O687" s="12">
        <f t="shared" ca="1" si="73"/>
        <v>13.213698630136987</v>
      </c>
      <c r="P687" s="12">
        <f t="shared" ca="1" si="75"/>
        <v>16.513698630136986</v>
      </c>
      <c r="Q687" s="12" t="s">
        <v>68</v>
      </c>
      <c r="R687" s="9" t="s">
        <v>27</v>
      </c>
      <c r="S687" s="24" t="s">
        <v>36</v>
      </c>
      <c r="T687" s="9" t="s">
        <v>72</v>
      </c>
    </row>
    <row r="688" spans="1:20" ht="35.25" customHeight="1">
      <c r="A688" s="6">
        <f t="shared" si="74"/>
        <v>687</v>
      </c>
      <c r="B688" s="17" t="s">
        <v>1937</v>
      </c>
      <c r="C688" s="8" t="s">
        <v>1938</v>
      </c>
      <c r="D688" s="9" t="s">
        <v>21</v>
      </c>
      <c r="E688" s="10">
        <v>29592</v>
      </c>
      <c r="F688" s="11">
        <f t="shared" ca="1" si="79"/>
        <v>42.956164383561642</v>
      </c>
      <c r="G688" s="11">
        <f t="shared" si="80"/>
        <v>1</v>
      </c>
      <c r="H688" s="11">
        <f t="shared" si="81"/>
        <v>6</v>
      </c>
      <c r="I688" s="10">
        <v>40451</v>
      </c>
      <c r="J688" s="9" t="s">
        <v>58</v>
      </c>
      <c r="K688" s="9" t="s">
        <v>1939</v>
      </c>
      <c r="L688" s="9" t="s">
        <v>377</v>
      </c>
      <c r="M688" s="9" t="s">
        <v>205</v>
      </c>
      <c r="N688" s="11">
        <v>8.3000000000000007</v>
      </c>
      <c r="O688" s="12">
        <v>0</v>
      </c>
      <c r="P688" s="12">
        <f t="shared" si="75"/>
        <v>8.3000000000000007</v>
      </c>
      <c r="Q688" s="12" t="s">
        <v>26</v>
      </c>
      <c r="R688" s="9" t="s">
        <v>27</v>
      </c>
      <c r="S688" s="24" t="s">
        <v>28</v>
      </c>
      <c r="T688" s="9" t="s">
        <v>29</v>
      </c>
    </row>
    <row r="689" spans="1:20" ht="35.25" customHeight="1">
      <c r="A689" s="6">
        <f t="shared" si="74"/>
        <v>688</v>
      </c>
      <c r="B689" s="54" t="s">
        <v>1940</v>
      </c>
      <c r="C689" s="54" t="s">
        <v>677</v>
      </c>
      <c r="D689" s="55" t="s">
        <v>26</v>
      </c>
      <c r="E689" s="56">
        <v>32264</v>
      </c>
      <c r="F689" s="57">
        <f t="shared" ca="1" si="79"/>
        <v>35.635616438356166</v>
      </c>
      <c r="G689" s="57">
        <f t="shared" si="80"/>
        <v>5</v>
      </c>
      <c r="H689" s="57">
        <f t="shared" si="81"/>
        <v>1</v>
      </c>
      <c r="I689" s="56">
        <v>40451</v>
      </c>
      <c r="J689" s="55" t="s">
        <v>45</v>
      </c>
      <c r="K689" s="55" t="s">
        <v>335</v>
      </c>
      <c r="L689" s="55" t="s">
        <v>213</v>
      </c>
      <c r="M689" s="55" t="s">
        <v>35</v>
      </c>
      <c r="N689" s="57">
        <v>3.3</v>
      </c>
      <c r="O689" s="58">
        <f t="shared" ref="O689:O752" ca="1" si="82">(TODAY()-I689)/365</f>
        <v>13.205479452054794</v>
      </c>
      <c r="P689" s="58">
        <f t="shared" ca="1" si="75"/>
        <v>16.505479452054793</v>
      </c>
      <c r="Q689" s="58" t="s">
        <v>68</v>
      </c>
      <c r="R689" s="55" t="s">
        <v>27</v>
      </c>
      <c r="S689" s="59" t="s">
        <v>36</v>
      </c>
      <c r="T689" s="55" t="s">
        <v>951</v>
      </c>
    </row>
    <row r="690" spans="1:20" ht="35.25" customHeight="1">
      <c r="A690" s="6">
        <f t="shared" si="74"/>
        <v>689</v>
      </c>
      <c r="B690" s="17" t="s">
        <v>1941</v>
      </c>
      <c r="C690" s="8" t="s">
        <v>1942</v>
      </c>
      <c r="D690" s="9" t="s">
        <v>26</v>
      </c>
      <c r="E690" s="10">
        <v>29451</v>
      </c>
      <c r="F690" s="11">
        <f t="shared" ca="1" si="79"/>
        <v>43.342465753424655</v>
      </c>
      <c r="G690" s="11">
        <f t="shared" si="80"/>
        <v>8</v>
      </c>
      <c r="H690" s="11">
        <f t="shared" si="81"/>
        <v>18</v>
      </c>
      <c r="I690" s="10">
        <v>40451</v>
      </c>
      <c r="J690" s="9" t="s">
        <v>110</v>
      </c>
      <c r="K690" s="9" t="s">
        <v>1943</v>
      </c>
      <c r="L690" s="9" t="s">
        <v>24</v>
      </c>
      <c r="M690" s="9" t="s">
        <v>35</v>
      </c>
      <c r="N690" s="11">
        <v>11</v>
      </c>
      <c r="O690" s="12">
        <f t="shared" ca="1" si="82"/>
        <v>13.205479452054794</v>
      </c>
      <c r="P690" s="12">
        <f t="shared" ca="1" si="75"/>
        <v>24.205479452054796</v>
      </c>
      <c r="Q690" s="12" t="s">
        <v>26</v>
      </c>
      <c r="R690" s="9" t="s">
        <v>27</v>
      </c>
      <c r="S690" s="24" t="s">
        <v>36</v>
      </c>
      <c r="T690" s="9" t="s">
        <v>279</v>
      </c>
    </row>
    <row r="691" spans="1:20" ht="35.25" customHeight="1">
      <c r="A691" s="6">
        <f t="shared" si="74"/>
        <v>690</v>
      </c>
      <c r="B691" s="17" t="s">
        <v>1944</v>
      </c>
      <c r="C691" s="8" t="s">
        <v>1945</v>
      </c>
      <c r="D691" s="9" t="s">
        <v>26</v>
      </c>
      <c r="E691" s="10">
        <v>23014</v>
      </c>
      <c r="F691" s="11">
        <f t="shared" ca="1" si="79"/>
        <v>60.978082191780821</v>
      </c>
      <c r="G691" s="11">
        <f t="shared" si="80"/>
        <v>1</v>
      </c>
      <c r="H691" s="11">
        <f t="shared" si="81"/>
        <v>3</v>
      </c>
      <c r="I691" s="10">
        <v>40448</v>
      </c>
      <c r="J691" s="9" t="s">
        <v>87</v>
      </c>
      <c r="K691" s="9" t="s">
        <v>1531</v>
      </c>
      <c r="L691" s="9" t="s">
        <v>724</v>
      </c>
      <c r="M691" s="9" t="s">
        <v>134</v>
      </c>
      <c r="N691" s="11">
        <v>15</v>
      </c>
      <c r="O691" s="12">
        <f t="shared" ca="1" si="82"/>
        <v>13.213698630136987</v>
      </c>
      <c r="P691" s="12">
        <f t="shared" ca="1" si="75"/>
        <v>28.213698630136989</v>
      </c>
      <c r="Q691" s="12" t="s">
        <v>26</v>
      </c>
      <c r="R691" s="9" t="s">
        <v>27</v>
      </c>
      <c r="S691" s="24" t="s">
        <v>36</v>
      </c>
      <c r="T691" s="9" t="s">
        <v>137</v>
      </c>
    </row>
    <row r="692" spans="1:20" ht="35.25" customHeight="1">
      <c r="A692" s="6">
        <f t="shared" si="74"/>
        <v>691</v>
      </c>
      <c r="B692" s="17" t="s">
        <v>1946</v>
      </c>
      <c r="C692" s="8" t="s">
        <v>1947</v>
      </c>
      <c r="D692" s="9" t="s">
        <v>26</v>
      </c>
      <c r="E692" s="10">
        <v>31987</v>
      </c>
      <c r="F692" s="11">
        <v>23.210958904109589</v>
      </c>
      <c r="G692" s="11">
        <v>7</v>
      </c>
      <c r="H692" s="11">
        <v>29</v>
      </c>
      <c r="I692" s="10">
        <v>40457</v>
      </c>
      <c r="J692" s="9" t="s">
        <v>87</v>
      </c>
      <c r="K692" s="9" t="s">
        <v>1094</v>
      </c>
      <c r="L692" s="9" t="s">
        <v>213</v>
      </c>
      <c r="M692" s="9" t="s">
        <v>35</v>
      </c>
      <c r="N692" s="11">
        <v>5.5</v>
      </c>
      <c r="O692" s="12">
        <f t="shared" ca="1" si="82"/>
        <v>13.189041095890412</v>
      </c>
      <c r="P692" s="12">
        <f t="shared" ca="1" si="75"/>
        <v>18.68904109589041</v>
      </c>
      <c r="Q692" s="12" t="s">
        <v>68</v>
      </c>
      <c r="R692" s="9" t="s">
        <v>27</v>
      </c>
      <c r="S692" s="24" t="s">
        <v>28</v>
      </c>
      <c r="T692" s="9" t="s">
        <v>860</v>
      </c>
    </row>
    <row r="693" spans="1:20" ht="35.25" customHeight="1">
      <c r="A693" s="6">
        <f t="shared" si="74"/>
        <v>692</v>
      </c>
      <c r="B693" s="17" t="s">
        <v>1948</v>
      </c>
      <c r="C693" s="8" t="s">
        <v>1949</v>
      </c>
      <c r="D693" s="9" t="s">
        <v>21</v>
      </c>
      <c r="E693" s="10">
        <v>31079</v>
      </c>
      <c r="F693" s="11">
        <f t="shared" ref="F693:F706" ca="1" si="83">(TODAY()-E693)/365</f>
        <v>38.88219178082192</v>
      </c>
      <c r="G693" s="11">
        <f t="shared" ref="G693:G706" si="84">MONTH(E693)</f>
        <v>2</v>
      </c>
      <c r="H693" s="11">
        <f t="shared" ref="H693:H706" si="85">DAY(E693)</f>
        <v>1</v>
      </c>
      <c r="I693" s="10">
        <v>40452</v>
      </c>
      <c r="J693" s="9" t="s">
        <v>58</v>
      </c>
      <c r="K693" s="9" t="s">
        <v>129</v>
      </c>
      <c r="L693" s="9" t="s">
        <v>636</v>
      </c>
      <c r="M693" s="9" t="s">
        <v>25</v>
      </c>
      <c r="N693" s="11">
        <v>3.1</v>
      </c>
      <c r="O693" s="12">
        <f t="shared" ca="1" si="82"/>
        <v>13.202739726027398</v>
      </c>
      <c r="P693" s="12">
        <f t="shared" ca="1" si="75"/>
        <v>16.302739726027397</v>
      </c>
      <c r="Q693" s="12" t="s">
        <v>68</v>
      </c>
      <c r="R693" s="9" t="s">
        <v>27</v>
      </c>
      <c r="S693" s="24" t="s">
        <v>28</v>
      </c>
      <c r="T693" s="9" t="s">
        <v>29</v>
      </c>
    </row>
    <row r="694" spans="1:20" ht="35.25" customHeight="1">
      <c r="A694" s="6">
        <f t="shared" si="74"/>
        <v>693</v>
      </c>
      <c r="B694" s="17" t="s">
        <v>1950</v>
      </c>
      <c r="C694" s="8" t="s">
        <v>1951</v>
      </c>
      <c r="D694" s="9" t="s">
        <v>26</v>
      </c>
      <c r="E694" s="10">
        <v>25704</v>
      </c>
      <c r="F694" s="11">
        <f t="shared" ca="1" si="83"/>
        <v>53.608219178082194</v>
      </c>
      <c r="G694" s="11">
        <f t="shared" si="84"/>
        <v>5</v>
      </c>
      <c r="H694" s="11">
        <f t="shared" si="85"/>
        <v>16</v>
      </c>
      <c r="I694" s="10">
        <v>40459</v>
      </c>
      <c r="J694" s="9" t="s">
        <v>58</v>
      </c>
      <c r="K694" s="9" t="s">
        <v>1952</v>
      </c>
      <c r="L694" s="9" t="s">
        <v>80</v>
      </c>
      <c r="M694" s="9" t="s">
        <v>25</v>
      </c>
      <c r="N694" s="11">
        <v>13</v>
      </c>
      <c r="O694" s="12">
        <f t="shared" ca="1" si="82"/>
        <v>13.183561643835617</v>
      </c>
      <c r="P694" s="12">
        <f t="shared" ca="1" si="75"/>
        <v>26.183561643835617</v>
      </c>
      <c r="Q694" s="12" t="s">
        <v>26</v>
      </c>
      <c r="R694" s="9" t="s">
        <v>27</v>
      </c>
      <c r="S694" s="24" t="s">
        <v>28</v>
      </c>
      <c r="T694" s="9" t="s">
        <v>29</v>
      </c>
    </row>
    <row r="695" spans="1:20" ht="35.25" customHeight="1">
      <c r="A695" s="6">
        <f t="shared" si="74"/>
        <v>694</v>
      </c>
      <c r="B695" s="17" t="s">
        <v>1953</v>
      </c>
      <c r="C695" s="8" t="s">
        <v>1954</v>
      </c>
      <c r="D695" s="9" t="s">
        <v>26</v>
      </c>
      <c r="E695" s="10">
        <v>27072</v>
      </c>
      <c r="F695" s="11">
        <f t="shared" ca="1" si="83"/>
        <v>49.860273972602741</v>
      </c>
      <c r="G695" s="11">
        <f t="shared" si="84"/>
        <v>2</v>
      </c>
      <c r="H695" s="11">
        <f t="shared" si="85"/>
        <v>12</v>
      </c>
      <c r="I695" s="10">
        <v>40451</v>
      </c>
      <c r="J695" s="9" t="s">
        <v>318</v>
      </c>
      <c r="K695" s="9" t="s">
        <v>1955</v>
      </c>
      <c r="L695" s="9" t="s">
        <v>1713</v>
      </c>
      <c r="M695" s="9" t="s">
        <v>35</v>
      </c>
      <c r="N695" s="11">
        <v>14</v>
      </c>
      <c r="O695" s="12">
        <f t="shared" ca="1" si="82"/>
        <v>13.205479452054794</v>
      </c>
      <c r="P695" s="12">
        <f t="shared" ca="1" si="75"/>
        <v>27.205479452054796</v>
      </c>
      <c r="Q695" s="12" t="s">
        <v>26</v>
      </c>
      <c r="R695" s="9" t="s">
        <v>95</v>
      </c>
      <c r="S695" s="24" t="s">
        <v>28</v>
      </c>
      <c r="T695" s="9" t="s">
        <v>29</v>
      </c>
    </row>
    <row r="696" spans="1:20" ht="35.25" customHeight="1">
      <c r="A696" s="6">
        <f t="shared" si="74"/>
        <v>695</v>
      </c>
      <c r="B696" s="17" t="s">
        <v>1956</v>
      </c>
      <c r="C696" s="17" t="s">
        <v>1957</v>
      </c>
      <c r="D696" s="6" t="s">
        <v>26</v>
      </c>
      <c r="E696" s="18">
        <v>23889</v>
      </c>
      <c r="F696" s="19">
        <f t="shared" ca="1" si="83"/>
        <v>58.580821917808223</v>
      </c>
      <c r="G696" s="19">
        <f t="shared" si="84"/>
        <v>5</v>
      </c>
      <c r="H696" s="19">
        <f t="shared" si="85"/>
        <v>27</v>
      </c>
      <c r="I696" s="18">
        <v>40458</v>
      </c>
      <c r="J696" s="6" t="s">
        <v>132</v>
      </c>
      <c r="K696" s="6" t="s">
        <v>301</v>
      </c>
      <c r="L696" s="6" t="s">
        <v>34</v>
      </c>
      <c r="M696" s="6" t="s">
        <v>35</v>
      </c>
      <c r="N696" s="19">
        <v>14</v>
      </c>
      <c r="O696" s="20">
        <f t="shared" ca="1" si="82"/>
        <v>13.186301369863013</v>
      </c>
      <c r="P696" s="20">
        <f t="shared" ca="1" si="75"/>
        <v>27.186301369863013</v>
      </c>
      <c r="Q696" s="20" t="s">
        <v>26</v>
      </c>
      <c r="R696" s="6" t="s">
        <v>27</v>
      </c>
      <c r="S696" s="21" t="s">
        <v>36</v>
      </c>
      <c r="T696" s="6" t="s">
        <v>72</v>
      </c>
    </row>
    <row r="697" spans="1:20" ht="35.25" customHeight="1">
      <c r="A697" s="6">
        <f t="shared" si="74"/>
        <v>696</v>
      </c>
      <c r="B697" s="17" t="s">
        <v>1958</v>
      </c>
      <c r="C697" s="8" t="s">
        <v>1959</v>
      </c>
      <c r="D697" s="9" t="s">
        <v>26</v>
      </c>
      <c r="E697" s="10">
        <v>25085</v>
      </c>
      <c r="F697" s="11">
        <f t="shared" ca="1" si="83"/>
        <v>55.304109589041097</v>
      </c>
      <c r="G697" s="11">
        <f t="shared" si="84"/>
        <v>9</v>
      </c>
      <c r="H697" s="11">
        <f t="shared" si="85"/>
        <v>4</v>
      </c>
      <c r="I697" s="10">
        <v>40455</v>
      </c>
      <c r="J697" s="9" t="s">
        <v>22</v>
      </c>
      <c r="K697" s="9" t="s">
        <v>729</v>
      </c>
      <c r="L697" s="9" t="s">
        <v>60</v>
      </c>
      <c r="M697" s="9" t="s">
        <v>35</v>
      </c>
      <c r="N697" s="11">
        <v>12.1</v>
      </c>
      <c r="O697" s="12">
        <f t="shared" ca="1" si="82"/>
        <v>13.194520547945206</v>
      </c>
      <c r="P697" s="12">
        <f t="shared" ca="1" si="75"/>
        <v>25.294520547945204</v>
      </c>
      <c r="Q697" s="12" t="s">
        <v>26</v>
      </c>
      <c r="R697" s="9" t="s">
        <v>27</v>
      </c>
      <c r="S697" s="24" t="s">
        <v>36</v>
      </c>
      <c r="T697" s="9" t="s">
        <v>137</v>
      </c>
    </row>
    <row r="698" spans="1:20" ht="35.25" customHeight="1">
      <c r="A698" s="6">
        <f t="shared" si="74"/>
        <v>697</v>
      </c>
      <c r="B698" s="17" t="s">
        <v>1960</v>
      </c>
      <c r="C698" s="8" t="s">
        <v>1961</v>
      </c>
      <c r="D698" s="9" t="s">
        <v>26</v>
      </c>
      <c r="E698" s="10">
        <v>28954</v>
      </c>
      <c r="F698" s="11">
        <f t="shared" ca="1" si="83"/>
        <v>44.704109589041096</v>
      </c>
      <c r="G698" s="11">
        <f t="shared" si="84"/>
        <v>4</v>
      </c>
      <c r="H698" s="11">
        <f t="shared" si="85"/>
        <v>9</v>
      </c>
      <c r="I698" s="10">
        <v>40457</v>
      </c>
      <c r="J698" s="9" t="s">
        <v>87</v>
      </c>
      <c r="K698" s="9" t="s">
        <v>332</v>
      </c>
      <c r="L698" s="9" t="s">
        <v>34</v>
      </c>
      <c r="M698" s="9" t="s">
        <v>35</v>
      </c>
      <c r="N698" s="11">
        <v>5.0999999999999996</v>
      </c>
      <c r="O698" s="12">
        <f t="shared" ca="1" si="82"/>
        <v>13.189041095890412</v>
      </c>
      <c r="P698" s="12">
        <f t="shared" ca="1" si="75"/>
        <v>18.289041095890411</v>
      </c>
      <c r="Q698" s="12" t="s">
        <v>68</v>
      </c>
      <c r="R698" s="9" t="s">
        <v>27</v>
      </c>
      <c r="S698" s="24" t="s">
        <v>36</v>
      </c>
      <c r="T698" s="9" t="s">
        <v>1962</v>
      </c>
    </row>
    <row r="699" spans="1:20" ht="35.25" customHeight="1">
      <c r="A699" s="6">
        <f t="shared" si="74"/>
        <v>698</v>
      </c>
      <c r="B699" s="17" t="s">
        <v>1963</v>
      </c>
      <c r="C699" s="8" t="s">
        <v>1964</v>
      </c>
      <c r="D699" s="9" t="s">
        <v>26</v>
      </c>
      <c r="E699" s="10">
        <v>32003</v>
      </c>
      <c r="F699" s="11">
        <f t="shared" ca="1" si="83"/>
        <v>36.350684931506848</v>
      </c>
      <c r="G699" s="11">
        <f t="shared" si="84"/>
        <v>8</v>
      </c>
      <c r="H699" s="11">
        <f t="shared" si="85"/>
        <v>14</v>
      </c>
      <c r="I699" s="10">
        <v>40455</v>
      </c>
      <c r="J699" s="9" t="s">
        <v>226</v>
      </c>
      <c r="K699" s="9" t="s">
        <v>1965</v>
      </c>
      <c r="L699" s="9" t="s">
        <v>290</v>
      </c>
      <c r="M699" s="9" t="s">
        <v>35</v>
      </c>
      <c r="N699" s="11">
        <v>0</v>
      </c>
      <c r="O699" s="12">
        <f t="shared" ca="1" si="82"/>
        <v>13.194520547945206</v>
      </c>
      <c r="P699" s="12">
        <f t="shared" ca="1" si="75"/>
        <v>13.194520547945206</v>
      </c>
      <c r="Q699" s="12" t="s">
        <v>68</v>
      </c>
      <c r="R699" s="9" t="s">
        <v>627</v>
      </c>
      <c r="S699" s="24" t="s">
        <v>36</v>
      </c>
      <c r="T699" s="9" t="s">
        <v>137</v>
      </c>
    </row>
    <row r="700" spans="1:20" ht="35.25" customHeight="1">
      <c r="A700" s="6">
        <f t="shared" si="74"/>
        <v>699</v>
      </c>
      <c r="B700" s="17" t="s">
        <v>1966</v>
      </c>
      <c r="C700" s="8" t="s">
        <v>1967</v>
      </c>
      <c r="D700" s="9" t="s">
        <v>26</v>
      </c>
      <c r="E700" s="10">
        <v>28626</v>
      </c>
      <c r="F700" s="11">
        <f t="shared" ca="1" si="83"/>
        <v>45.602739726027394</v>
      </c>
      <c r="G700" s="11">
        <f t="shared" si="84"/>
        <v>5</v>
      </c>
      <c r="H700" s="11">
        <f t="shared" si="85"/>
        <v>16</v>
      </c>
      <c r="I700" s="10">
        <v>40455</v>
      </c>
      <c r="J700" s="9" t="s">
        <v>110</v>
      </c>
      <c r="K700" s="9" t="s">
        <v>278</v>
      </c>
      <c r="L700" s="9" t="s">
        <v>34</v>
      </c>
      <c r="M700" s="9" t="s">
        <v>35</v>
      </c>
      <c r="N700" s="11">
        <v>12</v>
      </c>
      <c r="O700" s="12">
        <f t="shared" ca="1" si="82"/>
        <v>13.194520547945206</v>
      </c>
      <c r="P700" s="12">
        <f t="shared" ca="1" si="75"/>
        <v>25.194520547945206</v>
      </c>
      <c r="Q700" s="12" t="s">
        <v>68</v>
      </c>
      <c r="R700" s="9" t="s">
        <v>27</v>
      </c>
      <c r="S700" s="24" t="s">
        <v>36</v>
      </c>
      <c r="T700" s="9" t="s">
        <v>1304</v>
      </c>
    </row>
    <row r="701" spans="1:20" ht="35.25" customHeight="1">
      <c r="A701" s="6">
        <f t="shared" si="74"/>
        <v>700</v>
      </c>
      <c r="B701" s="17" t="s">
        <v>1968</v>
      </c>
      <c r="C701" s="8" t="s">
        <v>1969</v>
      </c>
      <c r="D701" s="9" t="s">
        <v>26</v>
      </c>
      <c r="E701" s="10">
        <v>29725</v>
      </c>
      <c r="F701" s="11">
        <f t="shared" ca="1" si="83"/>
        <v>42.591780821917808</v>
      </c>
      <c r="G701" s="11">
        <f t="shared" si="84"/>
        <v>5</v>
      </c>
      <c r="H701" s="11">
        <f t="shared" si="85"/>
        <v>19</v>
      </c>
      <c r="I701" s="10">
        <v>40459</v>
      </c>
      <c r="J701" s="9" t="s">
        <v>226</v>
      </c>
      <c r="K701" s="9" t="s">
        <v>1970</v>
      </c>
      <c r="L701" s="9" t="s">
        <v>60</v>
      </c>
      <c r="M701" s="9" t="s">
        <v>35</v>
      </c>
      <c r="N701" s="11">
        <v>6.3</v>
      </c>
      <c r="O701" s="12">
        <f t="shared" ca="1" si="82"/>
        <v>13.183561643835617</v>
      </c>
      <c r="P701" s="12">
        <f t="shared" ca="1" si="75"/>
        <v>19.483561643835618</v>
      </c>
      <c r="Q701" s="12" t="s">
        <v>26</v>
      </c>
      <c r="R701" s="9" t="s">
        <v>27</v>
      </c>
      <c r="S701" s="24" t="s">
        <v>28</v>
      </c>
      <c r="T701" s="9" t="s">
        <v>29</v>
      </c>
    </row>
    <row r="702" spans="1:20" ht="35.25" customHeight="1">
      <c r="A702" s="6">
        <f t="shared" si="74"/>
        <v>701</v>
      </c>
      <c r="B702" s="17" t="s">
        <v>1971</v>
      </c>
      <c r="C702" s="8" t="s">
        <v>1972</v>
      </c>
      <c r="D702" s="9" t="s">
        <v>26</v>
      </c>
      <c r="E702" s="10">
        <v>29772</v>
      </c>
      <c r="F702" s="11">
        <f t="shared" ca="1" si="83"/>
        <v>42.463013698630135</v>
      </c>
      <c r="G702" s="11">
        <f t="shared" si="84"/>
        <v>7</v>
      </c>
      <c r="H702" s="11">
        <f t="shared" si="85"/>
        <v>5</v>
      </c>
      <c r="I702" s="10">
        <v>40459</v>
      </c>
      <c r="J702" s="9" t="s">
        <v>58</v>
      </c>
      <c r="K702" s="9" t="s">
        <v>129</v>
      </c>
      <c r="L702" s="9" t="s">
        <v>393</v>
      </c>
      <c r="M702" s="9" t="s">
        <v>156</v>
      </c>
      <c r="N702" s="11">
        <v>6.6</v>
      </c>
      <c r="O702" s="12">
        <f t="shared" ca="1" si="82"/>
        <v>13.183561643835617</v>
      </c>
      <c r="P702" s="12">
        <f t="shared" ca="1" si="75"/>
        <v>19.783561643835618</v>
      </c>
      <c r="Q702" s="12" t="s">
        <v>26</v>
      </c>
      <c r="R702" s="9" t="s">
        <v>27</v>
      </c>
      <c r="S702" s="24" t="s">
        <v>28</v>
      </c>
      <c r="T702" s="9" t="s">
        <v>616</v>
      </c>
    </row>
    <row r="703" spans="1:20" ht="35.25" customHeight="1">
      <c r="A703" s="6">
        <f t="shared" si="74"/>
        <v>702</v>
      </c>
      <c r="B703" s="17" t="s">
        <v>1973</v>
      </c>
      <c r="C703" s="8" t="s">
        <v>1974</v>
      </c>
      <c r="D703" s="9" t="s">
        <v>26</v>
      </c>
      <c r="E703" s="10">
        <v>25662</v>
      </c>
      <c r="F703" s="11">
        <f t="shared" ca="1" si="83"/>
        <v>53.723287671232875</v>
      </c>
      <c r="G703" s="11">
        <f t="shared" si="84"/>
        <v>4</v>
      </c>
      <c r="H703" s="11">
        <f t="shared" si="85"/>
        <v>4</v>
      </c>
      <c r="I703" s="10">
        <v>40451</v>
      </c>
      <c r="J703" s="9" t="s">
        <v>140</v>
      </c>
      <c r="K703" s="9" t="s">
        <v>1975</v>
      </c>
      <c r="L703" s="9" t="s">
        <v>24</v>
      </c>
      <c r="M703" s="9" t="s">
        <v>25</v>
      </c>
      <c r="N703" s="11">
        <v>16</v>
      </c>
      <c r="O703" s="12">
        <f t="shared" ca="1" si="82"/>
        <v>13.205479452054794</v>
      </c>
      <c r="P703" s="12">
        <f t="shared" ca="1" si="75"/>
        <v>29.205479452054796</v>
      </c>
      <c r="Q703" s="12" t="s">
        <v>26</v>
      </c>
      <c r="R703" s="9" t="s">
        <v>232</v>
      </c>
      <c r="S703" s="24" t="s">
        <v>28</v>
      </c>
      <c r="T703" s="9" t="s">
        <v>29</v>
      </c>
    </row>
    <row r="704" spans="1:20" ht="35.25" customHeight="1">
      <c r="A704" s="6">
        <f t="shared" si="74"/>
        <v>703</v>
      </c>
      <c r="B704" s="17" t="s">
        <v>1976</v>
      </c>
      <c r="C704" s="8" t="s">
        <v>1977</v>
      </c>
      <c r="D704" s="9" t="s">
        <v>26</v>
      </c>
      <c r="E704" s="10">
        <v>32217</v>
      </c>
      <c r="F704" s="11">
        <f t="shared" ca="1" si="83"/>
        <v>35.764383561643832</v>
      </c>
      <c r="G704" s="11">
        <f t="shared" si="84"/>
        <v>3</v>
      </c>
      <c r="H704" s="11">
        <f t="shared" si="85"/>
        <v>15</v>
      </c>
      <c r="I704" s="10">
        <v>40462</v>
      </c>
      <c r="J704" s="9" t="s">
        <v>226</v>
      </c>
      <c r="K704" s="9" t="s">
        <v>1970</v>
      </c>
      <c r="L704" s="9" t="s">
        <v>60</v>
      </c>
      <c r="M704" s="9" t="s">
        <v>61</v>
      </c>
      <c r="N704" s="11">
        <v>0.4</v>
      </c>
      <c r="O704" s="12">
        <f t="shared" ca="1" si="82"/>
        <v>13.175342465753424</v>
      </c>
      <c r="P704" s="12">
        <f t="shared" ca="1" si="75"/>
        <v>13.575342465753424</v>
      </c>
      <c r="Q704" s="12" t="s">
        <v>68</v>
      </c>
      <c r="R704" s="9" t="s">
        <v>27</v>
      </c>
      <c r="S704" s="24" t="s">
        <v>28</v>
      </c>
      <c r="T704" s="9" t="s">
        <v>29</v>
      </c>
    </row>
    <row r="705" spans="1:20" ht="35.25" customHeight="1">
      <c r="A705" s="6">
        <f t="shared" si="74"/>
        <v>704</v>
      </c>
      <c r="B705" s="17" t="s">
        <v>1978</v>
      </c>
      <c r="C705" s="8" t="s">
        <v>1979</v>
      </c>
      <c r="D705" s="9" t="s">
        <v>26</v>
      </c>
      <c r="E705" s="10">
        <v>24865</v>
      </c>
      <c r="F705" s="11">
        <f t="shared" ca="1" si="83"/>
        <v>55.906849315068492</v>
      </c>
      <c r="G705" s="11">
        <f t="shared" si="84"/>
        <v>1</v>
      </c>
      <c r="H705" s="11">
        <f t="shared" si="85"/>
        <v>28</v>
      </c>
      <c r="I705" s="10">
        <v>40457</v>
      </c>
      <c r="J705" s="9" t="s">
        <v>66</v>
      </c>
      <c r="K705" s="9" t="s">
        <v>1980</v>
      </c>
      <c r="L705" s="9" t="s">
        <v>1782</v>
      </c>
      <c r="M705" s="9" t="s">
        <v>61</v>
      </c>
      <c r="N705" s="11">
        <v>16</v>
      </c>
      <c r="O705" s="12">
        <f t="shared" ca="1" si="82"/>
        <v>13.189041095890412</v>
      </c>
      <c r="P705" s="12">
        <f t="shared" ca="1" si="75"/>
        <v>29.18904109589041</v>
      </c>
      <c r="Q705" s="12" t="s">
        <v>26</v>
      </c>
      <c r="R705" s="9" t="s">
        <v>27</v>
      </c>
      <c r="S705" s="24" t="s">
        <v>28</v>
      </c>
      <c r="T705" s="9" t="s">
        <v>114</v>
      </c>
    </row>
    <row r="706" spans="1:20" ht="35.25" customHeight="1">
      <c r="A706" s="6">
        <f t="shared" si="74"/>
        <v>705</v>
      </c>
      <c r="B706" s="17" t="s">
        <v>1981</v>
      </c>
      <c r="C706" s="8" t="s">
        <v>1982</v>
      </c>
      <c r="D706" s="9" t="s">
        <v>21</v>
      </c>
      <c r="E706" s="10">
        <v>25308</v>
      </c>
      <c r="F706" s="11">
        <f t="shared" ca="1" si="83"/>
        <v>54.69315068493151</v>
      </c>
      <c r="G706" s="11">
        <f t="shared" si="84"/>
        <v>4</v>
      </c>
      <c r="H706" s="11">
        <f t="shared" si="85"/>
        <v>15</v>
      </c>
      <c r="I706" s="10">
        <v>40469</v>
      </c>
      <c r="J706" s="9" t="s">
        <v>32</v>
      </c>
      <c r="K706" s="9" t="s">
        <v>1983</v>
      </c>
      <c r="L706" s="9" t="s">
        <v>204</v>
      </c>
      <c r="M706" s="9" t="s">
        <v>25</v>
      </c>
      <c r="N706" s="11">
        <v>17</v>
      </c>
      <c r="O706" s="12">
        <f t="shared" ca="1" si="82"/>
        <v>13.156164383561643</v>
      </c>
      <c r="P706" s="12">
        <f t="shared" ca="1" si="75"/>
        <v>30.156164383561645</v>
      </c>
      <c r="Q706" s="12" t="s">
        <v>26</v>
      </c>
      <c r="R706" s="9" t="s">
        <v>27</v>
      </c>
      <c r="S706" s="24" t="s">
        <v>28</v>
      </c>
      <c r="T706" s="9" t="s">
        <v>29</v>
      </c>
    </row>
    <row r="707" spans="1:20" ht="35.25" customHeight="1">
      <c r="A707" s="6">
        <f t="shared" si="74"/>
        <v>706</v>
      </c>
      <c r="B707" s="17" t="s">
        <v>1984</v>
      </c>
      <c r="C707" s="8" t="s">
        <v>1985</v>
      </c>
      <c r="D707" s="9" t="s">
        <v>26</v>
      </c>
      <c r="E707" s="10">
        <v>29644</v>
      </c>
      <c r="F707" s="11">
        <v>29.665753424657535</v>
      </c>
      <c r="G707" s="11">
        <v>2</v>
      </c>
      <c r="H707" s="11">
        <v>27</v>
      </c>
      <c r="I707" s="10">
        <v>40469</v>
      </c>
      <c r="J707" s="9" t="s">
        <v>58</v>
      </c>
      <c r="K707" s="9" t="s">
        <v>1986</v>
      </c>
      <c r="L707" s="9" t="s">
        <v>34</v>
      </c>
      <c r="M707" s="9" t="s">
        <v>205</v>
      </c>
      <c r="N707" s="11">
        <v>10</v>
      </c>
      <c r="O707" s="12">
        <f t="shared" ca="1" si="82"/>
        <v>13.156164383561643</v>
      </c>
      <c r="P707" s="12">
        <f t="shared" ca="1" si="75"/>
        <v>23.156164383561645</v>
      </c>
      <c r="Q707" s="12" t="s">
        <v>68</v>
      </c>
      <c r="R707" s="9" t="s">
        <v>27</v>
      </c>
      <c r="S707" s="24" t="s">
        <v>28</v>
      </c>
      <c r="T707" s="9" t="s">
        <v>29</v>
      </c>
    </row>
    <row r="708" spans="1:20" ht="35.25" customHeight="1">
      <c r="A708" s="6">
        <f t="shared" ref="A708:A771" si="86">+A707+1</f>
        <v>707</v>
      </c>
      <c r="B708" s="17" t="s">
        <v>1987</v>
      </c>
      <c r="C708" s="8" t="s">
        <v>1988</v>
      </c>
      <c r="D708" s="9" t="s">
        <v>26</v>
      </c>
      <c r="E708" s="10">
        <v>29707</v>
      </c>
      <c r="F708" s="11">
        <f t="shared" ref="F708:F725" ca="1" si="87">(TODAY()-E708)/365</f>
        <v>42.641095890410959</v>
      </c>
      <c r="G708" s="11">
        <f t="shared" ref="G708:G725" si="88">MONTH(E708)</f>
        <v>5</v>
      </c>
      <c r="H708" s="11">
        <f t="shared" ref="H708:H725" si="89">DAY(E708)</f>
        <v>1</v>
      </c>
      <c r="I708" s="10">
        <v>40466</v>
      </c>
      <c r="J708" s="9" t="s">
        <v>87</v>
      </c>
      <c r="K708" s="9" t="s">
        <v>1989</v>
      </c>
      <c r="L708" s="9" t="s">
        <v>24</v>
      </c>
      <c r="M708" s="9" t="s">
        <v>35</v>
      </c>
      <c r="N708" s="11">
        <v>4.5</v>
      </c>
      <c r="O708" s="12">
        <f t="shared" ca="1" si="82"/>
        <v>13.164383561643836</v>
      </c>
      <c r="P708" s="12">
        <f t="shared" ca="1" si="75"/>
        <v>17.664383561643838</v>
      </c>
      <c r="Q708" s="12" t="s">
        <v>68</v>
      </c>
      <c r="R708" s="9" t="s">
        <v>27</v>
      </c>
      <c r="S708" s="24" t="s">
        <v>36</v>
      </c>
      <c r="T708" s="9" t="s">
        <v>1304</v>
      </c>
    </row>
    <row r="709" spans="1:20" ht="35.25" customHeight="1">
      <c r="A709" s="6">
        <f t="shared" si="86"/>
        <v>708</v>
      </c>
      <c r="B709" s="17" t="s">
        <v>1990</v>
      </c>
      <c r="C709" s="8" t="s">
        <v>1991</v>
      </c>
      <c r="D709" s="9" t="s">
        <v>26</v>
      </c>
      <c r="E709" s="10">
        <v>29412</v>
      </c>
      <c r="F709" s="11">
        <f t="shared" ca="1" si="87"/>
        <v>43.449315068493149</v>
      </c>
      <c r="G709" s="11">
        <f t="shared" si="88"/>
        <v>7</v>
      </c>
      <c r="H709" s="11">
        <f t="shared" si="89"/>
        <v>10</v>
      </c>
      <c r="I709" s="10">
        <v>40469</v>
      </c>
      <c r="J709" s="9" t="s">
        <v>110</v>
      </c>
      <c r="K709" s="9" t="s">
        <v>495</v>
      </c>
      <c r="L709" s="9" t="s">
        <v>1992</v>
      </c>
      <c r="M709" s="9" t="s">
        <v>35</v>
      </c>
      <c r="N709" s="11">
        <v>9</v>
      </c>
      <c r="O709" s="12">
        <f t="shared" ca="1" si="82"/>
        <v>13.156164383561643</v>
      </c>
      <c r="P709" s="12">
        <f t="shared" ca="1" si="75"/>
        <v>22.156164383561645</v>
      </c>
      <c r="Q709" s="12" t="s">
        <v>26</v>
      </c>
      <c r="R709" s="9" t="s">
        <v>95</v>
      </c>
      <c r="S709" s="24" t="s">
        <v>36</v>
      </c>
      <c r="T709" s="9" t="s">
        <v>90</v>
      </c>
    </row>
    <row r="710" spans="1:20" ht="35.25" customHeight="1">
      <c r="A710" s="6">
        <f t="shared" si="86"/>
        <v>709</v>
      </c>
      <c r="B710" s="17" t="s">
        <v>1993</v>
      </c>
      <c r="C710" s="8" t="s">
        <v>1994</v>
      </c>
      <c r="D710" s="9" t="s">
        <v>26</v>
      </c>
      <c r="E710" s="10">
        <v>30832</v>
      </c>
      <c r="F710" s="11">
        <f t="shared" ca="1" si="87"/>
        <v>39.558904109589044</v>
      </c>
      <c r="G710" s="11">
        <f t="shared" si="88"/>
        <v>5</v>
      </c>
      <c r="H710" s="11">
        <f t="shared" si="89"/>
        <v>30</v>
      </c>
      <c r="I710" s="10">
        <v>40469</v>
      </c>
      <c r="J710" s="9" t="s">
        <v>110</v>
      </c>
      <c r="K710" s="9" t="s">
        <v>278</v>
      </c>
      <c r="L710" s="9" t="s">
        <v>34</v>
      </c>
      <c r="M710" s="9" t="s">
        <v>35</v>
      </c>
      <c r="N710" s="11">
        <v>7</v>
      </c>
      <c r="O710" s="12">
        <f t="shared" ca="1" si="82"/>
        <v>13.156164383561643</v>
      </c>
      <c r="P710" s="12">
        <f t="shared" ca="1" si="75"/>
        <v>20.156164383561645</v>
      </c>
      <c r="Q710" s="12" t="s">
        <v>26</v>
      </c>
      <c r="R710" s="9" t="s">
        <v>27</v>
      </c>
      <c r="S710" s="24" t="s">
        <v>36</v>
      </c>
      <c r="T710" s="9" t="s">
        <v>72</v>
      </c>
    </row>
    <row r="711" spans="1:20" ht="35.25" customHeight="1">
      <c r="A711" s="6">
        <f t="shared" si="86"/>
        <v>710</v>
      </c>
      <c r="B711" s="17" t="s">
        <v>1995</v>
      </c>
      <c r="C711" s="8" t="s">
        <v>1996</v>
      </c>
      <c r="D711" s="9" t="s">
        <v>26</v>
      </c>
      <c r="E711" s="10">
        <v>29419</v>
      </c>
      <c r="F711" s="11">
        <f t="shared" ca="1" si="87"/>
        <v>43.43013698630137</v>
      </c>
      <c r="G711" s="11">
        <f t="shared" si="88"/>
        <v>7</v>
      </c>
      <c r="H711" s="11">
        <f t="shared" si="89"/>
        <v>17</v>
      </c>
      <c r="I711" s="10">
        <v>40464</v>
      </c>
      <c r="J711" s="9" t="s">
        <v>50</v>
      </c>
      <c r="K711" s="9" t="s">
        <v>159</v>
      </c>
      <c r="L711" s="9" t="s">
        <v>1782</v>
      </c>
      <c r="M711" s="9" t="s">
        <v>156</v>
      </c>
      <c r="N711" s="11">
        <v>9</v>
      </c>
      <c r="O711" s="12">
        <f t="shared" ca="1" si="82"/>
        <v>13.169863013698631</v>
      </c>
      <c r="P711" s="12">
        <f t="shared" ca="1" si="75"/>
        <v>22.169863013698631</v>
      </c>
      <c r="Q711" s="12" t="s">
        <v>26</v>
      </c>
      <c r="R711" s="9" t="s">
        <v>27</v>
      </c>
      <c r="S711" s="24" t="s">
        <v>28</v>
      </c>
      <c r="T711" s="9" t="s">
        <v>114</v>
      </c>
    </row>
    <row r="712" spans="1:20" ht="35.25" customHeight="1">
      <c r="A712" s="6">
        <f t="shared" si="86"/>
        <v>711</v>
      </c>
      <c r="B712" s="17" t="s">
        <v>1997</v>
      </c>
      <c r="C712" s="8" t="s">
        <v>1998</v>
      </c>
      <c r="D712" s="9" t="s">
        <v>26</v>
      </c>
      <c r="E712" s="10">
        <v>31175</v>
      </c>
      <c r="F712" s="11">
        <f t="shared" ca="1" si="87"/>
        <v>38.61917808219178</v>
      </c>
      <c r="G712" s="11">
        <f t="shared" si="88"/>
        <v>5</v>
      </c>
      <c r="H712" s="11">
        <f t="shared" si="89"/>
        <v>8</v>
      </c>
      <c r="I712" s="10">
        <v>40471</v>
      </c>
      <c r="J712" s="9" t="s">
        <v>226</v>
      </c>
      <c r="K712" s="9" t="s">
        <v>1152</v>
      </c>
      <c r="L712" s="9" t="s">
        <v>34</v>
      </c>
      <c r="M712" s="9" t="s">
        <v>35</v>
      </c>
      <c r="N712" s="11">
        <v>4.3</v>
      </c>
      <c r="O712" s="12">
        <f t="shared" ca="1" si="82"/>
        <v>13.150684931506849</v>
      </c>
      <c r="P712" s="12">
        <f t="shared" ca="1" si="75"/>
        <v>17.450684931506849</v>
      </c>
      <c r="Q712" s="12" t="s">
        <v>68</v>
      </c>
      <c r="R712" s="9" t="s">
        <v>27</v>
      </c>
      <c r="S712" s="24" t="s">
        <v>36</v>
      </c>
      <c r="T712" s="9" t="s">
        <v>72</v>
      </c>
    </row>
    <row r="713" spans="1:20" ht="35.25" customHeight="1">
      <c r="A713" s="6">
        <f t="shared" si="86"/>
        <v>712</v>
      </c>
      <c r="B713" s="17" t="s">
        <v>1999</v>
      </c>
      <c r="C713" s="8" t="s">
        <v>2000</v>
      </c>
      <c r="D713" s="9" t="s">
        <v>26</v>
      </c>
      <c r="E713" s="10">
        <v>25805</v>
      </c>
      <c r="F713" s="11">
        <f t="shared" ca="1" si="87"/>
        <v>53.331506849315069</v>
      </c>
      <c r="G713" s="11">
        <f t="shared" si="88"/>
        <v>8</v>
      </c>
      <c r="H713" s="11">
        <f t="shared" si="89"/>
        <v>25</v>
      </c>
      <c r="I713" s="10">
        <v>40469</v>
      </c>
      <c r="J713" s="9" t="s">
        <v>66</v>
      </c>
      <c r="K713" s="9" t="s">
        <v>357</v>
      </c>
      <c r="L713" s="9" t="s">
        <v>34</v>
      </c>
      <c r="M713" s="9" t="s">
        <v>156</v>
      </c>
      <c r="N713" s="11">
        <v>5.4</v>
      </c>
      <c r="O713" s="12">
        <f t="shared" ca="1" si="82"/>
        <v>13.156164383561643</v>
      </c>
      <c r="P713" s="12">
        <f t="shared" ca="1" si="75"/>
        <v>18.556164383561644</v>
      </c>
      <c r="Q713" s="12" t="s">
        <v>26</v>
      </c>
      <c r="R713" s="9" t="s">
        <v>27</v>
      </c>
      <c r="S713" s="24" t="s">
        <v>28</v>
      </c>
      <c r="T713" s="9" t="s">
        <v>671</v>
      </c>
    </row>
    <row r="714" spans="1:20" ht="35.25" customHeight="1">
      <c r="A714" s="6">
        <f t="shared" si="86"/>
        <v>713</v>
      </c>
      <c r="B714" s="17" t="s">
        <v>2001</v>
      </c>
      <c r="C714" s="8" t="s">
        <v>2002</v>
      </c>
      <c r="D714" s="9" t="s">
        <v>26</v>
      </c>
      <c r="E714" s="10">
        <v>27387</v>
      </c>
      <c r="F714" s="11">
        <f t="shared" ca="1" si="87"/>
        <v>48.9972602739726</v>
      </c>
      <c r="G714" s="11">
        <f t="shared" si="88"/>
        <v>12</v>
      </c>
      <c r="H714" s="11">
        <f t="shared" si="89"/>
        <v>24</v>
      </c>
      <c r="I714" s="10">
        <v>40471</v>
      </c>
      <c r="J714" s="9" t="s">
        <v>32</v>
      </c>
      <c r="K714" s="9" t="s">
        <v>313</v>
      </c>
      <c r="L714" s="9" t="s">
        <v>231</v>
      </c>
      <c r="M714" s="9" t="s">
        <v>156</v>
      </c>
      <c r="N714" s="11">
        <v>12</v>
      </c>
      <c r="O714" s="12">
        <f t="shared" ca="1" si="82"/>
        <v>13.150684931506849</v>
      </c>
      <c r="P714" s="12">
        <f t="shared" ca="1" si="75"/>
        <v>25.150684931506849</v>
      </c>
      <c r="Q714" s="12" t="s">
        <v>26</v>
      </c>
      <c r="R714" s="9" t="s">
        <v>27</v>
      </c>
      <c r="S714" s="24" t="s">
        <v>28</v>
      </c>
      <c r="T714" s="9" t="s">
        <v>114</v>
      </c>
    </row>
    <row r="715" spans="1:20" ht="35.25" customHeight="1">
      <c r="A715" s="6">
        <f t="shared" si="86"/>
        <v>714</v>
      </c>
      <c r="B715" s="17" t="s">
        <v>2003</v>
      </c>
      <c r="C715" s="8" t="s">
        <v>2004</v>
      </c>
      <c r="D715" s="9" t="s">
        <v>26</v>
      </c>
      <c r="E715" s="10">
        <v>31226</v>
      </c>
      <c r="F715" s="11">
        <f t="shared" ca="1" si="87"/>
        <v>38.479452054794521</v>
      </c>
      <c r="G715" s="11">
        <f t="shared" si="88"/>
        <v>6</v>
      </c>
      <c r="H715" s="11">
        <f t="shared" si="89"/>
        <v>28</v>
      </c>
      <c r="I715" s="10">
        <v>40473</v>
      </c>
      <c r="J715" s="9" t="s">
        <v>110</v>
      </c>
      <c r="K715" s="9" t="s">
        <v>495</v>
      </c>
      <c r="L715" s="9" t="s">
        <v>147</v>
      </c>
      <c r="M715" s="9" t="s">
        <v>134</v>
      </c>
      <c r="N715" s="11">
        <v>8</v>
      </c>
      <c r="O715" s="12">
        <f t="shared" ca="1" si="82"/>
        <v>13.145205479452056</v>
      </c>
      <c r="P715" s="12">
        <f t="shared" ca="1" si="75"/>
        <v>21.145205479452056</v>
      </c>
      <c r="Q715" s="12" t="s">
        <v>68</v>
      </c>
      <c r="R715" s="9" t="s">
        <v>662</v>
      </c>
      <c r="S715" s="24" t="s">
        <v>28</v>
      </c>
      <c r="T715" s="9" t="s">
        <v>29</v>
      </c>
    </row>
    <row r="716" spans="1:20" ht="35.25" customHeight="1">
      <c r="A716" s="6">
        <f t="shared" si="86"/>
        <v>715</v>
      </c>
      <c r="B716" s="17" t="s">
        <v>2005</v>
      </c>
      <c r="C716" s="8" t="s">
        <v>2006</v>
      </c>
      <c r="D716" s="9" t="s">
        <v>26</v>
      </c>
      <c r="E716" s="10">
        <v>26445</v>
      </c>
      <c r="F716" s="11">
        <f t="shared" ca="1" si="87"/>
        <v>51.578082191780823</v>
      </c>
      <c r="G716" s="11">
        <f t="shared" si="88"/>
        <v>5</v>
      </c>
      <c r="H716" s="11">
        <f t="shared" si="89"/>
        <v>26</v>
      </c>
      <c r="I716" s="10">
        <v>40469</v>
      </c>
      <c r="J716" s="9" t="s">
        <v>318</v>
      </c>
      <c r="K716" s="9" t="s">
        <v>2007</v>
      </c>
      <c r="L716" s="9" t="s">
        <v>263</v>
      </c>
      <c r="M716" s="9" t="s">
        <v>25</v>
      </c>
      <c r="N716" s="11">
        <v>15</v>
      </c>
      <c r="O716" s="12">
        <f t="shared" ca="1" si="82"/>
        <v>13.156164383561643</v>
      </c>
      <c r="P716" s="12">
        <f t="shared" ref="P716:P779" ca="1" si="90">SUM(N716+O716)</f>
        <v>28.156164383561645</v>
      </c>
      <c r="Q716" s="12" t="s">
        <v>26</v>
      </c>
      <c r="R716" s="9" t="s">
        <v>95</v>
      </c>
      <c r="S716" s="24" t="s">
        <v>28</v>
      </c>
      <c r="T716" s="9" t="s">
        <v>29</v>
      </c>
    </row>
    <row r="717" spans="1:20" ht="35.25" customHeight="1">
      <c r="A717" s="6">
        <f t="shared" si="86"/>
        <v>716</v>
      </c>
      <c r="B717" s="17" t="s">
        <v>2008</v>
      </c>
      <c r="C717" s="8" t="s">
        <v>2009</v>
      </c>
      <c r="D717" s="9" t="s">
        <v>26</v>
      </c>
      <c r="E717" s="10">
        <v>22416</v>
      </c>
      <c r="F717" s="11">
        <f t="shared" ca="1" si="87"/>
        <v>62.61643835616438</v>
      </c>
      <c r="G717" s="11">
        <f t="shared" si="88"/>
        <v>5</v>
      </c>
      <c r="H717" s="11">
        <f t="shared" si="89"/>
        <v>15</v>
      </c>
      <c r="I717" s="10">
        <v>40472</v>
      </c>
      <c r="J717" s="9" t="s">
        <v>140</v>
      </c>
      <c r="K717" s="9" t="s">
        <v>2010</v>
      </c>
      <c r="L717" s="9" t="s">
        <v>34</v>
      </c>
      <c r="M717" s="9" t="s">
        <v>61</v>
      </c>
      <c r="N717" s="11">
        <v>25.4</v>
      </c>
      <c r="O717" s="12">
        <f t="shared" ca="1" si="82"/>
        <v>13.147945205479452</v>
      </c>
      <c r="P717" s="12">
        <f t="shared" ca="1" si="90"/>
        <v>38.547945205479451</v>
      </c>
      <c r="Q717" s="12" t="s">
        <v>26</v>
      </c>
      <c r="R717" s="9" t="s">
        <v>27</v>
      </c>
      <c r="S717" s="24" t="s">
        <v>28</v>
      </c>
      <c r="T717" s="9" t="s">
        <v>29</v>
      </c>
    </row>
    <row r="718" spans="1:20" ht="35.25" customHeight="1">
      <c r="A718" s="6">
        <f t="shared" si="86"/>
        <v>717</v>
      </c>
      <c r="B718" s="17" t="s">
        <v>2011</v>
      </c>
      <c r="C718" s="8" t="s">
        <v>2012</v>
      </c>
      <c r="D718" s="9" t="s">
        <v>26</v>
      </c>
      <c r="E718" s="10">
        <v>30822</v>
      </c>
      <c r="F718" s="11">
        <f t="shared" ca="1" si="87"/>
        <v>39.586301369863016</v>
      </c>
      <c r="G718" s="11">
        <f t="shared" si="88"/>
        <v>5</v>
      </c>
      <c r="H718" s="11">
        <f t="shared" si="89"/>
        <v>20</v>
      </c>
      <c r="I718" s="10">
        <v>40476</v>
      </c>
      <c r="J718" s="9" t="s">
        <v>50</v>
      </c>
      <c r="K718" s="9" t="s">
        <v>2013</v>
      </c>
      <c r="L718" s="9" t="s">
        <v>1091</v>
      </c>
      <c r="M718" s="9" t="s">
        <v>25</v>
      </c>
      <c r="N718" s="11">
        <v>3</v>
      </c>
      <c r="O718" s="12">
        <f t="shared" ca="1" si="82"/>
        <v>13.136986301369863</v>
      </c>
      <c r="P718" s="12">
        <f t="shared" ca="1" si="90"/>
        <v>16.136986301369863</v>
      </c>
      <c r="Q718" s="12" t="s">
        <v>68</v>
      </c>
      <c r="R718" s="9" t="s">
        <v>627</v>
      </c>
      <c r="S718" s="24" t="s">
        <v>28</v>
      </c>
      <c r="T718" s="9" t="s">
        <v>29</v>
      </c>
    </row>
    <row r="719" spans="1:20" ht="35.25" customHeight="1">
      <c r="A719" s="6">
        <f t="shared" si="86"/>
        <v>718</v>
      </c>
      <c r="B719" s="17" t="s">
        <v>2014</v>
      </c>
      <c r="C719" s="8" t="s">
        <v>2015</v>
      </c>
      <c r="D719" s="9" t="s">
        <v>26</v>
      </c>
      <c r="E719" s="10">
        <v>29726</v>
      </c>
      <c r="F719" s="11">
        <f t="shared" ca="1" si="87"/>
        <v>42.589041095890408</v>
      </c>
      <c r="G719" s="11">
        <f t="shared" si="88"/>
        <v>5</v>
      </c>
      <c r="H719" s="11">
        <f t="shared" si="89"/>
        <v>20</v>
      </c>
      <c r="I719" s="10">
        <v>40476</v>
      </c>
      <c r="J719" s="9" t="s">
        <v>22</v>
      </c>
      <c r="K719" s="9" t="s">
        <v>2016</v>
      </c>
      <c r="L719" s="9" t="s">
        <v>325</v>
      </c>
      <c r="M719" s="9" t="s">
        <v>205</v>
      </c>
      <c r="N719" s="11">
        <v>7</v>
      </c>
      <c r="O719" s="12">
        <f t="shared" ca="1" si="82"/>
        <v>13.136986301369863</v>
      </c>
      <c r="P719" s="12">
        <f t="shared" ca="1" si="90"/>
        <v>20.136986301369863</v>
      </c>
      <c r="Q719" s="12" t="s">
        <v>68</v>
      </c>
      <c r="R719" s="9" t="s">
        <v>27</v>
      </c>
      <c r="S719" s="24" t="s">
        <v>28</v>
      </c>
      <c r="T719" s="9" t="s">
        <v>29</v>
      </c>
    </row>
    <row r="720" spans="1:20" ht="35.25" customHeight="1">
      <c r="A720" s="6">
        <f t="shared" si="86"/>
        <v>719</v>
      </c>
      <c r="B720" s="17" t="s">
        <v>2017</v>
      </c>
      <c r="C720" s="8" t="s">
        <v>2018</v>
      </c>
      <c r="D720" s="9" t="s">
        <v>26</v>
      </c>
      <c r="E720" s="10">
        <v>32303</v>
      </c>
      <c r="F720" s="11">
        <f t="shared" ca="1" si="87"/>
        <v>35.528767123287672</v>
      </c>
      <c r="G720" s="11">
        <f t="shared" si="88"/>
        <v>6</v>
      </c>
      <c r="H720" s="11">
        <f t="shared" si="89"/>
        <v>9</v>
      </c>
      <c r="I720" s="10">
        <v>40476</v>
      </c>
      <c r="J720" s="9" t="s">
        <v>45</v>
      </c>
      <c r="K720" s="9" t="s">
        <v>477</v>
      </c>
      <c r="L720" s="9" t="s">
        <v>34</v>
      </c>
      <c r="M720" s="9" t="s">
        <v>35</v>
      </c>
      <c r="N720" s="11">
        <v>4.0999999999999996</v>
      </c>
      <c r="O720" s="12">
        <f t="shared" ca="1" si="82"/>
        <v>13.136986301369863</v>
      </c>
      <c r="P720" s="12">
        <f t="shared" ca="1" si="90"/>
        <v>17.236986301369861</v>
      </c>
      <c r="Q720" s="12" t="s">
        <v>68</v>
      </c>
      <c r="R720" s="9" t="s">
        <v>27</v>
      </c>
      <c r="S720" s="24" t="s">
        <v>36</v>
      </c>
      <c r="T720" s="9" t="s">
        <v>72</v>
      </c>
    </row>
    <row r="721" spans="1:20" ht="35.25" customHeight="1">
      <c r="A721" s="6">
        <f t="shared" si="86"/>
        <v>720</v>
      </c>
      <c r="B721" s="17" t="s">
        <v>2019</v>
      </c>
      <c r="C721" s="8" t="s">
        <v>2020</v>
      </c>
      <c r="D721" s="9" t="s">
        <v>26</v>
      </c>
      <c r="E721" s="10">
        <v>31884</v>
      </c>
      <c r="F721" s="11">
        <f t="shared" ca="1" si="87"/>
        <v>36.676712328767124</v>
      </c>
      <c r="G721" s="11">
        <f t="shared" si="88"/>
        <v>4</v>
      </c>
      <c r="H721" s="11">
        <f t="shared" si="89"/>
        <v>17</v>
      </c>
      <c r="I721" s="10">
        <v>40476</v>
      </c>
      <c r="J721" s="9" t="s">
        <v>45</v>
      </c>
      <c r="K721" s="9" t="s">
        <v>477</v>
      </c>
      <c r="L721" s="9" t="s">
        <v>34</v>
      </c>
      <c r="M721" s="9" t="s">
        <v>35</v>
      </c>
      <c r="N721" s="11">
        <v>5.4</v>
      </c>
      <c r="O721" s="12">
        <f t="shared" ca="1" si="82"/>
        <v>13.136986301369863</v>
      </c>
      <c r="P721" s="12">
        <f t="shared" ca="1" si="90"/>
        <v>18.536986301369865</v>
      </c>
      <c r="Q721" s="12" t="s">
        <v>68</v>
      </c>
      <c r="R721" s="9" t="s">
        <v>27</v>
      </c>
      <c r="S721" s="24" t="s">
        <v>36</v>
      </c>
      <c r="T721" s="9" t="s">
        <v>37</v>
      </c>
    </row>
    <row r="722" spans="1:20" ht="35.25" customHeight="1">
      <c r="A722" s="6">
        <f t="shared" si="86"/>
        <v>721</v>
      </c>
      <c r="B722" s="17" t="s">
        <v>2021</v>
      </c>
      <c r="C722" s="8" t="s">
        <v>2022</v>
      </c>
      <c r="D722" s="9" t="s">
        <v>26</v>
      </c>
      <c r="E722" s="10">
        <v>30273</v>
      </c>
      <c r="F722" s="11">
        <f t="shared" ca="1" si="87"/>
        <v>41.090410958904108</v>
      </c>
      <c r="G722" s="11">
        <f t="shared" si="88"/>
        <v>11</v>
      </c>
      <c r="H722" s="11">
        <f t="shared" si="89"/>
        <v>18</v>
      </c>
      <c r="I722" s="10">
        <v>40476</v>
      </c>
      <c r="J722" s="9" t="s">
        <v>32</v>
      </c>
      <c r="K722" s="9" t="s">
        <v>313</v>
      </c>
      <c r="L722" s="9" t="s">
        <v>34</v>
      </c>
      <c r="M722" s="9" t="s">
        <v>156</v>
      </c>
      <c r="N722" s="11">
        <v>4.4000000000000004</v>
      </c>
      <c r="O722" s="12">
        <f t="shared" ca="1" si="82"/>
        <v>13.136986301369863</v>
      </c>
      <c r="P722" s="12">
        <f t="shared" ca="1" si="90"/>
        <v>17.536986301369865</v>
      </c>
      <c r="Q722" s="12" t="s">
        <v>26</v>
      </c>
      <c r="R722" s="9" t="s">
        <v>27</v>
      </c>
      <c r="S722" s="24" t="s">
        <v>28</v>
      </c>
      <c r="T722" s="9" t="s">
        <v>29</v>
      </c>
    </row>
    <row r="723" spans="1:20" ht="35.25" customHeight="1">
      <c r="A723" s="6">
        <f t="shared" si="86"/>
        <v>722</v>
      </c>
      <c r="B723" s="17" t="s">
        <v>2023</v>
      </c>
      <c r="C723" s="8" t="s">
        <v>2024</v>
      </c>
      <c r="D723" s="9" t="s">
        <v>26</v>
      </c>
      <c r="E723" s="10">
        <v>30809</v>
      </c>
      <c r="F723" s="11">
        <f t="shared" ca="1" si="87"/>
        <v>39.62191780821918</v>
      </c>
      <c r="G723" s="11">
        <f t="shared" si="88"/>
        <v>5</v>
      </c>
      <c r="H723" s="11">
        <f t="shared" si="89"/>
        <v>7</v>
      </c>
      <c r="I723" s="10">
        <v>40477</v>
      </c>
      <c r="J723" s="9" t="s">
        <v>45</v>
      </c>
      <c r="K723" s="9" t="s">
        <v>477</v>
      </c>
      <c r="L723" s="9" t="s">
        <v>34</v>
      </c>
      <c r="M723" s="9" t="s">
        <v>35</v>
      </c>
      <c r="N723" s="11">
        <v>4</v>
      </c>
      <c r="O723" s="12">
        <f t="shared" ca="1" si="82"/>
        <v>13.134246575342466</v>
      </c>
      <c r="P723" s="12">
        <f t="shared" ca="1" si="90"/>
        <v>17.134246575342466</v>
      </c>
      <c r="Q723" s="12" t="s">
        <v>26</v>
      </c>
      <c r="R723" s="9" t="s">
        <v>27</v>
      </c>
      <c r="S723" s="24" t="s">
        <v>36</v>
      </c>
      <c r="T723" s="9" t="s">
        <v>874</v>
      </c>
    </row>
    <row r="724" spans="1:20" ht="35.25" customHeight="1">
      <c r="A724" s="6">
        <f t="shared" si="86"/>
        <v>723</v>
      </c>
      <c r="B724" s="17" t="s">
        <v>2025</v>
      </c>
      <c r="C724" s="8" t="s">
        <v>2026</v>
      </c>
      <c r="D724" s="9" t="s">
        <v>26</v>
      </c>
      <c r="E724" s="10">
        <v>29441</v>
      </c>
      <c r="F724" s="11">
        <f t="shared" ca="1" si="87"/>
        <v>43.369863013698627</v>
      </c>
      <c r="G724" s="11">
        <f t="shared" si="88"/>
        <v>8</v>
      </c>
      <c r="H724" s="11">
        <f t="shared" si="89"/>
        <v>8</v>
      </c>
      <c r="I724" s="10">
        <v>40479</v>
      </c>
      <c r="J724" s="9" t="s">
        <v>50</v>
      </c>
      <c r="K724" s="9" t="s">
        <v>159</v>
      </c>
      <c r="L724" s="9" t="s">
        <v>263</v>
      </c>
      <c r="M724" s="9" t="s">
        <v>25</v>
      </c>
      <c r="N724" s="11">
        <v>5.5</v>
      </c>
      <c r="O724" s="12">
        <f t="shared" ca="1" si="82"/>
        <v>13.128767123287671</v>
      </c>
      <c r="P724" s="12">
        <f t="shared" ca="1" si="90"/>
        <v>18.628767123287673</v>
      </c>
      <c r="Q724" s="12" t="s">
        <v>26</v>
      </c>
      <c r="R724" s="9" t="s">
        <v>27</v>
      </c>
      <c r="S724" s="24" t="s">
        <v>28</v>
      </c>
      <c r="T724" s="9" t="s">
        <v>29</v>
      </c>
    </row>
    <row r="725" spans="1:20" ht="35.25" customHeight="1">
      <c r="A725" s="6">
        <f t="shared" si="86"/>
        <v>724</v>
      </c>
      <c r="B725" s="17" t="s">
        <v>2027</v>
      </c>
      <c r="C725" s="8" t="s">
        <v>2028</v>
      </c>
      <c r="D725" s="9" t="s">
        <v>21</v>
      </c>
      <c r="E725" s="10">
        <v>29654</v>
      </c>
      <c r="F725" s="11">
        <f t="shared" ca="1" si="87"/>
        <v>42.786301369863011</v>
      </c>
      <c r="G725" s="11">
        <f t="shared" si="88"/>
        <v>3</v>
      </c>
      <c r="H725" s="11">
        <f t="shared" si="89"/>
        <v>9</v>
      </c>
      <c r="I725" s="10">
        <v>40478</v>
      </c>
      <c r="J725" s="9" t="s">
        <v>87</v>
      </c>
      <c r="K725" s="9" t="s">
        <v>216</v>
      </c>
      <c r="L725" s="9" t="s">
        <v>34</v>
      </c>
      <c r="M725" s="9" t="s">
        <v>156</v>
      </c>
      <c r="N725" s="11">
        <v>3.2</v>
      </c>
      <c r="O725" s="12">
        <f t="shared" ca="1" si="82"/>
        <v>13.131506849315068</v>
      </c>
      <c r="P725" s="12">
        <f t="shared" ca="1" si="90"/>
        <v>16.331506849315069</v>
      </c>
      <c r="Q725" s="12" t="s">
        <v>26</v>
      </c>
      <c r="R725" s="9" t="s">
        <v>27</v>
      </c>
      <c r="S725" s="24" t="s">
        <v>28</v>
      </c>
      <c r="T725" s="9" t="s">
        <v>29</v>
      </c>
    </row>
    <row r="726" spans="1:20" ht="35.25" customHeight="1">
      <c r="A726" s="6">
        <f t="shared" si="86"/>
        <v>725</v>
      </c>
      <c r="B726" s="17" t="s">
        <v>2029</v>
      </c>
      <c r="C726" s="8" t="s">
        <v>2030</v>
      </c>
      <c r="D726" s="9" t="s">
        <v>26</v>
      </c>
      <c r="E726" s="10">
        <v>22772</v>
      </c>
      <c r="F726" s="11">
        <f ca="1">(TODAY()-E726)/365</f>
        <v>61.641095890410959</v>
      </c>
      <c r="G726" s="11">
        <f>MONTH(E726)</f>
        <v>5</v>
      </c>
      <c r="H726" s="11">
        <f>DAY(E726)</f>
        <v>6</v>
      </c>
      <c r="I726" s="10">
        <v>40479</v>
      </c>
      <c r="J726" s="9" t="s">
        <v>22</v>
      </c>
      <c r="K726" s="9" t="s">
        <v>2031</v>
      </c>
      <c r="L726" s="9" t="s">
        <v>916</v>
      </c>
      <c r="M726" s="9" t="s">
        <v>134</v>
      </c>
      <c r="N726" s="11">
        <v>15.3</v>
      </c>
      <c r="O726" s="12">
        <f t="shared" ca="1" si="82"/>
        <v>13.128767123287671</v>
      </c>
      <c r="P726" s="12">
        <f t="shared" ca="1" si="90"/>
        <v>28.42876712328767</v>
      </c>
      <c r="Q726" s="12" t="s">
        <v>26</v>
      </c>
      <c r="R726" s="9" t="s">
        <v>27</v>
      </c>
      <c r="S726" s="24" t="s">
        <v>28</v>
      </c>
      <c r="T726" s="9" t="s">
        <v>137</v>
      </c>
    </row>
    <row r="727" spans="1:20" ht="35.25" customHeight="1">
      <c r="A727" s="6">
        <f t="shared" si="86"/>
        <v>726</v>
      </c>
      <c r="B727" s="17" t="s">
        <v>2032</v>
      </c>
      <c r="C727" s="8" t="s">
        <v>2033</v>
      </c>
      <c r="D727" s="9" t="s">
        <v>26</v>
      </c>
      <c r="E727" s="10">
        <v>30807</v>
      </c>
      <c r="F727" s="11">
        <f ca="1">(TODAY()-E727)/365</f>
        <v>39.627397260273973</v>
      </c>
      <c r="G727" s="11">
        <f>MONTH(E727)</f>
        <v>5</v>
      </c>
      <c r="H727" s="11">
        <f>DAY(E727)</f>
        <v>5</v>
      </c>
      <c r="I727" s="10">
        <v>40484</v>
      </c>
      <c r="J727" s="9" t="s">
        <v>110</v>
      </c>
      <c r="K727" s="9" t="s">
        <v>63</v>
      </c>
      <c r="L727" s="9" t="s">
        <v>231</v>
      </c>
      <c r="M727" s="9" t="s">
        <v>156</v>
      </c>
      <c r="N727" s="11">
        <v>3</v>
      </c>
      <c r="O727" s="12">
        <f t="shared" ca="1" si="82"/>
        <v>13.115068493150686</v>
      </c>
      <c r="P727" s="12">
        <f t="shared" ca="1" si="90"/>
        <v>16.115068493150687</v>
      </c>
      <c r="Q727" s="12" t="s">
        <v>68</v>
      </c>
      <c r="R727" s="9" t="s">
        <v>27</v>
      </c>
      <c r="S727" s="24" t="s">
        <v>28</v>
      </c>
      <c r="T727" s="9" t="s">
        <v>114</v>
      </c>
    </row>
    <row r="728" spans="1:20" ht="35.25" customHeight="1">
      <c r="A728" s="6">
        <f t="shared" si="86"/>
        <v>727</v>
      </c>
      <c r="B728" s="17" t="s">
        <v>2034</v>
      </c>
      <c r="C728" s="8" t="s">
        <v>2035</v>
      </c>
      <c r="D728" s="9" t="s">
        <v>26</v>
      </c>
      <c r="E728" s="10">
        <v>30132</v>
      </c>
      <c r="F728" s="11">
        <f ca="1">(TODAY()-E728)/365</f>
        <v>41.476712328767121</v>
      </c>
      <c r="G728" s="11">
        <f>MONTH(E728)</f>
        <v>6</v>
      </c>
      <c r="H728" s="11">
        <f t="shared" ref="H728:H790" si="91">DAY(E728)</f>
        <v>30</v>
      </c>
      <c r="I728" s="10">
        <v>40476</v>
      </c>
      <c r="J728" s="9" t="s">
        <v>87</v>
      </c>
      <c r="K728" s="9" t="s">
        <v>2036</v>
      </c>
      <c r="L728" s="24" t="s">
        <v>490</v>
      </c>
      <c r="M728" s="9" t="s">
        <v>491</v>
      </c>
      <c r="N728" s="19">
        <v>5</v>
      </c>
      <c r="O728" s="12">
        <f t="shared" ca="1" si="82"/>
        <v>13.136986301369863</v>
      </c>
      <c r="P728" s="12">
        <f t="shared" ca="1" si="90"/>
        <v>18.136986301369863</v>
      </c>
      <c r="Q728" s="12" t="s">
        <v>26</v>
      </c>
      <c r="R728" s="9" t="s">
        <v>792</v>
      </c>
      <c r="S728" s="24" t="s">
        <v>28</v>
      </c>
      <c r="T728" s="9" t="s">
        <v>492</v>
      </c>
    </row>
    <row r="729" spans="1:20" ht="35.25" customHeight="1">
      <c r="A729" s="6">
        <f t="shared" si="86"/>
        <v>728</v>
      </c>
      <c r="B729" s="17" t="s">
        <v>2037</v>
      </c>
      <c r="C729" s="8" t="s">
        <v>2038</v>
      </c>
      <c r="D729" s="9" t="s">
        <v>26</v>
      </c>
      <c r="E729" s="10">
        <v>30500</v>
      </c>
      <c r="F729" s="11">
        <f ca="1">(TODAY()-E729)/365</f>
        <v>40.468493150684928</v>
      </c>
      <c r="G729" s="11">
        <f>MONTH(E729)</f>
        <v>7</v>
      </c>
      <c r="H729" s="11">
        <f t="shared" si="91"/>
        <v>3</v>
      </c>
      <c r="I729" s="10">
        <v>40483</v>
      </c>
      <c r="J729" s="9" t="s">
        <v>110</v>
      </c>
      <c r="K729" s="9" t="s">
        <v>412</v>
      </c>
      <c r="L729" s="9" t="s">
        <v>782</v>
      </c>
      <c r="M729" s="9" t="s">
        <v>134</v>
      </c>
      <c r="N729" s="11">
        <v>6.9</v>
      </c>
      <c r="O729" s="12">
        <f t="shared" ca="1" si="82"/>
        <v>13.117808219178082</v>
      </c>
      <c r="P729" s="12">
        <f t="shared" ca="1" si="90"/>
        <v>20.017808219178082</v>
      </c>
      <c r="Q729" s="12" t="s">
        <v>68</v>
      </c>
      <c r="R729" s="9" t="s">
        <v>27</v>
      </c>
      <c r="S729" s="24" t="s">
        <v>36</v>
      </c>
      <c r="T729" s="9" t="s">
        <v>137</v>
      </c>
    </row>
    <row r="730" spans="1:20" ht="35.25" customHeight="1">
      <c r="A730" s="6">
        <f t="shared" si="86"/>
        <v>729</v>
      </c>
      <c r="B730" s="17" t="s">
        <v>2039</v>
      </c>
      <c r="C730" s="8" t="s">
        <v>2040</v>
      </c>
      <c r="D730" s="9" t="s">
        <v>26</v>
      </c>
      <c r="E730" s="10">
        <v>32096</v>
      </c>
      <c r="F730" s="11">
        <f ca="1">(TODAY()-E730)/365</f>
        <v>36.095890410958901</v>
      </c>
      <c r="G730" s="11">
        <f>MONTH(E730)</f>
        <v>11</v>
      </c>
      <c r="H730" s="11">
        <f t="shared" si="91"/>
        <v>15</v>
      </c>
      <c r="I730" s="10">
        <v>40483</v>
      </c>
      <c r="J730" s="9" t="s">
        <v>226</v>
      </c>
      <c r="K730" s="9" t="s">
        <v>248</v>
      </c>
      <c r="L730" s="9" t="s">
        <v>263</v>
      </c>
      <c r="M730" s="9" t="s">
        <v>25</v>
      </c>
      <c r="N730" s="11">
        <v>0</v>
      </c>
      <c r="O730" s="12">
        <f t="shared" ca="1" si="82"/>
        <v>13.117808219178082</v>
      </c>
      <c r="P730" s="12">
        <f t="shared" ca="1" si="90"/>
        <v>13.117808219178082</v>
      </c>
      <c r="Q730" s="12" t="s">
        <v>68</v>
      </c>
      <c r="R730" s="9" t="s">
        <v>27</v>
      </c>
      <c r="S730" s="24" t="s">
        <v>28</v>
      </c>
      <c r="T730" s="9" t="s">
        <v>29</v>
      </c>
    </row>
    <row r="731" spans="1:20" ht="35.25" customHeight="1">
      <c r="A731" s="6">
        <f t="shared" si="86"/>
        <v>730</v>
      </c>
      <c r="B731" s="17" t="s">
        <v>2041</v>
      </c>
      <c r="C731" s="8" t="s">
        <v>2042</v>
      </c>
      <c r="D731" s="9" t="s">
        <v>26</v>
      </c>
      <c r="E731" s="10">
        <v>27121</v>
      </c>
      <c r="F731" s="11">
        <v>36.641095890410959</v>
      </c>
      <c r="G731" s="11">
        <v>4</v>
      </c>
      <c r="H731" s="11">
        <f t="shared" si="91"/>
        <v>2</v>
      </c>
      <c r="I731" s="10">
        <v>40483</v>
      </c>
      <c r="J731" s="9" t="s">
        <v>318</v>
      </c>
      <c r="K731" s="9" t="s">
        <v>258</v>
      </c>
      <c r="L731" s="9" t="s">
        <v>128</v>
      </c>
      <c r="M731" s="9" t="s">
        <v>156</v>
      </c>
      <c r="N731" s="11">
        <v>10.1</v>
      </c>
      <c r="O731" s="12">
        <f t="shared" ca="1" si="82"/>
        <v>13.117808219178082</v>
      </c>
      <c r="P731" s="12">
        <f t="shared" ca="1" si="90"/>
        <v>23.217808219178082</v>
      </c>
      <c r="Q731" s="12" t="s">
        <v>26</v>
      </c>
      <c r="R731" s="9" t="s">
        <v>27</v>
      </c>
      <c r="S731" s="24" t="s">
        <v>28</v>
      </c>
      <c r="T731" s="9" t="s">
        <v>29</v>
      </c>
    </row>
    <row r="732" spans="1:20" ht="35.25" customHeight="1">
      <c r="A732" s="6">
        <f t="shared" si="86"/>
        <v>731</v>
      </c>
      <c r="B732" s="17" t="s">
        <v>2043</v>
      </c>
      <c r="C732" s="8" t="s">
        <v>2044</v>
      </c>
      <c r="D732" s="9" t="s">
        <v>26</v>
      </c>
      <c r="E732" s="10">
        <v>31922</v>
      </c>
      <c r="F732" s="11">
        <f t="shared" ref="F732:F795" ca="1" si="92">(TODAY()-E732)/365</f>
        <v>36.57260273972603</v>
      </c>
      <c r="G732" s="11">
        <f t="shared" ref="G732:G795" si="93">MONTH(E732)</f>
        <v>5</v>
      </c>
      <c r="H732" s="11">
        <f t="shared" si="91"/>
        <v>25</v>
      </c>
      <c r="I732" s="10">
        <v>40490</v>
      </c>
      <c r="J732" s="9" t="s">
        <v>87</v>
      </c>
      <c r="K732" s="9" t="s">
        <v>332</v>
      </c>
      <c r="L732" s="9" t="s">
        <v>34</v>
      </c>
      <c r="M732" s="9" t="s">
        <v>35</v>
      </c>
      <c r="N732" s="11">
        <v>5.4</v>
      </c>
      <c r="O732" s="12">
        <f t="shared" ca="1" si="82"/>
        <v>13.098630136986301</v>
      </c>
      <c r="P732" s="12">
        <f t="shared" ca="1" si="90"/>
        <v>18.4986301369863</v>
      </c>
      <c r="Q732" s="12" t="s">
        <v>68</v>
      </c>
      <c r="R732" s="9" t="s">
        <v>27</v>
      </c>
      <c r="S732" s="24" t="s">
        <v>36</v>
      </c>
      <c r="T732" s="9" t="s">
        <v>295</v>
      </c>
    </row>
    <row r="733" spans="1:20" ht="35.25" customHeight="1">
      <c r="A733" s="6">
        <f t="shared" si="86"/>
        <v>732</v>
      </c>
      <c r="B733" s="17" t="s">
        <v>2045</v>
      </c>
      <c r="C733" s="8" t="s">
        <v>2046</v>
      </c>
      <c r="D733" s="9" t="s">
        <v>26</v>
      </c>
      <c r="E733" s="10">
        <v>32304</v>
      </c>
      <c r="F733" s="11">
        <f t="shared" ca="1" si="92"/>
        <v>35.526027397260272</v>
      </c>
      <c r="G733" s="11">
        <f t="shared" si="93"/>
        <v>6</v>
      </c>
      <c r="H733" s="11">
        <f t="shared" si="91"/>
        <v>10</v>
      </c>
      <c r="I733" s="10">
        <v>40490</v>
      </c>
      <c r="J733" s="9" t="s">
        <v>226</v>
      </c>
      <c r="K733" s="9" t="s">
        <v>341</v>
      </c>
      <c r="L733" s="9" t="s">
        <v>34</v>
      </c>
      <c r="M733" s="9" t="s">
        <v>156</v>
      </c>
      <c r="N733" s="11">
        <v>3.3</v>
      </c>
      <c r="O733" s="12">
        <f t="shared" ca="1" si="82"/>
        <v>13.098630136986301</v>
      </c>
      <c r="P733" s="12">
        <f t="shared" ca="1" si="90"/>
        <v>16.398630136986302</v>
      </c>
      <c r="Q733" s="12" t="s">
        <v>68</v>
      </c>
      <c r="R733" s="9" t="s">
        <v>27</v>
      </c>
      <c r="S733" s="24" t="s">
        <v>36</v>
      </c>
      <c r="T733" s="9" t="s">
        <v>671</v>
      </c>
    </row>
    <row r="734" spans="1:20" ht="35.25" customHeight="1">
      <c r="A734" s="6">
        <f t="shared" si="86"/>
        <v>733</v>
      </c>
      <c r="B734" s="17" t="s">
        <v>2047</v>
      </c>
      <c r="C734" s="8" t="s">
        <v>2048</v>
      </c>
      <c r="D734" s="9" t="s">
        <v>26</v>
      </c>
      <c r="E734" s="10">
        <v>31581</v>
      </c>
      <c r="F734" s="11">
        <f t="shared" ca="1" si="92"/>
        <v>37.506849315068493</v>
      </c>
      <c r="G734" s="11">
        <f t="shared" si="93"/>
        <v>6</v>
      </c>
      <c r="H734" s="11">
        <f t="shared" si="91"/>
        <v>18</v>
      </c>
      <c r="I734" s="10">
        <v>40490</v>
      </c>
      <c r="J734" s="9" t="s">
        <v>226</v>
      </c>
      <c r="K734" s="9" t="s">
        <v>341</v>
      </c>
      <c r="L734" s="9" t="s">
        <v>34</v>
      </c>
      <c r="M734" s="9" t="s">
        <v>156</v>
      </c>
      <c r="N734" s="11">
        <v>1.6</v>
      </c>
      <c r="O734" s="12">
        <f t="shared" ca="1" si="82"/>
        <v>13.098630136986301</v>
      </c>
      <c r="P734" s="12">
        <f t="shared" ca="1" si="90"/>
        <v>14.698630136986301</v>
      </c>
      <c r="Q734" s="12" t="s">
        <v>68</v>
      </c>
      <c r="R734" s="9" t="s">
        <v>27</v>
      </c>
      <c r="S734" s="24" t="s">
        <v>36</v>
      </c>
      <c r="T734" s="9" t="s">
        <v>186</v>
      </c>
    </row>
    <row r="735" spans="1:20" ht="35.25" customHeight="1">
      <c r="A735" s="6">
        <f t="shared" si="86"/>
        <v>734</v>
      </c>
      <c r="B735" s="17" t="s">
        <v>2049</v>
      </c>
      <c r="C735" s="8" t="s">
        <v>2050</v>
      </c>
      <c r="D735" s="9" t="s">
        <v>26</v>
      </c>
      <c r="E735" s="10">
        <v>26094</v>
      </c>
      <c r="F735" s="11">
        <f t="shared" ca="1" si="92"/>
        <v>52.539726027397258</v>
      </c>
      <c r="G735" s="11">
        <f t="shared" si="93"/>
        <v>6</v>
      </c>
      <c r="H735" s="11">
        <f t="shared" si="91"/>
        <v>10</v>
      </c>
      <c r="I735" s="10">
        <v>40490</v>
      </c>
      <c r="J735" s="9" t="s">
        <v>32</v>
      </c>
      <c r="K735" s="9" t="s">
        <v>33</v>
      </c>
      <c r="L735" s="9" t="s">
        <v>34</v>
      </c>
      <c r="M735" s="9" t="s">
        <v>35</v>
      </c>
      <c r="N735" s="11">
        <v>9.6999999999999993</v>
      </c>
      <c r="O735" s="12">
        <f t="shared" ca="1" si="82"/>
        <v>13.098630136986301</v>
      </c>
      <c r="P735" s="12">
        <f t="shared" ca="1" si="90"/>
        <v>22.798630136986301</v>
      </c>
      <c r="Q735" s="12" t="s">
        <v>26</v>
      </c>
      <c r="R735" s="9" t="s">
        <v>95</v>
      </c>
      <c r="S735" s="24" t="s">
        <v>36</v>
      </c>
      <c r="T735" s="9" t="s">
        <v>1329</v>
      </c>
    </row>
    <row r="736" spans="1:20" ht="35.25" customHeight="1">
      <c r="A736" s="6">
        <f t="shared" si="86"/>
        <v>735</v>
      </c>
      <c r="B736" s="17" t="s">
        <v>2051</v>
      </c>
      <c r="C736" s="8" t="s">
        <v>2052</v>
      </c>
      <c r="D736" s="9" t="s">
        <v>26</v>
      </c>
      <c r="E736" s="10">
        <v>31695</v>
      </c>
      <c r="F736" s="11">
        <f t="shared" ca="1" si="92"/>
        <v>37.194520547945203</v>
      </c>
      <c r="G736" s="11">
        <f t="shared" si="93"/>
        <v>10</v>
      </c>
      <c r="H736" s="11">
        <f t="shared" si="91"/>
        <v>10</v>
      </c>
      <c r="I736" s="10">
        <v>40490</v>
      </c>
      <c r="J736" s="9" t="s">
        <v>45</v>
      </c>
      <c r="K736" s="9" t="s">
        <v>477</v>
      </c>
      <c r="L736" s="9" t="s">
        <v>34</v>
      </c>
      <c r="M736" s="9" t="s">
        <v>35</v>
      </c>
      <c r="N736" s="11">
        <v>4.4000000000000004</v>
      </c>
      <c r="O736" s="12">
        <f t="shared" ca="1" si="82"/>
        <v>13.098630136986301</v>
      </c>
      <c r="P736" s="12">
        <f t="shared" ca="1" si="90"/>
        <v>17.4986301369863</v>
      </c>
      <c r="Q736" s="12" t="s">
        <v>68</v>
      </c>
      <c r="R736" s="9" t="s">
        <v>27</v>
      </c>
      <c r="S736" s="24" t="s">
        <v>36</v>
      </c>
      <c r="T736" s="9" t="s">
        <v>90</v>
      </c>
    </row>
    <row r="737" spans="1:20" ht="35.25" customHeight="1">
      <c r="A737" s="6">
        <f t="shared" si="86"/>
        <v>736</v>
      </c>
      <c r="B737" s="17" t="s">
        <v>2053</v>
      </c>
      <c r="C737" s="8" t="s">
        <v>1972</v>
      </c>
      <c r="D737" s="9" t="s">
        <v>26</v>
      </c>
      <c r="E737" s="10">
        <v>32195</v>
      </c>
      <c r="F737" s="11">
        <f t="shared" ca="1" si="92"/>
        <v>35.824657534246576</v>
      </c>
      <c r="G737" s="11">
        <f t="shared" si="93"/>
        <v>2</v>
      </c>
      <c r="H737" s="11">
        <f t="shared" si="91"/>
        <v>22</v>
      </c>
      <c r="I737" s="10">
        <v>40492</v>
      </c>
      <c r="J737" s="9" t="s">
        <v>87</v>
      </c>
      <c r="K737" s="9" t="s">
        <v>341</v>
      </c>
      <c r="L737" s="9" t="s">
        <v>34</v>
      </c>
      <c r="M737" s="9" t="s">
        <v>156</v>
      </c>
      <c r="N737" s="11">
        <v>0.4</v>
      </c>
      <c r="O737" s="12">
        <f t="shared" ca="1" si="82"/>
        <v>13.093150684931507</v>
      </c>
      <c r="P737" s="12">
        <f t="shared" ca="1" si="90"/>
        <v>13.493150684931507</v>
      </c>
      <c r="Q737" s="12" t="s">
        <v>68</v>
      </c>
      <c r="R737" s="9" t="s">
        <v>27</v>
      </c>
      <c r="S737" s="24" t="s">
        <v>28</v>
      </c>
      <c r="T737" s="9" t="s">
        <v>29</v>
      </c>
    </row>
    <row r="738" spans="1:20" ht="35.25" customHeight="1">
      <c r="A738" s="6">
        <f t="shared" si="86"/>
        <v>737</v>
      </c>
      <c r="B738" s="17" t="s">
        <v>2054</v>
      </c>
      <c r="C738" s="8" t="s">
        <v>2055</v>
      </c>
      <c r="D738" s="9" t="s">
        <v>26</v>
      </c>
      <c r="E738" s="10">
        <v>31622</v>
      </c>
      <c r="F738" s="11">
        <f t="shared" ca="1" si="92"/>
        <v>37.394520547945206</v>
      </c>
      <c r="G738" s="11">
        <f t="shared" si="93"/>
        <v>7</v>
      </c>
      <c r="H738" s="11">
        <f t="shared" si="91"/>
        <v>29</v>
      </c>
      <c r="I738" s="10">
        <v>40492</v>
      </c>
      <c r="J738" s="9" t="s">
        <v>45</v>
      </c>
      <c r="K738" s="9" t="s">
        <v>477</v>
      </c>
      <c r="L738" s="9" t="s">
        <v>34</v>
      </c>
      <c r="M738" s="9" t="s">
        <v>35</v>
      </c>
      <c r="N738" s="11">
        <v>3.5</v>
      </c>
      <c r="O738" s="12">
        <f t="shared" ca="1" si="82"/>
        <v>13.093150684931507</v>
      </c>
      <c r="P738" s="12">
        <f t="shared" ca="1" si="90"/>
        <v>16.593150684931508</v>
      </c>
      <c r="Q738" s="12" t="s">
        <v>68</v>
      </c>
      <c r="R738" s="9" t="s">
        <v>27</v>
      </c>
      <c r="S738" s="24" t="s">
        <v>36</v>
      </c>
      <c r="T738" s="9" t="s">
        <v>72</v>
      </c>
    </row>
    <row r="739" spans="1:20" ht="35.25" customHeight="1">
      <c r="A739" s="6">
        <f t="shared" si="86"/>
        <v>738</v>
      </c>
      <c r="B739" s="17" t="s">
        <v>2056</v>
      </c>
      <c r="C739" s="8" t="s">
        <v>2057</v>
      </c>
      <c r="D739" s="9" t="s">
        <v>26</v>
      </c>
      <c r="E739" s="10">
        <v>26777</v>
      </c>
      <c r="F739" s="11">
        <f t="shared" ca="1" si="92"/>
        <v>50.668493150684931</v>
      </c>
      <c r="G739" s="11">
        <f t="shared" si="93"/>
        <v>4</v>
      </c>
      <c r="H739" s="11">
        <f t="shared" si="91"/>
        <v>23</v>
      </c>
      <c r="I739" s="10">
        <v>40490</v>
      </c>
      <c r="J739" s="9" t="s">
        <v>58</v>
      </c>
      <c r="K739" s="9" t="s">
        <v>79</v>
      </c>
      <c r="L739" s="9" t="s">
        <v>34</v>
      </c>
      <c r="M739" s="9" t="s">
        <v>35</v>
      </c>
      <c r="N739" s="11">
        <v>13.6</v>
      </c>
      <c r="O739" s="12">
        <f t="shared" ca="1" si="82"/>
        <v>13.098630136986301</v>
      </c>
      <c r="P739" s="12">
        <f t="shared" ca="1" si="90"/>
        <v>26.698630136986303</v>
      </c>
      <c r="Q739" s="12" t="s">
        <v>26</v>
      </c>
      <c r="R739" s="9" t="s">
        <v>356</v>
      </c>
      <c r="S739" s="24" t="s">
        <v>36</v>
      </c>
      <c r="T739" s="9" t="s">
        <v>295</v>
      </c>
    </row>
    <row r="740" spans="1:20" ht="35.25" customHeight="1">
      <c r="A740" s="6">
        <f t="shared" si="86"/>
        <v>739</v>
      </c>
      <c r="B740" s="17" t="s">
        <v>2058</v>
      </c>
      <c r="C740" s="8" t="s">
        <v>2059</v>
      </c>
      <c r="D740" s="9" t="s">
        <v>26</v>
      </c>
      <c r="E740" s="10">
        <v>26105</v>
      </c>
      <c r="F740" s="11">
        <f t="shared" ca="1" si="92"/>
        <v>52.509589041095893</v>
      </c>
      <c r="G740" s="11">
        <f t="shared" si="93"/>
        <v>6</v>
      </c>
      <c r="H740" s="11">
        <f t="shared" si="91"/>
        <v>21</v>
      </c>
      <c r="I740" s="10">
        <v>40497</v>
      </c>
      <c r="J740" s="9" t="s">
        <v>22</v>
      </c>
      <c r="K740" s="9" t="s">
        <v>2060</v>
      </c>
      <c r="L740" s="9" t="s">
        <v>1992</v>
      </c>
      <c r="M740" s="9" t="s">
        <v>35</v>
      </c>
      <c r="N740" s="11">
        <v>19</v>
      </c>
      <c r="O740" s="12">
        <f t="shared" ca="1" si="82"/>
        <v>13.079452054794521</v>
      </c>
      <c r="P740" s="12">
        <f t="shared" ca="1" si="90"/>
        <v>32.079452054794523</v>
      </c>
      <c r="Q740" s="12" t="s">
        <v>68</v>
      </c>
      <c r="R740" s="9" t="s">
        <v>27</v>
      </c>
      <c r="S740" s="24" t="s">
        <v>28</v>
      </c>
      <c r="T740" s="9" t="s">
        <v>29</v>
      </c>
    </row>
    <row r="741" spans="1:20" ht="35.25" customHeight="1">
      <c r="A741" s="6">
        <f t="shared" si="86"/>
        <v>740</v>
      </c>
      <c r="B741" s="17" t="s">
        <v>2061</v>
      </c>
      <c r="C741" s="8" t="s">
        <v>2062</v>
      </c>
      <c r="D741" s="9" t="s">
        <v>26</v>
      </c>
      <c r="E741" s="10">
        <v>31639</v>
      </c>
      <c r="F741" s="11">
        <f t="shared" ca="1" si="92"/>
        <v>37.347945205479455</v>
      </c>
      <c r="G741" s="11">
        <f t="shared" si="93"/>
        <v>8</v>
      </c>
      <c r="H741" s="11">
        <f t="shared" si="91"/>
        <v>15</v>
      </c>
      <c r="I741" s="10">
        <v>40497</v>
      </c>
      <c r="J741" s="9" t="s">
        <v>226</v>
      </c>
      <c r="K741" s="9" t="s">
        <v>2063</v>
      </c>
      <c r="L741" s="9" t="s">
        <v>1992</v>
      </c>
      <c r="M741" s="9" t="s">
        <v>35</v>
      </c>
      <c r="N741" s="11">
        <v>2.4</v>
      </c>
      <c r="O741" s="12">
        <f t="shared" ca="1" si="82"/>
        <v>13.079452054794521</v>
      </c>
      <c r="P741" s="12">
        <f t="shared" ca="1" si="90"/>
        <v>15.479452054794521</v>
      </c>
      <c r="Q741" s="12" t="s">
        <v>68</v>
      </c>
      <c r="R741" s="9" t="s">
        <v>27</v>
      </c>
      <c r="S741" s="24" t="s">
        <v>28</v>
      </c>
      <c r="T741" s="9" t="s">
        <v>29</v>
      </c>
    </row>
    <row r="742" spans="1:20" ht="35.25" customHeight="1">
      <c r="A742" s="6">
        <f t="shared" si="86"/>
        <v>741</v>
      </c>
      <c r="B742" s="17" t="s">
        <v>2064</v>
      </c>
      <c r="C742" s="8" t="s">
        <v>2065</v>
      </c>
      <c r="D742" s="9" t="s">
        <v>26</v>
      </c>
      <c r="E742" s="10">
        <v>31557</v>
      </c>
      <c r="F742" s="11">
        <f t="shared" ca="1" si="92"/>
        <v>37.57260273972603</v>
      </c>
      <c r="G742" s="11">
        <f t="shared" si="93"/>
        <v>5</v>
      </c>
      <c r="H742" s="11">
        <f t="shared" si="91"/>
        <v>25</v>
      </c>
      <c r="I742" s="10">
        <v>40497</v>
      </c>
      <c r="J742" s="9" t="s">
        <v>87</v>
      </c>
      <c r="K742" s="9" t="s">
        <v>332</v>
      </c>
      <c r="L742" s="9" t="s">
        <v>34</v>
      </c>
      <c r="M742" s="9" t="s">
        <v>35</v>
      </c>
      <c r="N742" s="11">
        <v>2</v>
      </c>
      <c r="O742" s="12">
        <f t="shared" ca="1" si="82"/>
        <v>13.079452054794521</v>
      </c>
      <c r="P742" s="12">
        <f t="shared" ca="1" si="90"/>
        <v>15.079452054794521</v>
      </c>
      <c r="Q742" s="12" t="s">
        <v>68</v>
      </c>
      <c r="R742" s="9" t="s">
        <v>27</v>
      </c>
      <c r="S742" s="24" t="s">
        <v>36</v>
      </c>
      <c r="T742" s="9" t="s">
        <v>137</v>
      </c>
    </row>
    <row r="743" spans="1:20" ht="35.25" customHeight="1">
      <c r="A743" s="6">
        <f t="shared" si="86"/>
        <v>742</v>
      </c>
      <c r="B743" s="17" t="s">
        <v>2066</v>
      </c>
      <c r="C743" s="8" t="s">
        <v>2067</v>
      </c>
      <c r="D743" s="9" t="s">
        <v>26</v>
      </c>
      <c r="E743" s="10">
        <v>29149</v>
      </c>
      <c r="F743" s="11">
        <f t="shared" ca="1" si="92"/>
        <v>44.169863013698631</v>
      </c>
      <c r="G743" s="11">
        <f t="shared" si="93"/>
        <v>10</v>
      </c>
      <c r="H743" s="11">
        <f t="shared" si="91"/>
        <v>21</v>
      </c>
      <c r="I743" s="10">
        <v>40497</v>
      </c>
      <c r="J743" s="9" t="s">
        <v>110</v>
      </c>
      <c r="K743" s="9" t="s">
        <v>278</v>
      </c>
      <c r="L743" s="9" t="s">
        <v>34</v>
      </c>
      <c r="M743" s="9" t="s">
        <v>35</v>
      </c>
      <c r="N743" s="11">
        <v>10.6</v>
      </c>
      <c r="O743" s="12">
        <f t="shared" ca="1" si="82"/>
        <v>13.079452054794521</v>
      </c>
      <c r="P743" s="12">
        <f t="shared" ca="1" si="90"/>
        <v>23.67945205479452</v>
      </c>
      <c r="Q743" s="12" t="s">
        <v>26</v>
      </c>
      <c r="R743" s="9" t="s">
        <v>27</v>
      </c>
      <c r="S743" s="24" t="s">
        <v>36</v>
      </c>
      <c r="T743" s="9" t="s">
        <v>279</v>
      </c>
    </row>
    <row r="744" spans="1:20" ht="35.25" customHeight="1">
      <c r="A744" s="6">
        <f t="shared" si="86"/>
        <v>743</v>
      </c>
      <c r="B744" s="17" t="s">
        <v>2068</v>
      </c>
      <c r="C744" s="8" t="s">
        <v>2069</v>
      </c>
      <c r="D744" s="9" t="s">
        <v>26</v>
      </c>
      <c r="E744" s="10">
        <v>26437</v>
      </c>
      <c r="F744" s="11">
        <f t="shared" ca="1" si="92"/>
        <v>51.6</v>
      </c>
      <c r="G744" s="11">
        <f t="shared" si="93"/>
        <v>5</v>
      </c>
      <c r="H744" s="11">
        <f t="shared" si="91"/>
        <v>18</v>
      </c>
      <c r="I744" s="10">
        <v>40483</v>
      </c>
      <c r="J744" s="9" t="s">
        <v>32</v>
      </c>
      <c r="K744" s="9" t="s">
        <v>1921</v>
      </c>
      <c r="L744" s="9" t="s">
        <v>34</v>
      </c>
      <c r="M744" s="9" t="s">
        <v>156</v>
      </c>
      <c r="N744" s="11">
        <v>18</v>
      </c>
      <c r="O744" s="12">
        <f t="shared" ca="1" si="82"/>
        <v>13.117808219178082</v>
      </c>
      <c r="P744" s="12">
        <f t="shared" ca="1" si="90"/>
        <v>31.11780821917808</v>
      </c>
      <c r="Q744" s="12" t="s">
        <v>26</v>
      </c>
      <c r="R744" s="9" t="s">
        <v>27</v>
      </c>
      <c r="S744" s="24" t="s">
        <v>28</v>
      </c>
      <c r="T744" s="9" t="s">
        <v>29</v>
      </c>
    </row>
    <row r="745" spans="1:20" ht="35.25" customHeight="1">
      <c r="A745" s="6">
        <f t="shared" si="86"/>
        <v>744</v>
      </c>
      <c r="B745" s="17" t="s">
        <v>2070</v>
      </c>
      <c r="C745" s="8" t="s">
        <v>2071</v>
      </c>
      <c r="D745" s="9" t="s">
        <v>26</v>
      </c>
      <c r="E745" s="10">
        <v>31979</v>
      </c>
      <c r="F745" s="11">
        <f t="shared" ca="1" si="92"/>
        <v>36.416438356164385</v>
      </c>
      <c r="G745" s="11">
        <f t="shared" si="93"/>
        <v>7</v>
      </c>
      <c r="H745" s="11">
        <f t="shared" si="91"/>
        <v>21</v>
      </c>
      <c r="I745" s="10">
        <v>40497</v>
      </c>
      <c r="J745" s="9" t="s">
        <v>226</v>
      </c>
      <c r="K745" s="9" t="s">
        <v>341</v>
      </c>
      <c r="L745" s="9" t="s">
        <v>34</v>
      </c>
      <c r="M745" s="9" t="s">
        <v>35</v>
      </c>
      <c r="N745" s="11">
        <v>3.5</v>
      </c>
      <c r="O745" s="12">
        <f t="shared" ca="1" si="82"/>
        <v>13.079452054794521</v>
      </c>
      <c r="P745" s="12">
        <f t="shared" ca="1" si="90"/>
        <v>16.579452054794523</v>
      </c>
      <c r="Q745" s="12" t="s">
        <v>68</v>
      </c>
      <c r="R745" s="9" t="s">
        <v>27</v>
      </c>
      <c r="S745" s="24" t="s">
        <v>36</v>
      </c>
      <c r="T745" s="9" t="s">
        <v>72</v>
      </c>
    </row>
    <row r="746" spans="1:20" ht="35.25" customHeight="1">
      <c r="A746" s="6">
        <f t="shared" si="86"/>
        <v>745</v>
      </c>
      <c r="B746" s="17" t="s">
        <v>2072</v>
      </c>
      <c r="C746" s="8" t="s">
        <v>2073</v>
      </c>
      <c r="D746" s="9" t="s">
        <v>26</v>
      </c>
      <c r="E746" s="10">
        <v>30386</v>
      </c>
      <c r="F746" s="11">
        <f t="shared" ca="1" si="92"/>
        <v>40.780821917808218</v>
      </c>
      <c r="G746" s="11">
        <f t="shared" si="93"/>
        <v>3</v>
      </c>
      <c r="H746" s="11">
        <f t="shared" si="91"/>
        <v>11</v>
      </c>
      <c r="I746" s="10">
        <v>40497</v>
      </c>
      <c r="J746" s="9" t="s">
        <v>110</v>
      </c>
      <c r="K746" s="9" t="s">
        <v>278</v>
      </c>
      <c r="L746" s="9" t="s">
        <v>34</v>
      </c>
      <c r="M746" s="9" t="s">
        <v>35</v>
      </c>
      <c r="N746" s="11">
        <v>9</v>
      </c>
      <c r="O746" s="12">
        <f t="shared" ca="1" si="82"/>
        <v>13.079452054794521</v>
      </c>
      <c r="P746" s="12">
        <f t="shared" ca="1" si="90"/>
        <v>22.079452054794523</v>
      </c>
      <c r="Q746" s="12" t="s">
        <v>68</v>
      </c>
      <c r="R746" s="9" t="s">
        <v>27</v>
      </c>
      <c r="S746" s="24" t="s">
        <v>36</v>
      </c>
      <c r="T746" s="9" t="s">
        <v>72</v>
      </c>
    </row>
    <row r="747" spans="1:20" ht="35.25" customHeight="1">
      <c r="A747" s="6">
        <f t="shared" si="86"/>
        <v>746</v>
      </c>
      <c r="B747" s="17" t="s">
        <v>2074</v>
      </c>
      <c r="C747" s="8" t="s">
        <v>2075</v>
      </c>
      <c r="D747" s="9" t="s">
        <v>26</v>
      </c>
      <c r="E747" s="10">
        <v>29469</v>
      </c>
      <c r="F747" s="11">
        <f t="shared" ca="1" si="92"/>
        <v>43.293150684931504</v>
      </c>
      <c r="G747" s="11">
        <f t="shared" si="93"/>
        <v>9</v>
      </c>
      <c r="H747" s="11">
        <f t="shared" si="91"/>
        <v>5</v>
      </c>
      <c r="I747" s="10">
        <v>40497</v>
      </c>
      <c r="J747" s="9" t="s">
        <v>110</v>
      </c>
      <c r="K747" s="9" t="s">
        <v>1848</v>
      </c>
      <c r="L747" s="9" t="s">
        <v>55</v>
      </c>
      <c r="M747" s="9" t="s">
        <v>35</v>
      </c>
      <c r="N747" s="11">
        <v>5.5</v>
      </c>
      <c r="O747" s="12">
        <f t="shared" ca="1" si="82"/>
        <v>13.079452054794521</v>
      </c>
      <c r="P747" s="12">
        <f t="shared" ca="1" si="90"/>
        <v>18.579452054794523</v>
      </c>
      <c r="Q747" s="12" t="s">
        <v>26</v>
      </c>
      <c r="R747" s="9" t="s">
        <v>95</v>
      </c>
      <c r="S747" s="24" t="s">
        <v>36</v>
      </c>
      <c r="T747" s="9" t="s">
        <v>72</v>
      </c>
    </row>
    <row r="748" spans="1:20" ht="35.25" customHeight="1">
      <c r="A748" s="6">
        <f t="shared" si="86"/>
        <v>747</v>
      </c>
      <c r="B748" s="17" t="s">
        <v>2076</v>
      </c>
      <c r="C748" s="8" t="s">
        <v>2077</v>
      </c>
      <c r="D748" s="9" t="s">
        <v>26</v>
      </c>
      <c r="E748" s="10">
        <v>29846</v>
      </c>
      <c r="F748" s="11">
        <f t="shared" ca="1" si="92"/>
        <v>42.260273972602739</v>
      </c>
      <c r="G748" s="11">
        <f t="shared" si="93"/>
        <v>9</v>
      </c>
      <c r="H748" s="11">
        <f t="shared" si="91"/>
        <v>17</v>
      </c>
      <c r="I748" s="10">
        <v>40484</v>
      </c>
      <c r="J748" s="9" t="s">
        <v>32</v>
      </c>
      <c r="K748" s="9" t="s">
        <v>313</v>
      </c>
      <c r="L748" s="9" t="s">
        <v>1091</v>
      </c>
      <c r="M748" s="9" t="s">
        <v>25</v>
      </c>
      <c r="N748" s="11">
        <v>6</v>
      </c>
      <c r="O748" s="12">
        <f t="shared" ca="1" si="82"/>
        <v>13.115068493150686</v>
      </c>
      <c r="P748" s="12">
        <f t="shared" ca="1" si="90"/>
        <v>19.115068493150687</v>
      </c>
      <c r="Q748" s="12" t="s">
        <v>26</v>
      </c>
      <c r="R748" s="9" t="s">
        <v>27</v>
      </c>
      <c r="S748" s="24" t="s">
        <v>28</v>
      </c>
      <c r="T748" s="9" t="s">
        <v>29</v>
      </c>
    </row>
    <row r="749" spans="1:20" ht="35.25" customHeight="1">
      <c r="A749" s="6">
        <f t="shared" si="86"/>
        <v>748</v>
      </c>
      <c r="B749" s="17" t="s">
        <v>2078</v>
      </c>
      <c r="C749" s="8" t="s">
        <v>2079</v>
      </c>
      <c r="D749" s="9" t="s">
        <v>26</v>
      </c>
      <c r="E749" s="10">
        <v>29406</v>
      </c>
      <c r="F749" s="11">
        <f t="shared" ca="1" si="92"/>
        <v>43.465753424657535</v>
      </c>
      <c r="G749" s="11">
        <f t="shared" si="93"/>
        <v>7</v>
      </c>
      <c r="H749" s="11">
        <f t="shared" si="91"/>
        <v>4</v>
      </c>
      <c r="I749" s="10">
        <v>40500</v>
      </c>
      <c r="J749" s="9" t="s">
        <v>110</v>
      </c>
      <c r="K749" s="9" t="s">
        <v>2080</v>
      </c>
      <c r="L749" s="9" t="s">
        <v>263</v>
      </c>
      <c r="M749" s="9" t="s">
        <v>25</v>
      </c>
      <c r="N749" s="11">
        <v>8.5</v>
      </c>
      <c r="O749" s="12">
        <f t="shared" ca="1" si="82"/>
        <v>13.07123287671233</v>
      </c>
      <c r="P749" s="12">
        <f t="shared" ca="1" si="90"/>
        <v>21.57123287671233</v>
      </c>
      <c r="Q749" s="12" t="s">
        <v>68</v>
      </c>
      <c r="R749" s="9" t="s">
        <v>27</v>
      </c>
      <c r="S749" s="24" t="s">
        <v>28</v>
      </c>
      <c r="T749" s="9" t="s">
        <v>29</v>
      </c>
    </row>
    <row r="750" spans="1:20" ht="35.25" customHeight="1">
      <c r="A750" s="6">
        <f t="shared" si="86"/>
        <v>749</v>
      </c>
      <c r="B750" s="17" t="s">
        <v>2081</v>
      </c>
      <c r="C750" s="8" t="s">
        <v>2082</v>
      </c>
      <c r="D750" s="9" t="s">
        <v>26</v>
      </c>
      <c r="E750" s="10">
        <v>22761</v>
      </c>
      <c r="F750" s="11">
        <f t="shared" ca="1" si="92"/>
        <v>61.671232876712331</v>
      </c>
      <c r="G750" s="11">
        <f t="shared" si="93"/>
        <v>4</v>
      </c>
      <c r="H750" s="11">
        <f t="shared" si="91"/>
        <v>25</v>
      </c>
      <c r="I750" s="10">
        <v>40497</v>
      </c>
      <c r="J750" s="9" t="s">
        <v>318</v>
      </c>
      <c r="K750" s="9" t="s">
        <v>2083</v>
      </c>
      <c r="L750" s="9" t="s">
        <v>325</v>
      </c>
      <c r="M750" s="9" t="s">
        <v>134</v>
      </c>
      <c r="N750" s="11">
        <v>22</v>
      </c>
      <c r="O750" s="12">
        <f t="shared" ca="1" si="82"/>
        <v>13.079452054794521</v>
      </c>
      <c r="P750" s="12">
        <f t="shared" ca="1" si="90"/>
        <v>35.079452054794523</v>
      </c>
      <c r="Q750" s="12" t="s">
        <v>26</v>
      </c>
      <c r="R750" s="9" t="s">
        <v>232</v>
      </c>
      <c r="S750" s="24" t="s">
        <v>28</v>
      </c>
      <c r="T750" s="9" t="s">
        <v>29</v>
      </c>
    </row>
    <row r="751" spans="1:20" ht="35.25" customHeight="1">
      <c r="A751" s="6">
        <f t="shared" si="86"/>
        <v>750</v>
      </c>
      <c r="B751" s="17" t="s">
        <v>2084</v>
      </c>
      <c r="C751" s="8" t="s">
        <v>2085</v>
      </c>
      <c r="D751" s="9" t="s">
        <v>26</v>
      </c>
      <c r="E751" s="10">
        <v>30844</v>
      </c>
      <c r="F751" s="11">
        <f t="shared" ca="1" si="92"/>
        <v>39.526027397260272</v>
      </c>
      <c r="G751" s="11">
        <f t="shared" si="93"/>
        <v>6</v>
      </c>
      <c r="H751" s="11">
        <f t="shared" si="91"/>
        <v>11</v>
      </c>
      <c r="I751" s="10">
        <v>40479</v>
      </c>
      <c r="J751" s="9" t="s">
        <v>50</v>
      </c>
      <c r="K751" s="9" t="s">
        <v>573</v>
      </c>
      <c r="L751" s="9" t="s">
        <v>325</v>
      </c>
      <c r="M751" s="9" t="s">
        <v>61</v>
      </c>
      <c r="N751" s="11">
        <v>5</v>
      </c>
      <c r="O751" s="12">
        <f t="shared" ca="1" si="82"/>
        <v>13.128767123287671</v>
      </c>
      <c r="P751" s="12">
        <f t="shared" ca="1" si="90"/>
        <v>18.128767123287673</v>
      </c>
      <c r="Q751" s="12" t="s">
        <v>68</v>
      </c>
      <c r="R751" s="9" t="s">
        <v>27</v>
      </c>
      <c r="S751" s="24" t="s">
        <v>28</v>
      </c>
      <c r="T751" s="9" t="s">
        <v>29</v>
      </c>
    </row>
    <row r="752" spans="1:20" ht="35.25" customHeight="1">
      <c r="A752" s="6">
        <f t="shared" si="86"/>
        <v>751</v>
      </c>
      <c r="B752" s="17" t="s">
        <v>2086</v>
      </c>
      <c r="C752" s="8" t="s">
        <v>2087</v>
      </c>
      <c r="D752" s="9" t="s">
        <v>26</v>
      </c>
      <c r="E752" s="10">
        <v>26060</v>
      </c>
      <c r="F752" s="11">
        <f t="shared" ca="1" si="92"/>
        <v>52.632876712328766</v>
      </c>
      <c r="G752" s="11">
        <f t="shared" si="93"/>
        <v>5</v>
      </c>
      <c r="H752" s="11">
        <f t="shared" si="91"/>
        <v>7</v>
      </c>
      <c r="I752" s="10">
        <v>40483</v>
      </c>
      <c r="J752" s="9" t="s">
        <v>32</v>
      </c>
      <c r="K752" s="9" t="s">
        <v>1921</v>
      </c>
      <c r="L752" s="9" t="s">
        <v>34</v>
      </c>
      <c r="M752" s="9" t="s">
        <v>61</v>
      </c>
      <c r="N752" s="11">
        <v>15.4</v>
      </c>
      <c r="O752" s="12">
        <f t="shared" ca="1" si="82"/>
        <v>13.117808219178082</v>
      </c>
      <c r="P752" s="12">
        <f t="shared" ca="1" si="90"/>
        <v>28.517808219178082</v>
      </c>
      <c r="Q752" s="12" t="s">
        <v>26</v>
      </c>
      <c r="R752" s="9" t="s">
        <v>95</v>
      </c>
      <c r="S752" s="24" t="s">
        <v>36</v>
      </c>
      <c r="T752" s="9" t="s">
        <v>72</v>
      </c>
    </row>
    <row r="753" spans="1:20" ht="35.25" customHeight="1">
      <c r="A753" s="6">
        <f t="shared" si="86"/>
        <v>752</v>
      </c>
      <c r="B753" s="17" t="s">
        <v>2088</v>
      </c>
      <c r="C753" s="8" t="s">
        <v>2089</v>
      </c>
      <c r="D753" s="9" t="s">
        <v>26</v>
      </c>
      <c r="E753" s="10">
        <v>31318</v>
      </c>
      <c r="F753" s="11">
        <f t="shared" ca="1" si="92"/>
        <v>38.227397260273975</v>
      </c>
      <c r="G753" s="11">
        <f t="shared" si="93"/>
        <v>9</v>
      </c>
      <c r="H753" s="11">
        <f t="shared" si="91"/>
        <v>28</v>
      </c>
      <c r="I753" s="10">
        <v>40499</v>
      </c>
      <c r="J753" s="9" t="s">
        <v>87</v>
      </c>
      <c r="K753" s="9" t="s">
        <v>1094</v>
      </c>
      <c r="L753" s="9" t="s">
        <v>213</v>
      </c>
      <c r="M753" s="9" t="s">
        <v>35</v>
      </c>
      <c r="N753" s="11">
        <v>4.5</v>
      </c>
      <c r="O753" s="12">
        <f t="shared" ref="O753:O816" ca="1" si="94">(TODAY()-I753)/365</f>
        <v>13.073972602739726</v>
      </c>
      <c r="P753" s="12">
        <f t="shared" ca="1" si="90"/>
        <v>17.573972602739726</v>
      </c>
      <c r="Q753" s="12" t="s">
        <v>26</v>
      </c>
      <c r="R753" s="9" t="s">
        <v>27</v>
      </c>
      <c r="S753" s="24" t="s">
        <v>36</v>
      </c>
      <c r="T753" s="9" t="s">
        <v>874</v>
      </c>
    </row>
    <row r="754" spans="1:20" ht="35.25" customHeight="1">
      <c r="A754" s="6">
        <f t="shared" si="86"/>
        <v>753</v>
      </c>
      <c r="B754" s="17" t="s">
        <v>2090</v>
      </c>
      <c r="C754" s="8" t="s">
        <v>2091</v>
      </c>
      <c r="D754" s="9" t="s">
        <v>26</v>
      </c>
      <c r="E754" s="10">
        <v>32620</v>
      </c>
      <c r="F754" s="11">
        <f t="shared" ca="1" si="92"/>
        <v>34.660273972602738</v>
      </c>
      <c r="G754" s="11">
        <f t="shared" si="93"/>
        <v>4</v>
      </c>
      <c r="H754" s="11">
        <f t="shared" si="91"/>
        <v>22</v>
      </c>
      <c r="I754" s="10">
        <v>40499</v>
      </c>
      <c r="J754" s="9" t="s">
        <v>226</v>
      </c>
      <c r="K754" s="9" t="s">
        <v>96</v>
      </c>
      <c r="L754" s="9" t="s">
        <v>34</v>
      </c>
      <c r="M754" s="9" t="s">
        <v>61</v>
      </c>
      <c r="N754" s="11">
        <v>0</v>
      </c>
      <c r="O754" s="12">
        <f t="shared" ca="1" si="94"/>
        <v>13.073972602739726</v>
      </c>
      <c r="P754" s="12">
        <f t="shared" ca="1" si="90"/>
        <v>13.073972602739726</v>
      </c>
      <c r="Q754" s="12" t="s">
        <v>68</v>
      </c>
      <c r="R754" s="16" t="str">
        <f>PROPER(R755)</f>
        <v>Tamil Nadu</v>
      </c>
      <c r="S754" s="24" t="s">
        <v>28</v>
      </c>
      <c r="T754" s="9" t="s">
        <v>72</v>
      </c>
    </row>
    <row r="755" spans="1:20" ht="35.25" customHeight="1">
      <c r="A755" s="6">
        <f t="shared" si="86"/>
        <v>754</v>
      </c>
      <c r="B755" s="17" t="s">
        <v>2092</v>
      </c>
      <c r="C755" s="8" t="s">
        <v>2093</v>
      </c>
      <c r="D755" s="9" t="s">
        <v>26</v>
      </c>
      <c r="E755" s="10">
        <v>31535</v>
      </c>
      <c r="F755" s="11">
        <f t="shared" ca="1" si="92"/>
        <v>37.632876712328766</v>
      </c>
      <c r="G755" s="11">
        <f t="shared" si="93"/>
        <v>5</v>
      </c>
      <c r="H755" s="11">
        <f t="shared" si="91"/>
        <v>3</v>
      </c>
      <c r="I755" s="10">
        <v>40499</v>
      </c>
      <c r="J755" s="9" t="s">
        <v>87</v>
      </c>
      <c r="K755" s="9" t="s">
        <v>166</v>
      </c>
      <c r="L755" s="9" t="s">
        <v>34</v>
      </c>
      <c r="M755" s="9" t="s">
        <v>156</v>
      </c>
      <c r="N755" s="11">
        <v>2</v>
      </c>
      <c r="O755" s="12">
        <f t="shared" ca="1" si="94"/>
        <v>13.073972602739726</v>
      </c>
      <c r="P755" s="12">
        <f t="shared" ca="1" si="90"/>
        <v>15.073972602739726</v>
      </c>
      <c r="Q755" s="12" t="s">
        <v>68</v>
      </c>
      <c r="R755" s="9" t="s">
        <v>27</v>
      </c>
      <c r="S755" s="24" t="s">
        <v>28</v>
      </c>
      <c r="T755" s="9" t="s">
        <v>29</v>
      </c>
    </row>
    <row r="756" spans="1:20" ht="35.25" customHeight="1">
      <c r="A756" s="6">
        <f t="shared" si="86"/>
        <v>755</v>
      </c>
      <c r="B756" s="17" t="s">
        <v>2094</v>
      </c>
      <c r="C756" s="8" t="s">
        <v>2095</v>
      </c>
      <c r="D756" s="9" t="s">
        <v>26</v>
      </c>
      <c r="E756" s="10">
        <v>25314</v>
      </c>
      <c r="F756" s="11">
        <f t="shared" ca="1" si="92"/>
        <v>54.676712328767124</v>
      </c>
      <c r="G756" s="11">
        <f t="shared" si="93"/>
        <v>4</v>
      </c>
      <c r="H756" s="11">
        <f t="shared" si="91"/>
        <v>21</v>
      </c>
      <c r="I756" s="10">
        <v>40500</v>
      </c>
      <c r="J756" s="9" t="s">
        <v>318</v>
      </c>
      <c r="K756" s="9" t="s">
        <v>258</v>
      </c>
      <c r="L756" s="9" t="s">
        <v>231</v>
      </c>
      <c r="M756" s="9" t="s">
        <v>156</v>
      </c>
      <c r="N756" s="11">
        <v>21</v>
      </c>
      <c r="O756" s="12">
        <f t="shared" ca="1" si="94"/>
        <v>13.07123287671233</v>
      </c>
      <c r="P756" s="12">
        <f t="shared" ca="1" si="90"/>
        <v>34.07123287671233</v>
      </c>
      <c r="Q756" s="12" t="s">
        <v>26</v>
      </c>
      <c r="R756" s="9" t="s">
        <v>27</v>
      </c>
      <c r="S756" s="24" t="s">
        <v>28</v>
      </c>
      <c r="T756" s="9" t="s">
        <v>114</v>
      </c>
    </row>
    <row r="757" spans="1:20" ht="35.25" customHeight="1">
      <c r="A757" s="6">
        <f t="shared" si="86"/>
        <v>756</v>
      </c>
      <c r="B757" s="17" t="s">
        <v>2096</v>
      </c>
      <c r="C757" s="8" t="s">
        <v>2097</v>
      </c>
      <c r="D757" s="9" t="s">
        <v>26</v>
      </c>
      <c r="E757" s="10">
        <v>31288</v>
      </c>
      <c r="F757" s="11">
        <f t="shared" ca="1" si="92"/>
        <v>38.30958904109589</v>
      </c>
      <c r="G757" s="11">
        <f t="shared" si="93"/>
        <v>8</v>
      </c>
      <c r="H757" s="11">
        <f t="shared" si="91"/>
        <v>29</v>
      </c>
      <c r="I757" s="10">
        <v>40504</v>
      </c>
      <c r="J757" s="9" t="s">
        <v>110</v>
      </c>
      <c r="K757" s="9" t="s">
        <v>63</v>
      </c>
      <c r="L757" s="9" t="s">
        <v>34</v>
      </c>
      <c r="M757" s="9" t="s">
        <v>156</v>
      </c>
      <c r="N757" s="11">
        <v>4</v>
      </c>
      <c r="O757" s="12">
        <f t="shared" ca="1" si="94"/>
        <v>13.06027397260274</v>
      </c>
      <c r="P757" s="12">
        <f t="shared" ca="1" si="90"/>
        <v>17.06027397260274</v>
      </c>
      <c r="Q757" s="12" t="s">
        <v>68</v>
      </c>
      <c r="R757" s="9" t="s">
        <v>27</v>
      </c>
      <c r="S757" s="24" t="s">
        <v>28</v>
      </c>
      <c r="T757" s="9" t="s">
        <v>90</v>
      </c>
    </row>
    <row r="758" spans="1:20" ht="35.25" customHeight="1">
      <c r="A758" s="6">
        <f t="shared" si="86"/>
        <v>757</v>
      </c>
      <c r="B758" s="17" t="s">
        <v>2098</v>
      </c>
      <c r="C758" s="8" t="s">
        <v>2099</v>
      </c>
      <c r="D758" s="9" t="s">
        <v>26</v>
      </c>
      <c r="E758" s="10">
        <v>30106</v>
      </c>
      <c r="F758" s="11">
        <f t="shared" ca="1" si="92"/>
        <v>41.547945205479451</v>
      </c>
      <c r="G758" s="11">
        <f t="shared" si="93"/>
        <v>6</v>
      </c>
      <c r="H758" s="11">
        <f t="shared" si="91"/>
        <v>4</v>
      </c>
      <c r="I758" s="10">
        <v>40490</v>
      </c>
      <c r="J758" s="9" t="s">
        <v>50</v>
      </c>
      <c r="K758" s="9" t="s">
        <v>2100</v>
      </c>
      <c r="L758" s="24" t="s">
        <v>490</v>
      </c>
      <c r="M758" s="9" t="s">
        <v>491</v>
      </c>
      <c r="N758" s="19">
        <v>5.5</v>
      </c>
      <c r="O758" s="12">
        <f t="shared" ca="1" si="94"/>
        <v>13.098630136986301</v>
      </c>
      <c r="P758" s="12">
        <f t="shared" ca="1" si="90"/>
        <v>18.598630136986301</v>
      </c>
      <c r="Q758" s="12"/>
      <c r="R758" s="9" t="s">
        <v>347</v>
      </c>
      <c r="S758" s="24" t="s">
        <v>28</v>
      </c>
      <c r="T758" s="9" t="s">
        <v>492</v>
      </c>
    </row>
    <row r="759" spans="1:20" ht="35.25" customHeight="1">
      <c r="A759" s="6">
        <f t="shared" si="86"/>
        <v>758</v>
      </c>
      <c r="B759" s="17" t="s">
        <v>2101</v>
      </c>
      <c r="C759" s="8" t="s">
        <v>2102</v>
      </c>
      <c r="D759" s="9" t="s">
        <v>26</v>
      </c>
      <c r="E759" s="10">
        <v>32126</v>
      </c>
      <c r="F759" s="11">
        <f t="shared" ca="1" si="92"/>
        <v>36.013698630136986</v>
      </c>
      <c r="G759" s="11">
        <f t="shared" si="93"/>
        <v>12</v>
      </c>
      <c r="H759" s="11">
        <f t="shared" si="91"/>
        <v>15</v>
      </c>
      <c r="I759" s="10">
        <v>40505</v>
      </c>
      <c r="J759" s="9" t="s">
        <v>87</v>
      </c>
      <c r="K759" s="9" t="s">
        <v>135</v>
      </c>
      <c r="L759" s="24" t="s">
        <v>34</v>
      </c>
      <c r="M759" s="9" t="s">
        <v>491</v>
      </c>
      <c r="N759" s="19">
        <v>4</v>
      </c>
      <c r="O759" s="12">
        <f t="shared" ca="1" si="94"/>
        <v>13.057534246575342</v>
      </c>
      <c r="P759" s="12">
        <f t="shared" ca="1" si="90"/>
        <v>17.057534246575344</v>
      </c>
      <c r="Q759" s="12"/>
      <c r="R759" s="9" t="s">
        <v>347</v>
      </c>
      <c r="S759" s="24" t="s">
        <v>28</v>
      </c>
      <c r="T759" s="9" t="s">
        <v>492</v>
      </c>
    </row>
    <row r="760" spans="1:20" ht="35.25" customHeight="1">
      <c r="A760" s="6">
        <f t="shared" si="86"/>
        <v>759</v>
      </c>
      <c r="B760" s="17" t="s">
        <v>2103</v>
      </c>
      <c r="C760" s="8" t="s">
        <v>2104</v>
      </c>
      <c r="D760" s="9" t="s">
        <v>26</v>
      </c>
      <c r="E760" s="10">
        <v>32141</v>
      </c>
      <c r="F760" s="11">
        <f t="shared" ca="1" si="92"/>
        <v>35.972602739726028</v>
      </c>
      <c r="G760" s="11">
        <f t="shared" si="93"/>
        <v>12</v>
      </c>
      <c r="H760" s="11">
        <f t="shared" si="91"/>
        <v>30</v>
      </c>
      <c r="I760" s="10">
        <v>40506</v>
      </c>
      <c r="J760" s="9" t="s">
        <v>226</v>
      </c>
      <c r="K760" s="9" t="s">
        <v>1207</v>
      </c>
      <c r="L760" s="9" t="s">
        <v>34</v>
      </c>
      <c r="M760" s="9" t="s">
        <v>156</v>
      </c>
      <c r="N760" s="11">
        <v>0</v>
      </c>
      <c r="O760" s="12">
        <f t="shared" ca="1" si="94"/>
        <v>13.054794520547945</v>
      </c>
      <c r="P760" s="12">
        <f t="shared" ca="1" si="90"/>
        <v>13.054794520547945</v>
      </c>
      <c r="Q760" s="12" t="s">
        <v>68</v>
      </c>
      <c r="R760" s="9" t="s">
        <v>27</v>
      </c>
      <c r="S760" s="24" t="s">
        <v>28</v>
      </c>
      <c r="T760" s="9" t="s">
        <v>186</v>
      </c>
    </row>
    <row r="761" spans="1:20" ht="35.25" customHeight="1">
      <c r="A761" s="6">
        <f t="shared" si="86"/>
        <v>760</v>
      </c>
      <c r="B761" s="17" t="s">
        <v>2105</v>
      </c>
      <c r="C761" s="8" t="s">
        <v>2106</v>
      </c>
      <c r="D761" s="9" t="s">
        <v>26</v>
      </c>
      <c r="E761" s="10">
        <v>28567</v>
      </c>
      <c r="F761" s="11">
        <f t="shared" ca="1" si="92"/>
        <v>45.764383561643832</v>
      </c>
      <c r="G761" s="11">
        <f t="shared" si="93"/>
        <v>3</v>
      </c>
      <c r="H761" s="11">
        <f t="shared" si="91"/>
        <v>18</v>
      </c>
      <c r="I761" s="10">
        <v>40504</v>
      </c>
      <c r="J761" s="9" t="s">
        <v>110</v>
      </c>
      <c r="K761" s="9" t="s">
        <v>278</v>
      </c>
      <c r="L761" s="9" t="s">
        <v>34</v>
      </c>
      <c r="M761" s="9" t="s">
        <v>35</v>
      </c>
      <c r="N761" s="11">
        <v>10</v>
      </c>
      <c r="O761" s="12">
        <f t="shared" ca="1" si="94"/>
        <v>13.06027397260274</v>
      </c>
      <c r="P761" s="12">
        <f t="shared" ca="1" si="90"/>
        <v>23.06027397260274</v>
      </c>
      <c r="Q761" s="12" t="s">
        <v>26</v>
      </c>
      <c r="R761" s="9" t="s">
        <v>27</v>
      </c>
      <c r="S761" s="24" t="s">
        <v>36</v>
      </c>
      <c r="T761" s="9" t="s">
        <v>72</v>
      </c>
    </row>
    <row r="762" spans="1:20" ht="35.25" customHeight="1">
      <c r="A762" s="6">
        <f t="shared" si="86"/>
        <v>761</v>
      </c>
      <c r="B762" s="17" t="s">
        <v>2107</v>
      </c>
      <c r="C762" s="8" t="s">
        <v>2108</v>
      </c>
      <c r="D762" s="9" t="s">
        <v>26</v>
      </c>
      <c r="E762" s="10">
        <v>30439</v>
      </c>
      <c r="F762" s="11">
        <f t="shared" ca="1" si="92"/>
        <v>40.635616438356166</v>
      </c>
      <c r="G762" s="11">
        <f t="shared" si="93"/>
        <v>5</v>
      </c>
      <c r="H762" s="11">
        <f t="shared" si="91"/>
        <v>3</v>
      </c>
      <c r="I762" s="10">
        <v>40504</v>
      </c>
      <c r="J762" s="9" t="s">
        <v>87</v>
      </c>
      <c r="K762" s="9" t="s">
        <v>670</v>
      </c>
      <c r="L762" s="9" t="s">
        <v>122</v>
      </c>
      <c r="M762" s="9" t="s">
        <v>35</v>
      </c>
      <c r="N762" s="11">
        <v>3.5</v>
      </c>
      <c r="O762" s="12">
        <f t="shared" ca="1" si="94"/>
        <v>13.06027397260274</v>
      </c>
      <c r="P762" s="12">
        <f t="shared" ca="1" si="90"/>
        <v>16.56027397260274</v>
      </c>
      <c r="Q762" s="12" t="s">
        <v>68</v>
      </c>
      <c r="R762" s="9" t="s">
        <v>27</v>
      </c>
      <c r="S762" s="24" t="s">
        <v>36</v>
      </c>
      <c r="T762" s="9" t="s">
        <v>90</v>
      </c>
    </row>
    <row r="763" spans="1:20" ht="35.25" customHeight="1">
      <c r="A763" s="6">
        <f t="shared" si="86"/>
        <v>762</v>
      </c>
      <c r="B763" s="17" t="s">
        <v>2109</v>
      </c>
      <c r="C763" s="8" t="s">
        <v>2110</v>
      </c>
      <c r="D763" s="9" t="s">
        <v>26</v>
      </c>
      <c r="E763" s="10">
        <v>31213</v>
      </c>
      <c r="F763" s="11">
        <f t="shared" ca="1" si="92"/>
        <v>38.515068493150686</v>
      </c>
      <c r="G763" s="11">
        <f t="shared" si="93"/>
        <v>6</v>
      </c>
      <c r="H763" s="11">
        <f t="shared" si="91"/>
        <v>15</v>
      </c>
      <c r="I763" s="10">
        <v>40507</v>
      </c>
      <c r="J763" s="9" t="s">
        <v>87</v>
      </c>
      <c r="K763" s="9" t="s">
        <v>1226</v>
      </c>
      <c r="L763" s="9" t="s">
        <v>34</v>
      </c>
      <c r="M763" s="9" t="s">
        <v>134</v>
      </c>
      <c r="N763" s="11">
        <v>5</v>
      </c>
      <c r="O763" s="12">
        <f t="shared" ca="1" si="94"/>
        <v>13.052054794520547</v>
      </c>
      <c r="P763" s="12">
        <f t="shared" ca="1" si="90"/>
        <v>18.052054794520547</v>
      </c>
      <c r="Q763" s="12" t="s">
        <v>68</v>
      </c>
      <c r="R763" s="16" t="s">
        <v>27</v>
      </c>
      <c r="S763" s="24" t="s">
        <v>36</v>
      </c>
      <c r="T763" s="9" t="s">
        <v>137</v>
      </c>
    </row>
    <row r="764" spans="1:20" ht="35.25" customHeight="1">
      <c r="A764" s="6">
        <f t="shared" si="86"/>
        <v>763</v>
      </c>
      <c r="B764" s="17" t="s">
        <v>2111</v>
      </c>
      <c r="C764" s="8" t="s">
        <v>2112</v>
      </c>
      <c r="D764" s="9" t="s">
        <v>26</v>
      </c>
      <c r="E764" s="10">
        <v>28981</v>
      </c>
      <c r="F764" s="11">
        <f t="shared" ca="1" si="92"/>
        <v>44.630136986301373</v>
      </c>
      <c r="G764" s="11">
        <f t="shared" si="93"/>
        <v>5</v>
      </c>
      <c r="H764" s="11">
        <f t="shared" si="91"/>
        <v>6</v>
      </c>
      <c r="I764" s="10">
        <v>40513</v>
      </c>
      <c r="J764" s="9" t="s">
        <v>226</v>
      </c>
      <c r="K764" s="9" t="s">
        <v>2113</v>
      </c>
      <c r="L764" s="9" t="s">
        <v>2114</v>
      </c>
      <c r="M764" s="9" t="s">
        <v>25</v>
      </c>
      <c r="N764" s="11">
        <v>10</v>
      </c>
      <c r="O764" s="12">
        <f t="shared" ca="1" si="94"/>
        <v>13.035616438356165</v>
      </c>
      <c r="P764" s="12">
        <f t="shared" ca="1" si="90"/>
        <v>23.035616438356165</v>
      </c>
      <c r="Q764" s="12" t="s">
        <v>26</v>
      </c>
      <c r="R764" s="9" t="s">
        <v>27</v>
      </c>
      <c r="S764" s="24" t="s">
        <v>28</v>
      </c>
      <c r="T764" s="9" t="s">
        <v>29</v>
      </c>
    </row>
    <row r="765" spans="1:20" ht="35.25" customHeight="1">
      <c r="A765" s="6">
        <f t="shared" si="86"/>
        <v>764</v>
      </c>
      <c r="B765" s="17" t="s">
        <v>2115</v>
      </c>
      <c r="C765" s="8" t="s">
        <v>2116</v>
      </c>
      <c r="D765" s="9" t="s">
        <v>26</v>
      </c>
      <c r="E765" s="10">
        <v>31147</v>
      </c>
      <c r="F765" s="11">
        <f t="shared" ca="1" si="92"/>
        <v>38.695890410958903</v>
      </c>
      <c r="G765" s="11">
        <f t="shared" si="93"/>
        <v>4</v>
      </c>
      <c r="H765" s="11">
        <f t="shared" si="91"/>
        <v>10</v>
      </c>
      <c r="I765" s="10">
        <v>40511</v>
      </c>
      <c r="J765" s="9" t="s">
        <v>87</v>
      </c>
      <c r="K765" s="9" t="s">
        <v>2117</v>
      </c>
      <c r="L765" s="9" t="s">
        <v>213</v>
      </c>
      <c r="M765" s="9" t="s">
        <v>35</v>
      </c>
      <c r="N765" s="11">
        <v>4.3835616438356162</v>
      </c>
      <c r="O765" s="12">
        <f t="shared" ca="1" si="94"/>
        <v>13.04109589041096</v>
      </c>
      <c r="P765" s="12">
        <f t="shared" ca="1" si="90"/>
        <v>17.424657534246577</v>
      </c>
      <c r="Q765" s="12" t="s">
        <v>68</v>
      </c>
      <c r="R765" s="9" t="s">
        <v>27</v>
      </c>
      <c r="S765" s="24" t="s">
        <v>36</v>
      </c>
      <c r="T765" s="9" t="s">
        <v>72</v>
      </c>
    </row>
    <row r="766" spans="1:20" ht="35.25" customHeight="1">
      <c r="A766" s="6">
        <f t="shared" si="86"/>
        <v>765</v>
      </c>
      <c r="B766" s="17" t="s">
        <v>2118</v>
      </c>
      <c r="C766" s="8" t="s">
        <v>2119</v>
      </c>
      <c r="D766" s="9" t="s">
        <v>26</v>
      </c>
      <c r="E766" s="10">
        <v>25728</v>
      </c>
      <c r="F766" s="11">
        <f t="shared" ca="1" si="92"/>
        <v>53.542465753424658</v>
      </c>
      <c r="G766" s="11">
        <f t="shared" si="93"/>
        <v>6</v>
      </c>
      <c r="H766" s="11">
        <f t="shared" si="91"/>
        <v>9</v>
      </c>
      <c r="I766" s="10">
        <v>40511</v>
      </c>
      <c r="J766" s="9" t="s">
        <v>32</v>
      </c>
      <c r="K766" s="9" t="s">
        <v>33</v>
      </c>
      <c r="L766" s="9" t="s">
        <v>34</v>
      </c>
      <c r="M766" s="9" t="s">
        <v>35</v>
      </c>
      <c r="N766" s="11">
        <v>22.427397260273974</v>
      </c>
      <c r="O766" s="12">
        <f t="shared" ca="1" si="94"/>
        <v>13.04109589041096</v>
      </c>
      <c r="P766" s="12">
        <f t="shared" ca="1" si="90"/>
        <v>35.468493150684935</v>
      </c>
      <c r="Q766" s="12" t="s">
        <v>26</v>
      </c>
      <c r="R766" s="9" t="s">
        <v>27</v>
      </c>
      <c r="S766" s="24" t="s">
        <v>36</v>
      </c>
      <c r="T766" s="9" t="s">
        <v>72</v>
      </c>
    </row>
    <row r="767" spans="1:20" ht="35.25" customHeight="1">
      <c r="A767" s="6">
        <f t="shared" si="86"/>
        <v>766</v>
      </c>
      <c r="B767" s="17" t="s">
        <v>2120</v>
      </c>
      <c r="C767" s="8" t="s">
        <v>2121</v>
      </c>
      <c r="D767" s="9" t="s">
        <v>26</v>
      </c>
      <c r="E767" s="10">
        <v>24484</v>
      </c>
      <c r="F767" s="11">
        <f t="shared" ca="1" si="92"/>
        <v>56.950684931506849</v>
      </c>
      <c r="G767" s="11">
        <f t="shared" si="93"/>
        <v>1</v>
      </c>
      <c r="H767" s="11">
        <f t="shared" si="91"/>
        <v>12</v>
      </c>
      <c r="I767" s="10">
        <v>40518</v>
      </c>
      <c r="J767" s="9" t="s">
        <v>58</v>
      </c>
      <c r="K767" s="9" t="s">
        <v>2122</v>
      </c>
      <c r="L767" s="9" t="s">
        <v>55</v>
      </c>
      <c r="M767" s="9" t="s">
        <v>35</v>
      </c>
      <c r="N767" s="11">
        <v>21.857534246575341</v>
      </c>
      <c r="O767" s="12">
        <f t="shared" ca="1" si="94"/>
        <v>13.021917808219179</v>
      </c>
      <c r="P767" s="12">
        <f t="shared" ca="1" si="90"/>
        <v>34.87945205479452</v>
      </c>
      <c r="Q767" s="12" t="s">
        <v>26</v>
      </c>
      <c r="R767" s="9" t="s">
        <v>27</v>
      </c>
      <c r="S767" s="24" t="s">
        <v>28</v>
      </c>
      <c r="T767" s="9" t="s">
        <v>29</v>
      </c>
    </row>
    <row r="768" spans="1:20" ht="35.25" customHeight="1">
      <c r="A768" s="6">
        <f t="shared" si="86"/>
        <v>767</v>
      </c>
      <c r="B768" s="17" t="s">
        <v>2123</v>
      </c>
      <c r="C768" s="8" t="s">
        <v>2124</v>
      </c>
      <c r="D768" s="9" t="s">
        <v>26</v>
      </c>
      <c r="E768" s="10">
        <v>31644</v>
      </c>
      <c r="F768" s="11">
        <f t="shared" ca="1" si="92"/>
        <v>37.334246575342469</v>
      </c>
      <c r="G768" s="11">
        <f t="shared" si="93"/>
        <v>8</v>
      </c>
      <c r="H768" s="11">
        <f t="shared" si="91"/>
        <v>20</v>
      </c>
      <c r="I768" s="10">
        <v>40518</v>
      </c>
      <c r="J768" s="9" t="s">
        <v>45</v>
      </c>
      <c r="K768" s="9" t="s">
        <v>477</v>
      </c>
      <c r="L768" s="9" t="s">
        <v>34</v>
      </c>
      <c r="M768" s="9" t="s">
        <v>35</v>
      </c>
      <c r="N768" s="11">
        <v>3.3506849315068492</v>
      </c>
      <c r="O768" s="12">
        <f t="shared" ca="1" si="94"/>
        <v>13.021917808219179</v>
      </c>
      <c r="P768" s="12">
        <f t="shared" ca="1" si="90"/>
        <v>16.372602739726027</v>
      </c>
      <c r="Q768" s="12" t="s">
        <v>68</v>
      </c>
      <c r="R768" s="9" t="s">
        <v>27</v>
      </c>
      <c r="S768" s="24" t="s">
        <v>36</v>
      </c>
      <c r="T768" s="9" t="s">
        <v>37</v>
      </c>
    </row>
    <row r="769" spans="1:20" ht="35.25" customHeight="1">
      <c r="A769" s="6">
        <f t="shared" si="86"/>
        <v>768</v>
      </c>
      <c r="B769" s="17" t="s">
        <v>2125</v>
      </c>
      <c r="C769" s="8" t="s">
        <v>2126</v>
      </c>
      <c r="D769" s="9" t="s">
        <v>26</v>
      </c>
      <c r="E769" s="10">
        <v>32982</v>
      </c>
      <c r="F769" s="11">
        <f t="shared" ca="1" si="92"/>
        <v>33.668493150684931</v>
      </c>
      <c r="G769" s="11">
        <f t="shared" si="93"/>
        <v>4</v>
      </c>
      <c r="H769" s="11">
        <f t="shared" si="91"/>
        <v>19</v>
      </c>
      <c r="I769" s="10">
        <v>40518</v>
      </c>
      <c r="J769" s="9" t="s">
        <v>226</v>
      </c>
      <c r="K769" s="9" t="s">
        <v>341</v>
      </c>
      <c r="L769" s="9" t="s">
        <v>34</v>
      </c>
      <c r="M769" s="9" t="s">
        <v>35</v>
      </c>
      <c r="N769" s="11">
        <v>1.5342465753424657</v>
      </c>
      <c r="O769" s="12">
        <f t="shared" ca="1" si="94"/>
        <v>13.021917808219179</v>
      </c>
      <c r="P769" s="12">
        <f t="shared" ca="1" si="90"/>
        <v>14.556164383561644</v>
      </c>
      <c r="Q769" s="12" t="s">
        <v>68</v>
      </c>
      <c r="R769" s="9" t="s">
        <v>27</v>
      </c>
      <c r="S769" s="24" t="s">
        <v>36</v>
      </c>
      <c r="T769" s="9" t="s">
        <v>1544</v>
      </c>
    </row>
    <row r="770" spans="1:20" ht="35.25" customHeight="1">
      <c r="A770" s="6">
        <f t="shared" si="86"/>
        <v>769</v>
      </c>
      <c r="B770" s="17" t="s">
        <v>2127</v>
      </c>
      <c r="C770" s="8" t="s">
        <v>2128</v>
      </c>
      <c r="D770" s="9" t="s">
        <v>26</v>
      </c>
      <c r="E770" s="10">
        <v>30708</v>
      </c>
      <c r="F770" s="11">
        <f t="shared" ca="1" si="92"/>
        <v>39.898630136986299</v>
      </c>
      <c r="G770" s="11">
        <f t="shared" si="93"/>
        <v>1</v>
      </c>
      <c r="H770" s="11">
        <f t="shared" si="91"/>
        <v>27</v>
      </c>
      <c r="I770" s="10">
        <v>40518</v>
      </c>
      <c r="J770" s="9" t="s">
        <v>45</v>
      </c>
      <c r="K770" s="9" t="s">
        <v>477</v>
      </c>
      <c r="L770" s="9" t="s">
        <v>34</v>
      </c>
      <c r="M770" s="9" t="s">
        <v>35</v>
      </c>
      <c r="N770" s="11">
        <v>3.3315068493150686</v>
      </c>
      <c r="O770" s="12">
        <f t="shared" ca="1" si="94"/>
        <v>13.021917808219179</v>
      </c>
      <c r="P770" s="12">
        <f t="shared" ca="1" si="90"/>
        <v>16.353424657534248</v>
      </c>
      <c r="Q770" s="12" t="s">
        <v>68</v>
      </c>
      <c r="R770" s="9" t="s">
        <v>27</v>
      </c>
      <c r="S770" s="24" t="s">
        <v>36</v>
      </c>
      <c r="T770" s="9" t="s">
        <v>279</v>
      </c>
    </row>
    <row r="771" spans="1:20" ht="35.25" customHeight="1">
      <c r="A771" s="6">
        <f t="shared" si="86"/>
        <v>770</v>
      </c>
      <c r="B771" s="17" t="s">
        <v>2129</v>
      </c>
      <c r="C771" s="8" t="s">
        <v>2130</v>
      </c>
      <c r="D771" s="9" t="s">
        <v>26</v>
      </c>
      <c r="E771" s="10">
        <v>28661</v>
      </c>
      <c r="F771" s="11">
        <f t="shared" ca="1" si="92"/>
        <v>45.506849315068493</v>
      </c>
      <c r="G771" s="11">
        <f t="shared" si="93"/>
        <v>6</v>
      </c>
      <c r="H771" s="11">
        <f t="shared" si="91"/>
        <v>20</v>
      </c>
      <c r="I771" s="10">
        <v>40518</v>
      </c>
      <c r="J771" s="9" t="s">
        <v>110</v>
      </c>
      <c r="K771" s="9" t="s">
        <v>495</v>
      </c>
      <c r="L771" s="9" t="s">
        <v>208</v>
      </c>
      <c r="M771" s="9" t="s">
        <v>35</v>
      </c>
      <c r="N771" s="11">
        <v>5.7287671232876711</v>
      </c>
      <c r="O771" s="12">
        <f t="shared" ca="1" si="94"/>
        <v>13.021917808219179</v>
      </c>
      <c r="P771" s="12">
        <f t="shared" ca="1" si="90"/>
        <v>18.75068493150685</v>
      </c>
      <c r="Q771" s="12" t="s">
        <v>26</v>
      </c>
      <c r="R771" s="9" t="s">
        <v>27</v>
      </c>
      <c r="S771" s="24" t="s">
        <v>36</v>
      </c>
      <c r="T771" s="9" t="s">
        <v>874</v>
      </c>
    </row>
    <row r="772" spans="1:20" ht="35.25" customHeight="1">
      <c r="A772" s="6">
        <f t="shared" ref="A772:A835" si="95">+A771+1</f>
        <v>771</v>
      </c>
      <c r="B772" s="17" t="s">
        <v>2131</v>
      </c>
      <c r="C772" s="8" t="s">
        <v>2132</v>
      </c>
      <c r="D772" s="9" t="s">
        <v>26</v>
      </c>
      <c r="E772" s="10">
        <v>30704</v>
      </c>
      <c r="F772" s="11">
        <f t="shared" ca="1" si="92"/>
        <v>39.909589041095892</v>
      </c>
      <c r="G772" s="11">
        <f t="shared" si="93"/>
        <v>1</v>
      </c>
      <c r="H772" s="11">
        <f t="shared" si="91"/>
        <v>23</v>
      </c>
      <c r="I772" s="10">
        <v>40520</v>
      </c>
      <c r="J772" s="9" t="s">
        <v>87</v>
      </c>
      <c r="K772" s="9" t="s">
        <v>1204</v>
      </c>
      <c r="L772" s="9" t="s">
        <v>208</v>
      </c>
      <c r="M772" s="9" t="s">
        <v>35</v>
      </c>
      <c r="N772" s="11">
        <v>5.2712328767123289</v>
      </c>
      <c r="O772" s="12">
        <f t="shared" ca="1" si="94"/>
        <v>13.016438356164384</v>
      </c>
      <c r="P772" s="12">
        <f t="shared" ca="1" si="90"/>
        <v>18.287671232876711</v>
      </c>
      <c r="Q772" s="12" t="s">
        <v>26</v>
      </c>
      <c r="R772" s="9" t="s">
        <v>27</v>
      </c>
      <c r="S772" s="24" t="s">
        <v>28</v>
      </c>
      <c r="T772" s="9" t="s">
        <v>29</v>
      </c>
    </row>
    <row r="773" spans="1:20" ht="35.25" customHeight="1">
      <c r="A773" s="6">
        <f t="shared" si="95"/>
        <v>772</v>
      </c>
      <c r="B773" s="17" t="s">
        <v>2133</v>
      </c>
      <c r="C773" s="8" t="s">
        <v>2134</v>
      </c>
      <c r="D773" s="9" t="s">
        <v>26</v>
      </c>
      <c r="E773" s="10">
        <v>28365</v>
      </c>
      <c r="F773" s="11">
        <f t="shared" ca="1" si="92"/>
        <v>46.317808219178083</v>
      </c>
      <c r="G773" s="11">
        <f t="shared" si="93"/>
        <v>8</v>
      </c>
      <c r="H773" s="11">
        <f t="shared" si="91"/>
        <v>28</v>
      </c>
      <c r="I773" s="10">
        <v>40514</v>
      </c>
      <c r="J773" s="9" t="s">
        <v>110</v>
      </c>
      <c r="K773" s="9" t="s">
        <v>495</v>
      </c>
      <c r="L773" s="9" t="s">
        <v>147</v>
      </c>
      <c r="M773" s="9" t="s">
        <v>25</v>
      </c>
      <c r="N773" s="11">
        <v>10.3</v>
      </c>
      <c r="O773" s="12">
        <f t="shared" ca="1" si="94"/>
        <v>13.032876712328767</v>
      </c>
      <c r="P773" s="12">
        <f t="shared" ca="1" si="90"/>
        <v>23.332876712328769</v>
      </c>
      <c r="Q773" s="12" t="s">
        <v>26</v>
      </c>
      <c r="R773" s="9" t="s">
        <v>27</v>
      </c>
      <c r="S773" s="24" t="s">
        <v>28</v>
      </c>
      <c r="T773" s="9" t="s">
        <v>29</v>
      </c>
    </row>
    <row r="774" spans="1:20" ht="35.25" customHeight="1">
      <c r="A774" s="6">
        <f t="shared" si="95"/>
        <v>773</v>
      </c>
      <c r="B774" s="17" t="s">
        <v>2135</v>
      </c>
      <c r="C774" s="8" t="s">
        <v>2136</v>
      </c>
      <c r="D774" s="9" t="s">
        <v>26</v>
      </c>
      <c r="E774" s="10">
        <v>27181</v>
      </c>
      <c r="F774" s="11">
        <f t="shared" ca="1" si="92"/>
        <v>49.561643835616437</v>
      </c>
      <c r="G774" s="11">
        <f t="shared" si="93"/>
        <v>6</v>
      </c>
      <c r="H774" s="11">
        <f t="shared" si="91"/>
        <v>1</v>
      </c>
      <c r="I774" s="10">
        <v>40511</v>
      </c>
      <c r="J774" s="9" t="s">
        <v>87</v>
      </c>
      <c r="K774" s="9" t="s">
        <v>418</v>
      </c>
      <c r="L774" s="24" t="s">
        <v>490</v>
      </c>
      <c r="M774" s="9" t="s">
        <v>491</v>
      </c>
      <c r="N774" s="19">
        <v>7</v>
      </c>
      <c r="O774" s="12">
        <f t="shared" ca="1" si="94"/>
        <v>13.04109589041096</v>
      </c>
      <c r="P774" s="12">
        <f t="shared" ca="1" si="90"/>
        <v>20.041095890410958</v>
      </c>
      <c r="Q774" s="12" t="s">
        <v>26</v>
      </c>
      <c r="R774" s="9" t="s">
        <v>197</v>
      </c>
      <c r="S774" s="24" t="s">
        <v>28</v>
      </c>
      <c r="T774" s="9" t="s">
        <v>492</v>
      </c>
    </row>
    <row r="775" spans="1:20" ht="35.25" customHeight="1">
      <c r="A775" s="6">
        <f t="shared" si="95"/>
        <v>774</v>
      </c>
      <c r="B775" s="17" t="s">
        <v>2137</v>
      </c>
      <c r="C775" s="8" t="s">
        <v>2138</v>
      </c>
      <c r="D775" s="9" t="s">
        <v>26</v>
      </c>
      <c r="E775" s="10">
        <v>24620</v>
      </c>
      <c r="F775" s="11">
        <f t="shared" ca="1" si="92"/>
        <v>56.578082191780823</v>
      </c>
      <c r="G775" s="11">
        <f t="shared" si="93"/>
        <v>5</v>
      </c>
      <c r="H775" s="11">
        <f t="shared" si="91"/>
        <v>28</v>
      </c>
      <c r="I775" s="10">
        <v>40515</v>
      </c>
      <c r="J775" s="9" t="s">
        <v>367</v>
      </c>
      <c r="K775" s="9" t="s">
        <v>2139</v>
      </c>
      <c r="L775" s="9" t="s">
        <v>34</v>
      </c>
      <c r="M775" s="9" t="s">
        <v>61</v>
      </c>
      <c r="N775" s="11">
        <v>25.5</v>
      </c>
      <c r="O775" s="12">
        <f t="shared" ca="1" si="94"/>
        <v>13.03013698630137</v>
      </c>
      <c r="P775" s="12">
        <f t="shared" ca="1" si="90"/>
        <v>38.530136986301372</v>
      </c>
      <c r="Q775" s="12" t="s">
        <v>26</v>
      </c>
      <c r="R775" s="9" t="s">
        <v>627</v>
      </c>
      <c r="S775" s="24" t="s">
        <v>28</v>
      </c>
      <c r="T775" s="9" t="s">
        <v>29</v>
      </c>
    </row>
    <row r="776" spans="1:20" ht="35.25" customHeight="1">
      <c r="A776" s="6">
        <f t="shared" si="95"/>
        <v>775</v>
      </c>
      <c r="B776" s="17" t="s">
        <v>2140</v>
      </c>
      <c r="C776" s="8" t="s">
        <v>2141</v>
      </c>
      <c r="D776" s="9" t="s">
        <v>26</v>
      </c>
      <c r="E776" s="10">
        <v>26579</v>
      </c>
      <c r="F776" s="11">
        <f t="shared" ca="1" si="92"/>
        <v>51.210958904109589</v>
      </c>
      <c r="G776" s="11">
        <f t="shared" si="93"/>
        <v>10</v>
      </c>
      <c r="H776" s="11">
        <f t="shared" si="91"/>
        <v>7</v>
      </c>
      <c r="I776" s="10">
        <v>40525</v>
      </c>
      <c r="J776" s="9" t="s">
        <v>110</v>
      </c>
      <c r="K776" s="9" t="s">
        <v>2142</v>
      </c>
      <c r="L776" s="9" t="s">
        <v>377</v>
      </c>
      <c r="M776" s="9" t="s">
        <v>35</v>
      </c>
      <c r="N776" s="11">
        <v>7.6</v>
      </c>
      <c r="O776" s="12">
        <f t="shared" ca="1" si="94"/>
        <v>13.002739726027396</v>
      </c>
      <c r="P776" s="12">
        <f t="shared" ca="1" si="90"/>
        <v>20.602739726027394</v>
      </c>
      <c r="Q776" s="12" t="s">
        <v>26</v>
      </c>
      <c r="R776" s="9" t="s">
        <v>27</v>
      </c>
      <c r="S776" s="24" t="s">
        <v>28</v>
      </c>
      <c r="T776" s="9" t="s">
        <v>29</v>
      </c>
    </row>
    <row r="777" spans="1:20" ht="35.25" customHeight="1">
      <c r="A777" s="6">
        <f t="shared" si="95"/>
        <v>776</v>
      </c>
      <c r="B777" s="17" t="s">
        <v>2143</v>
      </c>
      <c r="C777" s="8" t="s">
        <v>2144</v>
      </c>
      <c r="D777" s="9" t="s">
        <v>26</v>
      </c>
      <c r="E777" s="10">
        <v>31629</v>
      </c>
      <c r="F777" s="11">
        <f t="shared" ca="1" si="92"/>
        <v>37.375342465753427</v>
      </c>
      <c r="G777" s="11">
        <f t="shared" si="93"/>
        <v>8</v>
      </c>
      <c r="H777" s="11">
        <f t="shared" si="91"/>
        <v>5</v>
      </c>
      <c r="I777" s="10">
        <v>40518</v>
      </c>
      <c r="J777" s="9" t="s">
        <v>87</v>
      </c>
      <c r="K777" s="9" t="s">
        <v>2145</v>
      </c>
      <c r="L777" s="9" t="s">
        <v>263</v>
      </c>
      <c r="M777" s="9" t="s">
        <v>25</v>
      </c>
      <c r="N777" s="11">
        <v>1.6</v>
      </c>
      <c r="O777" s="12">
        <f t="shared" ca="1" si="94"/>
        <v>13.021917808219179</v>
      </c>
      <c r="P777" s="12">
        <f t="shared" ca="1" si="90"/>
        <v>14.621917808219179</v>
      </c>
      <c r="Q777" s="12" t="s">
        <v>68</v>
      </c>
      <c r="R777" s="9" t="s">
        <v>27</v>
      </c>
      <c r="S777" s="24" t="s">
        <v>28</v>
      </c>
      <c r="T777" s="9" t="s">
        <v>29</v>
      </c>
    </row>
    <row r="778" spans="1:20" ht="35.25" customHeight="1">
      <c r="A778" s="6">
        <f t="shared" si="95"/>
        <v>777</v>
      </c>
      <c r="B778" s="17" t="s">
        <v>2146</v>
      </c>
      <c r="C778" s="8" t="s">
        <v>2147</v>
      </c>
      <c r="D778" s="9" t="s">
        <v>26</v>
      </c>
      <c r="E778" s="10">
        <v>24818</v>
      </c>
      <c r="F778" s="11">
        <f t="shared" ca="1" si="92"/>
        <v>56.035616438356165</v>
      </c>
      <c r="G778" s="11">
        <f t="shared" si="93"/>
        <v>12</v>
      </c>
      <c r="H778" s="11">
        <f t="shared" si="91"/>
        <v>12</v>
      </c>
      <c r="I778" s="10">
        <v>40513</v>
      </c>
      <c r="J778" s="9" t="s">
        <v>140</v>
      </c>
      <c r="K778" s="9" t="s">
        <v>2148</v>
      </c>
      <c r="L778" s="9" t="s">
        <v>38</v>
      </c>
      <c r="M778" s="9" t="s">
        <v>134</v>
      </c>
      <c r="N778" s="11">
        <v>20</v>
      </c>
      <c r="O778" s="12">
        <f t="shared" ca="1" si="94"/>
        <v>13.035616438356165</v>
      </c>
      <c r="P778" s="12">
        <f t="shared" ca="1" si="90"/>
        <v>33.035616438356165</v>
      </c>
      <c r="Q778" s="12" t="s">
        <v>26</v>
      </c>
      <c r="R778" s="9" t="s">
        <v>27</v>
      </c>
      <c r="S778" s="24" t="s">
        <v>28</v>
      </c>
      <c r="T778" s="9" t="s">
        <v>29</v>
      </c>
    </row>
    <row r="779" spans="1:20" ht="35.25" customHeight="1">
      <c r="A779" s="6">
        <f t="shared" si="95"/>
        <v>778</v>
      </c>
      <c r="B779" s="17" t="s">
        <v>2149</v>
      </c>
      <c r="C779" s="8" t="s">
        <v>2150</v>
      </c>
      <c r="D779" s="9" t="s">
        <v>26</v>
      </c>
      <c r="E779" s="10">
        <v>30571</v>
      </c>
      <c r="F779" s="11">
        <f t="shared" ca="1" si="92"/>
        <v>40.273972602739725</v>
      </c>
      <c r="G779" s="11">
        <f t="shared" si="93"/>
        <v>9</v>
      </c>
      <c r="H779" s="11">
        <f t="shared" si="91"/>
        <v>12</v>
      </c>
      <c r="I779" s="10">
        <v>40507</v>
      </c>
      <c r="J779" s="9" t="s">
        <v>58</v>
      </c>
      <c r="K779" s="9" t="s">
        <v>1472</v>
      </c>
      <c r="L779" s="9" t="s">
        <v>325</v>
      </c>
      <c r="M779" s="9" t="s">
        <v>61</v>
      </c>
      <c r="N779" s="11">
        <v>7</v>
      </c>
      <c r="O779" s="12">
        <f t="shared" ca="1" si="94"/>
        <v>13.052054794520547</v>
      </c>
      <c r="P779" s="12">
        <f t="shared" ca="1" si="90"/>
        <v>20.052054794520547</v>
      </c>
      <c r="Q779" s="12" t="s">
        <v>68</v>
      </c>
      <c r="R779" s="9" t="s">
        <v>95</v>
      </c>
      <c r="S779" s="24" t="s">
        <v>28</v>
      </c>
      <c r="T779" s="9" t="s">
        <v>29</v>
      </c>
    </row>
    <row r="780" spans="1:20" ht="35.25" customHeight="1">
      <c r="A780" s="6">
        <f t="shared" si="95"/>
        <v>779</v>
      </c>
      <c r="B780" s="17" t="s">
        <v>2151</v>
      </c>
      <c r="C780" s="8" t="s">
        <v>2152</v>
      </c>
      <c r="D780" s="9" t="s">
        <v>26</v>
      </c>
      <c r="E780" s="10">
        <v>32348</v>
      </c>
      <c r="F780" s="11">
        <f t="shared" ca="1" si="92"/>
        <v>35.405479452054792</v>
      </c>
      <c r="G780" s="11">
        <f t="shared" si="93"/>
        <v>7</v>
      </c>
      <c r="H780" s="11">
        <f t="shared" si="91"/>
        <v>24</v>
      </c>
      <c r="I780" s="10">
        <v>40518</v>
      </c>
      <c r="J780" s="9" t="s">
        <v>226</v>
      </c>
      <c r="K780" s="9" t="s">
        <v>341</v>
      </c>
      <c r="L780" s="9" t="s">
        <v>34</v>
      </c>
      <c r="M780" s="9" t="s">
        <v>156</v>
      </c>
      <c r="N780" s="11">
        <v>0.8</v>
      </c>
      <c r="O780" s="12">
        <f t="shared" ca="1" si="94"/>
        <v>13.021917808219179</v>
      </c>
      <c r="P780" s="12">
        <f t="shared" ref="P780:P843" ca="1" si="96">SUM(N780+O780)</f>
        <v>13.82191780821918</v>
      </c>
      <c r="Q780" s="12" t="s">
        <v>68</v>
      </c>
      <c r="R780" s="9" t="s">
        <v>27</v>
      </c>
      <c r="S780" s="24" t="s">
        <v>36</v>
      </c>
      <c r="T780" s="9" t="s">
        <v>1915</v>
      </c>
    </row>
    <row r="781" spans="1:20" ht="35.25" customHeight="1">
      <c r="A781" s="6">
        <f t="shared" si="95"/>
        <v>780</v>
      </c>
      <c r="B781" s="17" t="s">
        <v>2153</v>
      </c>
      <c r="C781" s="8" t="s">
        <v>2154</v>
      </c>
      <c r="D781" s="9" t="s">
        <v>26</v>
      </c>
      <c r="E781" s="10">
        <v>30390</v>
      </c>
      <c r="F781" s="11">
        <f t="shared" ca="1" si="92"/>
        <v>40.769863013698632</v>
      </c>
      <c r="G781" s="11">
        <f t="shared" si="93"/>
        <v>3</v>
      </c>
      <c r="H781" s="11">
        <f t="shared" si="91"/>
        <v>15</v>
      </c>
      <c r="I781" s="10">
        <v>40521</v>
      </c>
      <c r="J781" s="9" t="s">
        <v>110</v>
      </c>
      <c r="K781" s="9" t="s">
        <v>275</v>
      </c>
      <c r="L781" s="9" t="s">
        <v>231</v>
      </c>
      <c r="M781" s="9" t="s">
        <v>61</v>
      </c>
      <c r="N781" s="11">
        <v>7</v>
      </c>
      <c r="O781" s="12">
        <f t="shared" ca="1" si="94"/>
        <v>13.013698630136986</v>
      </c>
      <c r="P781" s="12">
        <f t="shared" ca="1" si="96"/>
        <v>20.013698630136986</v>
      </c>
      <c r="Q781" s="12" t="s">
        <v>68</v>
      </c>
      <c r="R781" s="9" t="s">
        <v>27</v>
      </c>
      <c r="S781" s="24" t="s">
        <v>28</v>
      </c>
      <c r="T781" s="9" t="s">
        <v>72</v>
      </c>
    </row>
    <row r="782" spans="1:20" ht="35.25" customHeight="1">
      <c r="A782" s="6">
        <f t="shared" si="95"/>
        <v>781</v>
      </c>
      <c r="B782" s="17" t="s">
        <v>2155</v>
      </c>
      <c r="C782" s="8" t="s">
        <v>2156</v>
      </c>
      <c r="D782" s="9" t="s">
        <v>26</v>
      </c>
      <c r="E782" s="10">
        <v>27243</v>
      </c>
      <c r="F782" s="11">
        <f t="shared" ca="1" si="92"/>
        <v>49.391780821917806</v>
      </c>
      <c r="G782" s="11">
        <f t="shared" si="93"/>
        <v>8</v>
      </c>
      <c r="H782" s="11">
        <f t="shared" si="91"/>
        <v>2</v>
      </c>
      <c r="I782" s="10">
        <v>40527</v>
      </c>
      <c r="J782" s="9" t="s">
        <v>58</v>
      </c>
      <c r="K782" s="9" t="s">
        <v>79</v>
      </c>
      <c r="L782" s="9" t="s">
        <v>34</v>
      </c>
      <c r="M782" s="9" t="s">
        <v>35</v>
      </c>
      <c r="N782" s="11">
        <v>17</v>
      </c>
      <c r="O782" s="12">
        <f t="shared" ca="1" si="94"/>
        <v>12.997260273972604</v>
      </c>
      <c r="P782" s="12">
        <f t="shared" ca="1" si="96"/>
        <v>29.997260273972604</v>
      </c>
      <c r="Q782" s="12" t="s">
        <v>26</v>
      </c>
      <c r="R782" s="9" t="s">
        <v>442</v>
      </c>
      <c r="S782" s="24" t="s">
        <v>36</v>
      </c>
      <c r="T782" s="9" t="s">
        <v>90</v>
      </c>
    </row>
    <row r="783" spans="1:20" ht="35.25" customHeight="1">
      <c r="A783" s="6">
        <f t="shared" si="95"/>
        <v>782</v>
      </c>
      <c r="B783" s="17" t="s">
        <v>2157</v>
      </c>
      <c r="C783" s="8" t="s">
        <v>2158</v>
      </c>
      <c r="D783" s="9" t="s">
        <v>26</v>
      </c>
      <c r="E783" s="10">
        <v>31576</v>
      </c>
      <c r="F783" s="11">
        <f t="shared" ca="1" si="92"/>
        <v>37.520547945205479</v>
      </c>
      <c r="G783" s="11">
        <f t="shared" si="93"/>
        <v>6</v>
      </c>
      <c r="H783" s="11">
        <f t="shared" si="91"/>
        <v>13</v>
      </c>
      <c r="I783" s="10">
        <v>40527</v>
      </c>
      <c r="J783" s="9" t="s">
        <v>45</v>
      </c>
      <c r="K783" s="9" t="s">
        <v>477</v>
      </c>
      <c r="L783" s="9" t="s">
        <v>34</v>
      </c>
      <c r="M783" s="9" t="s">
        <v>35</v>
      </c>
      <c r="N783" s="11">
        <v>3.3</v>
      </c>
      <c r="O783" s="12">
        <f t="shared" ca="1" si="94"/>
        <v>12.997260273972604</v>
      </c>
      <c r="P783" s="12">
        <f t="shared" ca="1" si="96"/>
        <v>16.297260273972604</v>
      </c>
      <c r="Q783" s="12" t="s">
        <v>68</v>
      </c>
      <c r="R783" s="9" t="s">
        <v>95</v>
      </c>
      <c r="S783" s="24" t="s">
        <v>36</v>
      </c>
      <c r="T783" s="9" t="s">
        <v>90</v>
      </c>
    </row>
    <row r="784" spans="1:20" ht="35.25" customHeight="1">
      <c r="A784" s="6">
        <f t="shared" si="95"/>
        <v>783</v>
      </c>
      <c r="B784" s="17" t="s">
        <v>2159</v>
      </c>
      <c r="C784" s="8" t="s">
        <v>2160</v>
      </c>
      <c r="D784" s="9" t="s">
        <v>26</v>
      </c>
      <c r="E784" s="10">
        <v>30807</v>
      </c>
      <c r="F784" s="11">
        <f t="shared" ca="1" si="92"/>
        <v>39.627397260273973</v>
      </c>
      <c r="G784" s="11">
        <f t="shared" si="93"/>
        <v>5</v>
      </c>
      <c r="H784" s="11">
        <f t="shared" si="91"/>
        <v>5</v>
      </c>
      <c r="I784" s="10">
        <v>40528</v>
      </c>
      <c r="J784" s="9" t="s">
        <v>110</v>
      </c>
      <c r="K784" s="9" t="s">
        <v>278</v>
      </c>
      <c r="L784" s="9" t="s">
        <v>34</v>
      </c>
      <c r="M784" s="9" t="s">
        <v>35</v>
      </c>
      <c r="N784" s="11">
        <v>8.9</v>
      </c>
      <c r="O784" s="12">
        <f t="shared" ca="1" si="94"/>
        <v>12.994520547945205</v>
      </c>
      <c r="P784" s="12">
        <f t="shared" ca="1" si="96"/>
        <v>21.894520547945206</v>
      </c>
      <c r="Q784" s="12" t="s">
        <v>26</v>
      </c>
      <c r="R784" s="9" t="s">
        <v>27</v>
      </c>
      <c r="S784" s="24" t="s">
        <v>36</v>
      </c>
      <c r="T784" s="9" t="s">
        <v>951</v>
      </c>
    </row>
    <row r="785" spans="1:20" ht="35.25" customHeight="1">
      <c r="A785" s="6">
        <f t="shared" si="95"/>
        <v>784</v>
      </c>
      <c r="B785" s="17" t="s">
        <v>2161</v>
      </c>
      <c r="C785" s="8" t="s">
        <v>2162</v>
      </c>
      <c r="D785" s="9" t="s">
        <v>26</v>
      </c>
      <c r="E785" s="10">
        <v>30776</v>
      </c>
      <c r="F785" s="11">
        <f t="shared" ca="1" si="92"/>
        <v>39.712328767123289</v>
      </c>
      <c r="G785" s="11">
        <f t="shared" si="93"/>
        <v>4</v>
      </c>
      <c r="H785" s="11">
        <f t="shared" si="91"/>
        <v>4</v>
      </c>
      <c r="I785" s="10">
        <v>40528</v>
      </c>
      <c r="J785" s="9" t="s">
        <v>87</v>
      </c>
      <c r="K785" s="9" t="s">
        <v>1094</v>
      </c>
      <c r="L785" s="9" t="s">
        <v>213</v>
      </c>
      <c r="M785" s="9" t="s">
        <v>35</v>
      </c>
      <c r="N785" s="11">
        <v>8.9</v>
      </c>
      <c r="O785" s="12">
        <f t="shared" ca="1" si="94"/>
        <v>12.994520547945205</v>
      </c>
      <c r="P785" s="12">
        <f t="shared" ca="1" si="96"/>
        <v>21.894520547945206</v>
      </c>
      <c r="Q785" s="12" t="s">
        <v>68</v>
      </c>
      <c r="R785" s="9" t="s">
        <v>27</v>
      </c>
      <c r="S785" s="24" t="s">
        <v>28</v>
      </c>
      <c r="T785" s="9" t="s">
        <v>295</v>
      </c>
    </row>
    <row r="786" spans="1:20" ht="35.25" customHeight="1">
      <c r="A786" s="6">
        <f t="shared" si="95"/>
        <v>785</v>
      </c>
      <c r="B786" s="17" t="s">
        <v>2163</v>
      </c>
      <c r="C786" s="8" t="s">
        <v>2164</v>
      </c>
      <c r="D786" s="9" t="s">
        <v>26</v>
      </c>
      <c r="E786" s="10">
        <v>31458</v>
      </c>
      <c r="F786" s="11">
        <f t="shared" ca="1" si="92"/>
        <v>37.843835616438355</v>
      </c>
      <c r="G786" s="11">
        <f t="shared" si="93"/>
        <v>2</v>
      </c>
      <c r="H786" s="11">
        <f t="shared" si="91"/>
        <v>15</v>
      </c>
      <c r="I786" s="10">
        <v>40528</v>
      </c>
      <c r="J786" s="9" t="s">
        <v>45</v>
      </c>
      <c r="K786" s="9" t="s">
        <v>335</v>
      </c>
      <c r="L786" s="9" t="s">
        <v>213</v>
      </c>
      <c r="M786" s="9" t="s">
        <v>35</v>
      </c>
      <c r="N786" s="11">
        <v>3.4</v>
      </c>
      <c r="O786" s="12">
        <f t="shared" ca="1" si="94"/>
        <v>12.994520547945205</v>
      </c>
      <c r="P786" s="12">
        <f t="shared" ca="1" si="96"/>
        <v>16.394520547945206</v>
      </c>
      <c r="Q786" s="12" t="s">
        <v>68</v>
      </c>
      <c r="R786" s="9" t="s">
        <v>27</v>
      </c>
      <c r="S786" s="24" t="s">
        <v>36</v>
      </c>
      <c r="T786" s="9" t="s">
        <v>90</v>
      </c>
    </row>
    <row r="787" spans="1:20" ht="35.25" customHeight="1">
      <c r="A787" s="6">
        <f t="shared" si="95"/>
        <v>786</v>
      </c>
      <c r="B787" s="17" t="s">
        <v>2165</v>
      </c>
      <c r="C787" s="8" t="s">
        <v>2166</v>
      </c>
      <c r="D787" s="9" t="s">
        <v>26</v>
      </c>
      <c r="E787" s="10">
        <v>30440</v>
      </c>
      <c r="F787" s="11">
        <f t="shared" ca="1" si="92"/>
        <v>40.632876712328766</v>
      </c>
      <c r="G787" s="11">
        <f t="shared" si="93"/>
        <v>5</v>
      </c>
      <c r="H787" s="11">
        <f t="shared" si="91"/>
        <v>4</v>
      </c>
      <c r="I787" s="10">
        <v>40529</v>
      </c>
      <c r="J787" s="9" t="s">
        <v>110</v>
      </c>
      <c r="K787" s="9" t="s">
        <v>1165</v>
      </c>
      <c r="L787" s="9" t="s">
        <v>34</v>
      </c>
      <c r="M787" s="9" t="s">
        <v>35</v>
      </c>
      <c r="N787" s="11">
        <v>9.8000000000000007</v>
      </c>
      <c r="O787" s="12">
        <f t="shared" ca="1" si="94"/>
        <v>12.991780821917809</v>
      </c>
      <c r="P787" s="12">
        <f t="shared" ca="1" si="96"/>
        <v>22.791780821917811</v>
      </c>
      <c r="Q787" s="12" t="s">
        <v>68</v>
      </c>
      <c r="R787" s="9" t="s">
        <v>27</v>
      </c>
      <c r="S787" s="24" t="s">
        <v>28</v>
      </c>
      <c r="T787" s="9" t="s">
        <v>295</v>
      </c>
    </row>
    <row r="788" spans="1:20" ht="35.25" customHeight="1">
      <c r="A788" s="6">
        <f t="shared" si="95"/>
        <v>787</v>
      </c>
      <c r="B788" s="17" t="s">
        <v>2167</v>
      </c>
      <c r="C788" s="8" t="s">
        <v>2168</v>
      </c>
      <c r="D788" s="9" t="s">
        <v>26</v>
      </c>
      <c r="E788" s="10">
        <v>24746</v>
      </c>
      <c r="F788" s="11">
        <f t="shared" ca="1" si="92"/>
        <v>56.232876712328768</v>
      </c>
      <c r="G788" s="11">
        <f t="shared" si="93"/>
        <v>10</v>
      </c>
      <c r="H788" s="11">
        <f t="shared" si="91"/>
        <v>1</v>
      </c>
      <c r="I788" s="10">
        <v>40528</v>
      </c>
      <c r="J788" s="9" t="s">
        <v>66</v>
      </c>
      <c r="K788" s="9" t="s">
        <v>2169</v>
      </c>
      <c r="L788" s="9" t="s">
        <v>263</v>
      </c>
      <c r="M788" s="9" t="s">
        <v>25</v>
      </c>
      <c r="N788" s="11">
        <v>17</v>
      </c>
      <c r="O788" s="12">
        <f t="shared" ca="1" si="94"/>
        <v>12.994520547945205</v>
      </c>
      <c r="P788" s="12">
        <f t="shared" ca="1" si="96"/>
        <v>29.994520547945207</v>
      </c>
      <c r="Q788" s="12" t="s">
        <v>26</v>
      </c>
      <c r="R788" s="9" t="s">
        <v>27</v>
      </c>
      <c r="S788" s="24" t="s">
        <v>28</v>
      </c>
      <c r="T788" s="9" t="s">
        <v>29</v>
      </c>
    </row>
    <row r="789" spans="1:20" ht="35.25" customHeight="1">
      <c r="A789" s="6">
        <f t="shared" si="95"/>
        <v>788</v>
      </c>
      <c r="B789" s="17" t="s">
        <v>2170</v>
      </c>
      <c r="C789" s="8" t="s">
        <v>2171</v>
      </c>
      <c r="D789" s="9" t="s">
        <v>26</v>
      </c>
      <c r="E789" s="10">
        <v>26632</v>
      </c>
      <c r="F789" s="11">
        <f t="shared" ca="1" si="92"/>
        <v>51.065753424657537</v>
      </c>
      <c r="G789" s="11">
        <f t="shared" si="93"/>
        <v>11</v>
      </c>
      <c r="H789" s="11">
        <f t="shared" si="91"/>
        <v>29</v>
      </c>
      <c r="I789" s="10">
        <v>40532</v>
      </c>
      <c r="J789" s="9" t="s">
        <v>22</v>
      </c>
      <c r="K789" s="9" t="s">
        <v>2172</v>
      </c>
      <c r="L789" s="9" t="s">
        <v>2114</v>
      </c>
      <c r="M789" s="9" t="s">
        <v>25</v>
      </c>
      <c r="N789" s="11">
        <v>14</v>
      </c>
      <c r="O789" s="12">
        <f t="shared" ca="1" si="94"/>
        <v>12.983561643835616</v>
      </c>
      <c r="P789" s="12">
        <f t="shared" ca="1" si="96"/>
        <v>26.983561643835614</v>
      </c>
      <c r="Q789" s="12" t="s">
        <v>26</v>
      </c>
      <c r="R789" s="9" t="s">
        <v>27</v>
      </c>
      <c r="S789" s="24" t="s">
        <v>28</v>
      </c>
      <c r="T789" s="9" t="s">
        <v>29</v>
      </c>
    </row>
    <row r="790" spans="1:20" ht="35.25" customHeight="1">
      <c r="A790" s="6">
        <f t="shared" si="95"/>
        <v>789</v>
      </c>
      <c r="B790" s="17" t="s">
        <v>2173</v>
      </c>
      <c r="C790" s="8" t="s">
        <v>2174</v>
      </c>
      <c r="D790" s="9" t="s">
        <v>26</v>
      </c>
      <c r="E790" s="10">
        <v>30526</v>
      </c>
      <c r="F790" s="11">
        <f t="shared" ca="1" si="92"/>
        <v>40.397260273972606</v>
      </c>
      <c r="G790" s="11">
        <f t="shared" si="93"/>
        <v>7</v>
      </c>
      <c r="H790" s="11">
        <f t="shared" si="91"/>
        <v>29</v>
      </c>
      <c r="I790" s="10">
        <v>40532</v>
      </c>
      <c r="J790" s="9" t="s">
        <v>226</v>
      </c>
      <c r="K790" s="9" t="s">
        <v>2175</v>
      </c>
      <c r="L790" s="9" t="s">
        <v>377</v>
      </c>
      <c r="M790" s="9" t="s">
        <v>134</v>
      </c>
      <c r="N790" s="11">
        <v>5.3</v>
      </c>
      <c r="O790" s="12">
        <f t="shared" ca="1" si="94"/>
        <v>12.983561643835616</v>
      </c>
      <c r="P790" s="12">
        <f t="shared" ca="1" si="96"/>
        <v>18.283561643835615</v>
      </c>
      <c r="Q790" s="12" t="s">
        <v>68</v>
      </c>
      <c r="R790" s="9" t="s">
        <v>27</v>
      </c>
      <c r="S790" s="24" t="s">
        <v>36</v>
      </c>
      <c r="T790" s="9" t="s">
        <v>137</v>
      </c>
    </row>
    <row r="791" spans="1:20" ht="35.25" customHeight="1">
      <c r="A791" s="6">
        <f t="shared" si="95"/>
        <v>790</v>
      </c>
      <c r="B791" s="17" t="s">
        <v>2176</v>
      </c>
      <c r="C791" s="8" t="s">
        <v>2177</v>
      </c>
      <c r="D791" s="9" t="s">
        <v>21</v>
      </c>
      <c r="E791" s="10">
        <v>31524</v>
      </c>
      <c r="F791" s="11">
        <f t="shared" ca="1" si="92"/>
        <v>37.663013698630138</v>
      </c>
      <c r="G791" s="11">
        <f>MONTH(E791)</f>
        <v>4</v>
      </c>
      <c r="H791" s="11">
        <f>DAY(E791)</f>
        <v>22</v>
      </c>
      <c r="I791" s="10">
        <v>40525</v>
      </c>
      <c r="J791" s="9" t="s">
        <v>110</v>
      </c>
      <c r="K791" s="9" t="s">
        <v>63</v>
      </c>
      <c r="L791" s="9" t="s">
        <v>393</v>
      </c>
      <c r="M791" s="9" t="s">
        <v>156</v>
      </c>
      <c r="N791" s="11">
        <v>4.2</v>
      </c>
      <c r="O791" s="12">
        <f t="shared" ca="1" si="94"/>
        <v>13.002739726027396</v>
      </c>
      <c r="P791" s="12">
        <f t="shared" ca="1" si="96"/>
        <v>17.202739726027396</v>
      </c>
      <c r="Q791" s="12" t="s">
        <v>68</v>
      </c>
      <c r="R791" s="9" t="s">
        <v>27</v>
      </c>
      <c r="S791" s="24" t="s">
        <v>28</v>
      </c>
      <c r="T791" s="9" t="s">
        <v>616</v>
      </c>
    </row>
    <row r="792" spans="1:20" ht="35.25" customHeight="1">
      <c r="A792" s="6">
        <f t="shared" si="95"/>
        <v>791</v>
      </c>
      <c r="B792" s="54" t="s">
        <v>2178</v>
      </c>
      <c r="C792" s="54" t="s">
        <v>2179</v>
      </c>
      <c r="D792" s="55" t="s">
        <v>26</v>
      </c>
      <c r="E792" s="56">
        <v>32664</v>
      </c>
      <c r="F792" s="57">
        <f t="shared" ca="1" si="92"/>
        <v>34.539726027397258</v>
      </c>
      <c r="G792" s="57">
        <f>MONTH(E792)</f>
        <v>6</v>
      </c>
      <c r="H792" s="57">
        <f>DAY(E792)</f>
        <v>5</v>
      </c>
      <c r="I792" s="56">
        <v>40525</v>
      </c>
      <c r="J792" s="55" t="s">
        <v>226</v>
      </c>
      <c r="K792" s="55" t="s">
        <v>96</v>
      </c>
      <c r="L792" s="55" t="s">
        <v>34</v>
      </c>
      <c r="M792" s="55" t="s">
        <v>61</v>
      </c>
      <c r="N792" s="57">
        <v>0.3</v>
      </c>
      <c r="O792" s="58">
        <f t="shared" ca="1" si="94"/>
        <v>13.002739726027396</v>
      </c>
      <c r="P792" s="58">
        <f t="shared" ca="1" si="96"/>
        <v>13.302739726027397</v>
      </c>
      <c r="Q792" s="58" t="s">
        <v>68</v>
      </c>
      <c r="R792" s="55" t="s">
        <v>27</v>
      </c>
      <c r="S792" s="59" t="s">
        <v>28</v>
      </c>
      <c r="T792" s="55" t="s">
        <v>72</v>
      </c>
    </row>
    <row r="793" spans="1:20" ht="35.25" customHeight="1">
      <c r="A793" s="6">
        <f t="shared" si="95"/>
        <v>792</v>
      </c>
      <c r="B793" s="17" t="s">
        <v>2180</v>
      </c>
      <c r="C793" s="8" t="s">
        <v>2181</v>
      </c>
      <c r="D793" s="9" t="s">
        <v>26</v>
      </c>
      <c r="E793" s="10">
        <v>29505</v>
      </c>
      <c r="F793" s="11">
        <f t="shared" ca="1" si="92"/>
        <v>43.194520547945203</v>
      </c>
      <c r="G793" s="11">
        <f t="shared" si="93"/>
        <v>10</v>
      </c>
      <c r="H793" s="11">
        <f t="shared" ref="H793:H856" si="97">DAY(E793)</f>
        <v>11</v>
      </c>
      <c r="I793" s="10">
        <v>40527</v>
      </c>
      <c r="J793" s="9" t="s">
        <v>110</v>
      </c>
      <c r="K793" s="9" t="s">
        <v>63</v>
      </c>
      <c r="L793" s="9" t="s">
        <v>231</v>
      </c>
      <c r="M793" s="9" t="s">
        <v>156</v>
      </c>
      <c r="N793" s="11">
        <v>3.6</v>
      </c>
      <c r="O793" s="12">
        <f t="shared" ca="1" si="94"/>
        <v>12.997260273972604</v>
      </c>
      <c r="P793" s="12">
        <f t="shared" ca="1" si="96"/>
        <v>16.597260273972605</v>
      </c>
      <c r="Q793" s="12" t="s">
        <v>26</v>
      </c>
      <c r="R793" s="9" t="s">
        <v>27</v>
      </c>
      <c r="S793" s="24" t="s">
        <v>28</v>
      </c>
      <c r="T793" s="9" t="s">
        <v>114</v>
      </c>
    </row>
    <row r="794" spans="1:20" ht="35.25" customHeight="1">
      <c r="A794" s="6">
        <f t="shared" si="95"/>
        <v>793</v>
      </c>
      <c r="B794" s="17" t="s">
        <v>2182</v>
      </c>
      <c r="C794" s="8" t="s">
        <v>2183</v>
      </c>
      <c r="D794" s="9" t="s">
        <v>21</v>
      </c>
      <c r="E794" s="10">
        <v>30401</v>
      </c>
      <c r="F794" s="11">
        <f t="shared" ca="1" si="92"/>
        <v>40.739726027397261</v>
      </c>
      <c r="G794" s="11">
        <f t="shared" si="93"/>
        <v>3</v>
      </c>
      <c r="H794" s="11">
        <f t="shared" si="97"/>
        <v>26</v>
      </c>
      <c r="I794" s="10">
        <v>40532</v>
      </c>
      <c r="J794" s="9" t="s">
        <v>50</v>
      </c>
      <c r="K794" s="9" t="s">
        <v>159</v>
      </c>
      <c r="L794" s="9" t="s">
        <v>325</v>
      </c>
      <c r="M794" s="9" t="s">
        <v>61</v>
      </c>
      <c r="N794" s="11">
        <v>3.6</v>
      </c>
      <c r="O794" s="12">
        <f t="shared" ca="1" si="94"/>
        <v>12.983561643835616</v>
      </c>
      <c r="P794" s="12">
        <f t="shared" ca="1" si="96"/>
        <v>16.583561643835615</v>
      </c>
      <c r="Q794" s="12" t="s">
        <v>26</v>
      </c>
      <c r="R794" s="9" t="s">
        <v>27</v>
      </c>
      <c r="S794" s="24" t="s">
        <v>28</v>
      </c>
      <c r="T794" s="9" t="s">
        <v>29</v>
      </c>
    </row>
    <row r="795" spans="1:20" ht="35.25" customHeight="1">
      <c r="A795" s="6">
        <f t="shared" si="95"/>
        <v>794</v>
      </c>
      <c r="B795" s="17" t="s">
        <v>2184</v>
      </c>
      <c r="C795" s="8" t="s">
        <v>2185</v>
      </c>
      <c r="D795" s="9" t="s">
        <v>26</v>
      </c>
      <c r="E795" s="10">
        <v>28626</v>
      </c>
      <c r="F795" s="11">
        <f t="shared" ca="1" si="92"/>
        <v>45.602739726027394</v>
      </c>
      <c r="G795" s="11">
        <f t="shared" si="93"/>
        <v>5</v>
      </c>
      <c r="H795" s="11">
        <f t="shared" si="97"/>
        <v>16</v>
      </c>
      <c r="I795" s="10">
        <v>40528</v>
      </c>
      <c r="J795" s="9" t="s">
        <v>58</v>
      </c>
      <c r="K795" s="9" t="s">
        <v>129</v>
      </c>
      <c r="L795" s="9" t="s">
        <v>325</v>
      </c>
      <c r="M795" s="9" t="s">
        <v>61</v>
      </c>
      <c r="N795" s="11">
        <v>12</v>
      </c>
      <c r="O795" s="12">
        <f t="shared" ca="1" si="94"/>
        <v>12.994520547945205</v>
      </c>
      <c r="P795" s="12">
        <f t="shared" ca="1" si="96"/>
        <v>24.994520547945207</v>
      </c>
      <c r="Q795" s="12" t="s">
        <v>26</v>
      </c>
      <c r="R795" s="9" t="s">
        <v>27</v>
      </c>
      <c r="S795" s="24" t="s">
        <v>28</v>
      </c>
      <c r="T795" s="9" t="s">
        <v>29</v>
      </c>
    </row>
    <row r="796" spans="1:20" ht="35.25" customHeight="1">
      <c r="A796" s="6">
        <f t="shared" si="95"/>
        <v>795</v>
      </c>
      <c r="B796" s="17" t="s">
        <v>2186</v>
      </c>
      <c r="C796" s="8" t="s">
        <v>2187</v>
      </c>
      <c r="D796" s="9" t="s">
        <v>26</v>
      </c>
      <c r="E796" s="10">
        <v>29007</v>
      </c>
      <c r="F796" s="11">
        <f t="shared" ref="F796:F859" ca="1" si="98">(TODAY()-E796)/365</f>
        <v>44.558904109589044</v>
      </c>
      <c r="G796" s="11">
        <f t="shared" ref="G796:G859" si="99">MONTH(E796)</f>
        <v>6</v>
      </c>
      <c r="H796" s="11">
        <f t="shared" si="97"/>
        <v>1</v>
      </c>
      <c r="I796" s="10">
        <v>40533</v>
      </c>
      <c r="J796" s="9" t="s">
        <v>110</v>
      </c>
      <c r="K796" s="9" t="s">
        <v>2188</v>
      </c>
      <c r="L796" s="9" t="s">
        <v>34</v>
      </c>
      <c r="M796" s="9" t="s">
        <v>134</v>
      </c>
      <c r="N796" s="11">
        <v>8.6</v>
      </c>
      <c r="O796" s="12">
        <f t="shared" ca="1" si="94"/>
        <v>12.980821917808219</v>
      </c>
      <c r="P796" s="12">
        <f t="shared" ca="1" si="96"/>
        <v>21.580821917808219</v>
      </c>
      <c r="Q796" s="12" t="s">
        <v>26</v>
      </c>
      <c r="R796" s="9" t="s">
        <v>27</v>
      </c>
      <c r="S796" s="24" t="s">
        <v>28</v>
      </c>
      <c r="T796" s="9" t="s">
        <v>137</v>
      </c>
    </row>
    <row r="797" spans="1:20" ht="35.25" customHeight="1">
      <c r="A797" s="6">
        <f t="shared" si="95"/>
        <v>796</v>
      </c>
      <c r="B797" s="17" t="s">
        <v>2189</v>
      </c>
      <c r="C797" s="8" t="s">
        <v>2190</v>
      </c>
      <c r="D797" s="9" t="s">
        <v>26</v>
      </c>
      <c r="E797" s="10">
        <v>30854</v>
      </c>
      <c r="F797" s="11">
        <f t="shared" ca="1" si="98"/>
        <v>39.4986301369863</v>
      </c>
      <c r="G797" s="11">
        <f t="shared" si="99"/>
        <v>6</v>
      </c>
      <c r="H797" s="11">
        <f t="shared" si="97"/>
        <v>21</v>
      </c>
      <c r="I797" s="10">
        <v>40533</v>
      </c>
      <c r="J797" s="9" t="s">
        <v>110</v>
      </c>
      <c r="K797" s="9" t="s">
        <v>2080</v>
      </c>
      <c r="L797" s="9" t="s">
        <v>263</v>
      </c>
      <c r="M797" s="9" t="s">
        <v>25</v>
      </c>
      <c r="N797" s="11">
        <v>1.6</v>
      </c>
      <c r="O797" s="12">
        <f t="shared" ca="1" si="94"/>
        <v>12.980821917808219</v>
      </c>
      <c r="P797" s="12">
        <f t="shared" ca="1" si="96"/>
        <v>14.580821917808219</v>
      </c>
      <c r="Q797" s="12" t="s">
        <v>26</v>
      </c>
      <c r="R797" s="9" t="s">
        <v>27</v>
      </c>
      <c r="S797" s="24" t="s">
        <v>28</v>
      </c>
      <c r="T797" s="9" t="s">
        <v>29</v>
      </c>
    </row>
    <row r="798" spans="1:20" ht="35.25" customHeight="1">
      <c r="A798" s="6">
        <f t="shared" si="95"/>
        <v>797</v>
      </c>
      <c r="B798" s="17" t="s">
        <v>2191</v>
      </c>
      <c r="C798" s="8" t="s">
        <v>2192</v>
      </c>
      <c r="D798" s="9" t="s">
        <v>26</v>
      </c>
      <c r="E798" s="10">
        <v>28329</v>
      </c>
      <c r="F798" s="11">
        <f t="shared" ca="1" si="98"/>
        <v>46.416438356164385</v>
      </c>
      <c r="G798" s="11">
        <f t="shared" si="99"/>
        <v>7</v>
      </c>
      <c r="H798" s="11">
        <f t="shared" si="97"/>
        <v>23</v>
      </c>
      <c r="I798" s="10">
        <v>40539</v>
      </c>
      <c r="J798" s="9" t="s">
        <v>50</v>
      </c>
      <c r="K798" s="9" t="s">
        <v>580</v>
      </c>
      <c r="L798" s="9" t="s">
        <v>389</v>
      </c>
      <c r="M798" s="9" t="s">
        <v>205</v>
      </c>
      <c r="N798" s="11">
        <v>10</v>
      </c>
      <c r="O798" s="12">
        <f t="shared" ca="1" si="94"/>
        <v>12.964383561643835</v>
      </c>
      <c r="P798" s="12">
        <f t="shared" ca="1" si="96"/>
        <v>22.964383561643835</v>
      </c>
      <c r="Q798" s="12" t="s">
        <v>68</v>
      </c>
      <c r="R798" s="9" t="s">
        <v>27</v>
      </c>
      <c r="S798" s="24" t="s">
        <v>28</v>
      </c>
      <c r="T798" s="9" t="s">
        <v>137</v>
      </c>
    </row>
    <row r="799" spans="1:20" ht="35.25" customHeight="1">
      <c r="A799" s="6">
        <f t="shared" si="95"/>
        <v>798</v>
      </c>
      <c r="B799" s="17" t="s">
        <v>2193</v>
      </c>
      <c r="C799" s="8" t="s">
        <v>2194</v>
      </c>
      <c r="D799" s="9" t="s">
        <v>26</v>
      </c>
      <c r="E799" s="10">
        <v>30864</v>
      </c>
      <c r="F799" s="11">
        <f t="shared" ca="1" si="98"/>
        <v>39.471232876712328</v>
      </c>
      <c r="G799" s="11">
        <f t="shared" si="99"/>
        <v>7</v>
      </c>
      <c r="H799" s="11">
        <f t="shared" si="97"/>
        <v>1</v>
      </c>
      <c r="I799" s="10">
        <v>40544</v>
      </c>
      <c r="J799" s="9" t="s">
        <v>110</v>
      </c>
      <c r="K799" s="9" t="s">
        <v>278</v>
      </c>
      <c r="L799" s="9" t="s">
        <v>34</v>
      </c>
      <c r="M799" s="9" t="s">
        <v>35</v>
      </c>
      <c r="N799" s="11">
        <v>9</v>
      </c>
      <c r="O799" s="12">
        <f t="shared" ca="1" si="94"/>
        <v>12.950684931506849</v>
      </c>
      <c r="P799" s="12">
        <f t="shared" ca="1" si="96"/>
        <v>21.950684931506849</v>
      </c>
      <c r="Q799" s="12" t="s">
        <v>26</v>
      </c>
      <c r="R799" s="9" t="s">
        <v>27</v>
      </c>
      <c r="S799" s="24" t="s">
        <v>28</v>
      </c>
      <c r="T799" s="9" t="s">
        <v>37</v>
      </c>
    </row>
    <row r="800" spans="1:20" ht="35.25" customHeight="1">
      <c r="A800" s="6">
        <f t="shared" si="95"/>
        <v>799</v>
      </c>
      <c r="B800" s="17" t="s">
        <v>2195</v>
      </c>
      <c r="C800" s="8" t="s">
        <v>2196</v>
      </c>
      <c r="D800" s="9" t="s">
        <v>26</v>
      </c>
      <c r="E800" s="10">
        <v>28739</v>
      </c>
      <c r="F800" s="11">
        <f t="shared" ca="1" si="98"/>
        <v>45.293150684931504</v>
      </c>
      <c r="G800" s="11">
        <f t="shared" si="99"/>
        <v>9</v>
      </c>
      <c r="H800" s="11">
        <f t="shared" si="97"/>
        <v>6</v>
      </c>
      <c r="I800" s="10">
        <v>40546</v>
      </c>
      <c r="J800" s="9" t="s">
        <v>110</v>
      </c>
      <c r="K800" s="9" t="s">
        <v>278</v>
      </c>
      <c r="L800" s="9" t="s">
        <v>34</v>
      </c>
      <c r="M800" s="9" t="s">
        <v>35</v>
      </c>
      <c r="N800" s="11">
        <v>7</v>
      </c>
      <c r="O800" s="12">
        <f t="shared" ca="1" si="94"/>
        <v>12.945205479452055</v>
      </c>
      <c r="P800" s="12">
        <f t="shared" ca="1" si="96"/>
        <v>19.945205479452056</v>
      </c>
      <c r="Q800" s="12" t="s">
        <v>26</v>
      </c>
      <c r="R800" s="9" t="s">
        <v>27</v>
      </c>
      <c r="S800" s="24" t="s">
        <v>28</v>
      </c>
      <c r="T800" s="9" t="s">
        <v>186</v>
      </c>
    </row>
    <row r="801" spans="1:20" ht="35.25" customHeight="1">
      <c r="A801" s="6">
        <f t="shared" si="95"/>
        <v>800</v>
      </c>
      <c r="B801" s="17" t="s">
        <v>2197</v>
      </c>
      <c r="C801" s="8" t="s">
        <v>2198</v>
      </c>
      <c r="D801" s="9" t="s">
        <v>26</v>
      </c>
      <c r="E801" s="10">
        <v>24746</v>
      </c>
      <c r="F801" s="11">
        <f t="shared" ca="1" si="98"/>
        <v>56.232876712328768</v>
      </c>
      <c r="G801" s="11">
        <f t="shared" si="99"/>
        <v>10</v>
      </c>
      <c r="H801" s="11">
        <f t="shared" si="97"/>
        <v>1</v>
      </c>
      <c r="I801" s="10">
        <v>40546</v>
      </c>
      <c r="J801" s="9" t="s">
        <v>132</v>
      </c>
      <c r="K801" s="9" t="s">
        <v>1146</v>
      </c>
      <c r="L801" s="9" t="s">
        <v>1586</v>
      </c>
      <c r="M801" s="9" t="s">
        <v>134</v>
      </c>
      <c r="N801" s="11">
        <v>20</v>
      </c>
      <c r="O801" s="12">
        <f t="shared" ca="1" si="94"/>
        <v>12.945205479452055</v>
      </c>
      <c r="P801" s="12">
        <f t="shared" ca="1" si="96"/>
        <v>32.945205479452056</v>
      </c>
      <c r="Q801" s="12" t="s">
        <v>26</v>
      </c>
      <c r="R801" s="9" t="s">
        <v>27</v>
      </c>
      <c r="S801" s="24" t="s">
        <v>28</v>
      </c>
      <c r="T801" s="9" t="s">
        <v>29</v>
      </c>
    </row>
    <row r="802" spans="1:20" ht="35.25" customHeight="1">
      <c r="A802" s="6">
        <f t="shared" si="95"/>
        <v>801</v>
      </c>
      <c r="B802" s="17" t="s">
        <v>2199</v>
      </c>
      <c r="C802" s="8" t="s">
        <v>2106</v>
      </c>
      <c r="D802" s="9" t="s">
        <v>26</v>
      </c>
      <c r="E802" s="10">
        <v>30129</v>
      </c>
      <c r="F802" s="11">
        <f t="shared" ca="1" si="98"/>
        <v>41.484931506849314</v>
      </c>
      <c r="G802" s="11">
        <f t="shared" si="99"/>
        <v>6</v>
      </c>
      <c r="H802" s="11">
        <f t="shared" si="97"/>
        <v>27</v>
      </c>
      <c r="I802" s="10">
        <v>40535</v>
      </c>
      <c r="J802" s="9" t="s">
        <v>226</v>
      </c>
      <c r="K802" s="9" t="s">
        <v>2063</v>
      </c>
      <c r="L802" s="9" t="s">
        <v>147</v>
      </c>
      <c r="M802" s="9" t="s">
        <v>134</v>
      </c>
      <c r="N802" s="11">
        <v>10</v>
      </c>
      <c r="O802" s="12">
        <f t="shared" ca="1" si="94"/>
        <v>12.975342465753425</v>
      </c>
      <c r="P802" s="12">
        <f t="shared" ca="1" si="96"/>
        <v>22.975342465753425</v>
      </c>
      <c r="Q802" s="12" t="s">
        <v>26</v>
      </c>
      <c r="R802" s="9" t="s">
        <v>27</v>
      </c>
      <c r="S802" s="24" t="s">
        <v>28</v>
      </c>
      <c r="T802" s="9" t="s">
        <v>137</v>
      </c>
    </row>
    <row r="803" spans="1:20" ht="35.25" customHeight="1">
      <c r="A803" s="6">
        <f t="shared" si="95"/>
        <v>802</v>
      </c>
      <c r="B803" s="17" t="s">
        <v>2200</v>
      </c>
      <c r="C803" s="8" t="s">
        <v>2201</v>
      </c>
      <c r="D803" s="9" t="s">
        <v>26</v>
      </c>
      <c r="E803" s="10">
        <v>30468</v>
      </c>
      <c r="F803" s="11">
        <f t="shared" ca="1" si="98"/>
        <v>40.556164383561644</v>
      </c>
      <c r="G803" s="11">
        <f t="shared" si="99"/>
        <v>6</v>
      </c>
      <c r="H803" s="11">
        <f t="shared" si="97"/>
        <v>1</v>
      </c>
      <c r="I803" s="10">
        <v>40540</v>
      </c>
      <c r="J803" s="9" t="s">
        <v>45</v>
      </c>
      <c r="K803" s="9" t="s">
        <v>2202</v>
      </c>
      <c r="L803" s="9" t="s">
        <v>704</v>
      </c>
      <c r="M803" s="9" t="s">
        <v>356</v>
      </c>
      <c r="N803" s="11">
        <v>6</v>
      </c>
      <c r="O803" s="12">
        <f t="shared" ca="1" si="94"/>
        <v>12.961643835616439</v>
      </c>
      <c r="P803" s="12">
        <f t="shared" ca="1" si="96"/>
        <v>18.961643835616439</v>
      </c>
      <c r="Q803" s="12" t="s">
        <v>68</v>
      </c>
      <c r="R803" s="9" t="s">
        <v>356</v>
      </c>
      <c r="S803" s="24" t="s">
        <v>28</v>
      </c>
      <c r="T803" s="9" t="s">
        <v>2203</v>
      </c>
    </row>
    <row r="804" spans="1:20" ht="35.25" customHeight="1">
      <c r="A804" s="6">
        <f t="shared" si="95"/>
        <v>803</v>
      </c>
      <c r="B804" s="17" t="s">
        <v>2204</v>
      </c>
      <c r="C804" s="8" t="s">
        <v>2205</v>
      </c>
      <c r="D804" s="9" t="s">
        <v>26</v>
      </c>
      <c r="E804" s="10">
        <v>29406</v>
      </c>
      <c r="F804" s="11">
        <f t="shared" ca="1" si="98"/>
        <v>43.465753424657535</v>
      </c>
      <c r="G804" s="11">
        <f t="shared" si="99"/>
        <v>7</v>
      </c>
      <c r="H804" s="11">
        <f t="shared" si="97"/>
        <v>4</v>
      </c>
      <c r="I804" s="10">
        <v>40539</v>
      </c>
      <c r="J804" s="9" t="s">
        <v>58</v>
      </c>
      <c r="K804" s="9" t="s">
        <v>129</v>
      </c>
      <c r="L804" s="9" t="s">
        <v>325</v>
      </c>
      <c r="M804" s="9" t="s">
        <v>134</v>
      </c>
      <c r="N804" s="11">
        <v>8</v>
      </c>
      <c r="O804" s="12">
        <f t="shared" ca="1" si="94"/>
        <v>12.964383561643835</v>
      </c>
      <c r="P804" s="12">
        <f t="shared" ca="1" si="96"/>
        <v>20.964383561643835</v>
      </c>
      <c r="Q804" s="12" t="s">
        <v>26</v>
      </c>
      <c r="R804" s="9" t="s">
        <v>232</v>
      </c>
      <c r="S804" s="24" t="s">
        <v>28</v>
      </c>
      <c r="T804" s="9" t="s">
        <v>29</v>
      </c>
    </row>
    <row r="805" spans="1:20" ht="35.25" customHeight="1">
      <c r="A805" s="6">
        <f t="shared" si="95"/>
        <v>804</v>
      </c>
      <c r="B805" s="17" t="s">
        <v>2206</v>
      </c>
      <c r="C805" s="8" t="s">
        <v>2207</v>
      </c>
      <c r="D805" s="9" t="s">
        <v>26</v>
      </c>
      <c r="E805" s="10">
        <v>30473</v>
      </c>
      <c r="F805" s="11">
        <f t="shared" ca="1" si="98"/>
        <v>40.542465753424658</v>
      </c>
      <c r="G805" s="11">
        <f t="shared" si="99"/>
        <v>6</v>
      </c>
      <c r="H805" s="11">
        <f t="shared" si="97"/>
        <v>6</v>
      </c>
      <c r="I805" s="10">
        <v>40548</v>
      </c>
      <c r="J805" s="9" t="s">
        <v>110</v>
      </c>
      <c r="K805" s="9" t="s">
        <v>2208</v>
      </c>
      <c r="L805" s="9" t="s">
        <v>208</v>
      </c>
      <c r="M805" s="9" t="s">
        <v>35</v>
      </c>
      <c r="N805" s="11">
        <v>6</v>
      </c>
      <c r="O805" s="12">
        <f t="shared" ca="1" si="94"/>
        <v>12.93972602739726</v>
      </c>
      <c r="P805" s="12">
        <f t="shared" ca="1" si="96"/>
        <v>18.93972602739726</v>
      </c>
      <c r="Q805" s="12" t="s">
        <v>26</v>
      </c>
      <c r="R805" s="9" t="s">
        <v>27</v>
      </c>
      <c r="S805" s="24" t="s">
        <v>28</v>
      </c>
      <c r="T805" s="9" t="s">
        <v>29</v>
      </c>
    </row>
    <row r="806" spans="1:20" ht="35.25" customHeight="1">
      <c r="A806" s="6">
        <f t="shared" si="95"/>
        <v>805</v>
      </c>
      <c r="B806" s="17" t="s">
        <v>2209</v>
      </c>
      <c r="C806" s="8" t="s">
        <v>2210</v>
      </c>
      <c r="D806" s="9" t="s">
        <v>26</v>
      </c>
      <c r="E806" s="10">
        <v>28615</v>
      </c>
      <c r="F806" s="11">
        <f t="shared" ca="1" si="98"/>
        <v>45.632876712328766</v>
      </c>
      <c r="G806" s="11">
        <f t="shared" si="99"/>
        <v>5</v>
      </c>
      <c r="H806" s="11">
        <f t="shared" si="97"/>
        <v>5</v>
      </c>
      <c r="I806" s="10">
        <v>40549</v>
      </c>
      <c r="J806" s="9" t="s">
        <v>110</v>
      </c>
      <c r="K806" s="9" t="s">
        <v>2208</v>
      </c>
      <c r="L806" s="9" t="s">
        <v>208</v>
      </c>
      <c r="M806" s="9" t="s">
        <v>35</v>
      </c>
      <c r="N806" s="11">
        <v>12</v>
      </c>
      <c r="O806" s="12">
        <f t="shared" ca="1" si="94"/>
        <v>12.936986301369863</v>
      </c>
      <c r="P806" s="12">
        <f t="shared" ca="1" si="96"/>
        <v>24.936986301369863</v>
      </c>
      <c r="Q806" s="12" t="s">
        <v>26</v>
      </c>
      <c r="R806" s="9" t="s">
        <v>27</v>
      </c>
      <c r="S806" s="24" t="s">
        <v>28</v>
      </c>
      <c r="T806" s="9" t="s">
        <v>137</v>
      </c>
    </row>
    <row r="807" spans="1:20" ht="35.25" customHeight="1">
      <c r="A807" s="6">
        <f t="shared" si="95"/>
        <v>806</v>
      </c>
      <c r="B807" s="17" t="s">
        <v>2211</v>
      </c>
      <c r="C807" s="8" t="s">
        <v>2212</v>
      </c>
      <c r="D807" s="9" t="s">
        <v>26</v>
      </c>
      <c r="E807" s="10">
        <v>26414</v>
      </c>
      <c r="F807" s="11">
        <f t="shared" ca="1" si="98"/>
        <v>51.663013698630138</v>
      </c>
      <c r="G807" s="11">
        <f t="shared" si="99"/>
        <v>4</v>
      </c>
      <c r="H807" s="11">
        <f t="shared" si="97"/>
        <v>25</v>
      </c>
      <c r="I807" s="10">
        <v>40539</v>
      </c>
      <c r="J807" s="9" t="s">
        <v>140</v>
      </c>
      <c r="K807" s="9" t="s">
        <v>141</v>
      </c>
      <c r="L807" s="9" t="s">
        <v>325</v>
      </c>
      <c r="M807" s="9" t="s">
        <v>61</v>
      </c>
      <c r="N807" s="11">
        <v>15</v>
      </c>
      <c r="O807" s="12">
        <f t="shared" ca="1" si="94"/>
        <v>12.964383561643835</v>
      </c>
      <c r="P807" s="12">
        <f t="shared" ca="1" si="96"/>
        <v>27.964383561643835</v>
      </c>
      <c r="Q807" s="12" t="s">
        <v>26</v>
      </c>
      <c r="R807" s="9" t="s">
        <v>95</v>
      </c>
      <c r="S807" s="24" t="s">
        <v>28</v>
      </c>
      <c r="T807" s="9" t="s">
        <v>29</v>
      </c>
    </row>
    <row r="808" spans="1:20" ht="35.25" customHeight="1">
      <c r="A808" s="6">
        <f t="shared" si="95"/>
        <v>807</v>
      </c>
      <c r="B808" s="17" t="s">
        <v>2213</v>
      </c>
      <c r="C808" s="8" t="s">
        <v>2214</v>
      </c>
      <c r="D808" s="9" t="s">
        <v>26</v>
      </c>
      <c r="E808" s="10">
        <v>28876</v>
      </c>
      <c r="F808" s="11">
        <f t="shared" ca="1" si="98"/>
        <v>44.917808219178085</v>
      </c>
      <c r="G808" s="11">
        <f t="shared" si="99"/>
        <v>1</v>
      </c>
      <c r="H808" s="11">
        <f t="shared" si="97"/>
        <v>21</v>
      </c>
      <c r="I808" s="10">
        <v>40546</v>
      </c>
      <c r="J808" s="9" t="s">
        <v>32</v>
      </c>
      <c r="K808" s="9" t="s">
        <v>313</v>
      </c>
      <c r="L808" s="9" t="s">
        <v>34</v>
      </c>
      <c r="M808" s="9" t="s">
        <v>156</v>
      </c>
      <c r="N808" s="11">
        <v>6.5</v>
      </c>
      <c r="O808" s="12">
        <f t="shared" ca="1" si="94"/>
        <v>12.945205479452055</v>
      </c>
      <c r="P808" s="12">
        <f t="shared" ca="1" si="96"/>
        <v>19.445205479452056</v>
      </c>
      <c r="Q808" s="12" t="s">
        <v>26</v>
      </c>
      <c r="R808" s="9" t="s">
        <v>27</v>
      </c>
      <c r="S808" s="24" t="s">
        <v>28</v>
      </c>
      <c r="T808" s="9" t="s">
        <v>29</v>
      </c>
    </row>
    <row r="809" spans="1:20" ht="35.25" customHeight="1">
      <c r="A809" s="6">
        <f t="shared" si="95"/>
        <v>808</v>
      </c>
      <c r="B809" s="17" t="s">
        <v>2215</v>
      </c>
      <c r="C809" s="8" t="s">
        <v>2216</v>
      </c>
      <c r="D809" s="9" t="s">
        <v>26</v>
      </c>
      <c r="E809" s="10">
        <v>31196</v>
      </c>
      <c r="F809" s="11">
        <f t="shared" ca="1" si="98"/>
        <v>38.561643835616437</v>
      </c>
      <c r="G809" s="11">
        <f t="shared" si="99"/>
        <v>5</v>
      </c>
      <c r="H809" s="11">
        <f t="shared" si="97"/>
        <v>29</v>
      </c>
      <c r="I809" s="10">
        <v>40546</v>
      </c>
      <c r="J809" s="9" t="s">
        <v>110</v>
      </c>
      <c r="K809" s="9" t="s">
        <v>63</v>
      </c>
      <c r="L809" s="9" t="s">
        <v>34</v>
      </c>
      <c r="M809" s="9" t="s">
        <v>156</v>
      </c>
      <c r="N809" s="11">
        <v>4</v>
      </c>
      <c r="O809" s="12">
        <f t="shared" ca="1" si="94"/>
        <v>12.945205479452055</v>
      </c>
      <c r="P809" s="12">
        <f t="shared" ca="1" si="96"/>
        <v>16.945205479452056</v>
      </c>
      <c r="Q809" s="12" t="s">
        <v>68</v>
      </c>
      <c r="R809" s="9" t="s">
        <v>27</v>
      </c>
      <c r="S809" s="24" t="s">
        <v>28</v>
      </c>
      <c r="T809" s="9" t="s">
        <v>1644</v>
      </c>
    </row>
    <row r="810" spans="1:20" ht="35.25" customHeight="1">
      <c r="A810" s="6">
        <f t="shared" si="95"/>
        <v>809</v>
      </c>
      <c r="B810" s="17" t="s">
        <v>2217</v>
      </c>
      <c r="C810" s="8" t="s">
        <v>2218</v>
      </c>
      <c r="D810" s="9" t="s">
        <v>26</v>
      </c>
      <c r="E810" s="10">
        <v>27163</v>
      </c>
      <c r="F810" s="11">
        <f t="shared" ca="1" si="98"/>
        <v>49.610958904109587</v>
      </c>
      <c r="G810" s="11">
        <f t="shared" si="99"/>
        <v>5</v>
      </c>
      <c r="H810" s="11">
        <f t="shared" si="97"/>
        <v>14</v>
      </c>
      <c r="I810" s="10">
        <v>40546</v>
      </c>
      <c r="J810" s="9" t="s">
        <v>58</v>
      </c>
      <c r="K810" s="9" t="s">
        <v>129</v>
      </c>
      <c r="L810" s="9" t="s">
        <v>34</v>
      </c>
      <c r="M810" s="9" t="s">
        <v>61</v>
      </c>
      <c r="N810" s="11">
        <v>15</v>
      </c>
      <c r="O810" s="12">
        <f t="shared" ca="1" si="94"/>
        <v>12.945205479452055</v>
      </c>
      <c r="P810" s="12">
        <f t="shared" ca="1" si="96"/>
        <v>27.945205479452056</v>
      </c>
      <c r="Q810" s="12" t="s">
        <v>26</v>
      </c>
      <c r="R810" s="9" t="s">
        <v>27</v>
      </c>
      <c r="S810" s="24" t="s">
        <v>28</v>
      </c>
      <c r="T810" s="9" t="s">
        <v>72</v>
      </c>
    </row>
    <row r="811" spans="1:20" ht="35.25" customHeight="1">
      <c r="A811" s="6">
        <f t="shared" si="95"/>
        <v>810</v>
      </c>
      <c r="B811" s="54" t="s">
        <v>2219</v>
      </c>
      <c r="C811" s="54" t="s">
        <v>2220</v>
      </c>
      <c r="D811" s="55" t="s">
        <v>26</v>
      </c>
      <c r="E811" s="56">
        <v>30479</v>
      </c>
      <c r="F811" s="57">
        <f t="shared" ca="1" si="98"/>
        <v>40.526027397260272</v>
      </c>
      <c r="G811" s="57">
        <f t="shared" si="99"/>
        <v>6</v>
      </c>
      <c r="H811" s="57">
        <f t="shared" si="97"/>
        <v>12</v>
      </c>
      <c r="I811" s="56">
        <v>40549</v>
      </c>
      <c r="J811" s="55" t="s">
        <v>58</v>
      </c>
      <c r="K811" s="55" t="s">
        <v>1472</v>
      </c>
      <c r="L811" s="55" t="s">
        <v>325</v>
      </c>
      <c r="M811" s="55" t="s">
        <v>134</v>
      </c>
      <c r="N811" s="57">
        <v>4</v>
      </c>
      <c r="O811" s="58">
        <f t="shared" ca="1" si="94"/>
        <v>12.936986301369863</v>
      </c>
      <c r="P811" s="58">
        <f t="shared" ca="1" si="96"/>
        <v>16.936986301369863</v>
      </c>
      <c r="Q811" s="58" t="s">
        <v>68</v>
      </c>
      <c r="R811" s="55" t="s">
        <v>95</v>
      </c>
      <c r="S811" s="59" t="s">
        <v>28</v>
      </c>
      <c r="T811" s="55" t="s">
        <v>29</v>
      </c>
    </row>
    <row r="812" spans="1:20" ht="35.25" customHeight="1">
      <c r="A812" s="6">
        <f t="shared" si="95"/>
        <v>811</v>
      </c>
      <c r="B812" s="17" t="s">
        <v>2221</v>
      </c>
      <c r="C812" s="8" t="s">
        <v>2222</v>
      </c>
      <c r="D812" s="9" t="s">
        <v>26</v>
      </c>
      <c r="E812" s="10">
        <v>28943</v>
      </c>
      <c r="F812" s="11">
        <f t="shared" ca="1" si="98"/>
        <v>44.734246575342468</v>
      </c>
      <c r="G812" s="11">
        <f t="shared" si="99"/>
        <v>3</v>
      </c>
      <c r="H812" s="11">
        <f t="shared" si="97"/>
        <v>29</v>
      </c>
      <c r="I812" s="10">
        <v>40560</v>
      </c>
      <c r="J812" s="9" t="s">
        <v>58</v>
      </c>
      <c r="K812" s="9" t="s">
        <v>2223</v>
      </c>
      <c r="L812" s="9" t="s">
        <v>2224</v>
      </c>
      <c r="M812" s="9" t="s">
        <v>205</v>
      </c>
      <c r="N812" s="11">
        <v>8</v>
      </c>
      <c r="O812" s="12">
        <f t="shared" ca="1" si="94"/>
        <v>12.906849315068493</v>
      </c>
      <c r="P812" s="12">
        <f t="shared" ca="1" si="96"/>
        <v>20.906849315068492</v>
      </c>
      <c r="Q812" s="12" t="s">
        <v>26</v>
      </c>
      <c r="R812" s="9" t="s">
        <v>27</v>
      </c>
      <c r="S812" s="24" t="s">
        <v>36</v>
      </c>
      <c r="T812" s="9" t="s">
        <v>137</v>
      </c>
    </row>
    <row r="813" spans="1:20" ht="35.25" customHeight="1">
      <c r="A813" s="6">
        <f t="shared" si="95"/>
        <v>812</v>
      </c>
      <c r="B813" s="17" t="s">
        <v>2225</v>
      </c>
      <c r="C813" s="8" t="s">
        <v>2226</v>
      </c>
      <c r="D813" s="9" t="s">
        <v>21</v>
      </c>
      <c r="E813" s="10">
        <v>27625</v>
      </c>
      <c r="F813" s="11">
        <f t="shared" ca="1" si="98"/>
        <v>48.345205479452055</v>
      </c>
      <c r="G813" s="11">
        <f t="shared" si="99"/>
        <v>8</v>
      </c>
      <c r="H813" s="11">
        <f t="shared" si="97"/>
        <v>19</v>
      </c>
      <c r="I813" s="10">
        <v>40546</v>
      </c>
      <c r="J813" s="9" t="s">
        <v>58</v>
      </c>
      <c r="K813" s="9" t="s">
        <v>1270</v>
      </c>
      <c r="L813" s="9" t="s">
        <v>24</v>
      </c>
      <c r="M813" s="9" t="s">
        <v>25</v>
      </c>
      <c r="N813" s="11">
        <v>10</v>
      </c>
      <c r="O813" s="12">
        <f t="shared" ca="1" si="94"/>
        <v>12.945205479452055</v>
      </c>
      <c r="P813" s="12">
        <f t="shared" ca="1" si="96"/>
        <v>22.945205479452056</v>
      </c>
      <c r="Q813" s="12" t="s">
        <v>68</v>
      </c>
      <c r="R813" s="9" t="s">
        <v>232</v>
      </c>
      <c r="S813" s="24" t="s">
        <v>28</v>
      </c>
      <c r="T813" s="9" t="s">
        <v>29</v>
      </c>
    </row>
    <row r="814" spans="1:20" ht="35.25" customHeight="1">
      <c r="A814" s="6">
        <f t="shared" si="95"/>
        <v>813</v>
      </c>
      <c r="B814" s="17" t="s">
        <v>2227</v>
      </c>
      <c r="C814" s="8" t="s">
        <v>2228</v>
      </c>
      <c r="D814" s="9" t="s">
        <v>26</v>
      </c>
      <c r="E814" s="10">
        <v>21529</v>
      </c>
      <c r="F814" s="11">
        <f t="shared" ca="1" si="98"/>
        <v>65.046575342465758</v>
      </c>
      <c r="G814" s="11">
        <f t="shared" si="99"/>
        <v>12</v>
      </c>
      <c r="H814" s="11">
        <f t="shared" si="97"/>
        <v>10</v>
      </c>
      <c r="I814" s="10">
        <v>40562</v>
      </c>
      <c r="J814" s="9" t="s">
        <v>125</v>
      </c>
      <c r="K814" s="9" t="s">
        <v>2229</v>
      </c>
      <c r="L814" s="9" t="s">
        <v>127</v>
      </c>
      <c r="M814" s="9" t="s">
        <v>35</v>
      </c>
      <c r="N814" s="11">
        <v>28</v>
      </c>
      <c r="O814" s="12">
        <f t="shared" ca="1" si="94"/>
        <v>12.901369863013699</v>
      </c>
      <c r="P814" s="12">
        <f t="shared" ca="1" si="96"/>
        <v>40.901369863013699</v>
      </c>
      <c r="Q814" s="12" t="s">
        <v>26</v>
      </c>
      <c r="R814" s="9" t="s">
        <v>27</v>
      </c>
      <c r="S814" s="24" t="s">
        <v>28</v>
      </c>
      <c r="T814" s="9" t="s">
        <v>29</v>
      </c>
    </row>
    <row r="815" spans="1:20" ht="35.25" customHeight="1">
      <c r="A815" s="6">
        <f t="shared" si="95"/>
        <v>814</v>
      </c>
      <c r="B815" s="17" t="s">
        <v>2230</v>
      </c>
      <c r="C815" s="8" t="s">
        <v>2231</v>
      </c>
      <c r="D815" s="9" t="s">
        <v>26</v>
      </c>
      <c r="E815" s="10">
        <v>25921</v>
      </c>
      <c r="F815" s="11">
        <f t="shared" ca="1" si="98"/>
        <v>53.013698630136986</v>
      </c>
      <c r="G815" s="11">
        <f t="shared" si="99"/>
        <v>12</v>
      </c>
      <c r="H815" s="11">
        <f t="shared" si="97"/>
        <v>19</v>
      </c>
      <c r="I815" s="10">
        <v>40562</v>
      </c>
      <c r="J815" s="9" t="s">
        <v>32</v>
      </c>
      <c r="K815" s="9" t="s">
        <v>915</v>
      </c>
      <c r="L815" s="9" t="s">
        <v>916</v>
      </c>
      <c r="M815" s="9" t="s">
        <v>134</v>
      </c>
      <c r="N815" s="11">
        <v>17</v>
      </c>
      <c r="O815" s="12">
        <f t="shared" ca="1" si="94"/>
        <v>12.901369863013699</v>
      </c>
      <c r="P815" s="12">
        <f t="shared" ca="1" si="96"/>
        <v>29.901369863013699</v>
      </c>
      <c r="Q815" s="12" t="s">
        <v>26</v>
      </c>
      <c r="R815" s="9" t="s">
        <v>27</v>
      </c>
      <c r="S815" s="24" t="s">
        <v>28</v>
      </c>
      <c r="T815" s="9" t="s">
        <v>137</v>
      </c>
    </row>
    <row r="816" spans="1:20" ht="35.25" customHeight="1">
      <c r="A816" s="6">
        <f t="shared" si="95"/>
        <v>815</v>
      </c>
      <c r="B816" s="17" t="s">
        <v>2232</v>
      </c>
      <c r="C816" s="8" t="s">
        <v>2233</v>
      </c>
      <c r="D816" s="9" t="s">
        <v>26</v>
      </c>
      <c r="E816" s="10">
        <v>30201</v>
      </c>
      <c r="F816" s="11">
        <f t="shared" ca="1" si="98"/>
        <v>41.287671232876711</v>
      </c>
      <c r="G816" s="11">
        <f t="shared" si="99"/>
        <v>9</v>
      </c>
      <c r="H816" s="11">
        <f t="shared" si="97"/>
        <v>7</v>
      </c>
      <c r="I816" s="10">
        <v>40576</v>
      </c>
      <c r="J816" s="9" t="s">
        <v>87</v>
      </c>
      <c r="K816" s="9" t="s">
        <v>717</v>
      </c>
      <c r="L816" s="9" t="s">
        <v>1061</v>
      </c>
      <c r="M816" s="9" t="s">
        <v>134</v>
      </c>
      <c r="N816" s="11">
        <v>5</v>
      </c>
      <c r="O816" s="12">
        <f t="shared" ca="1" si="94"/>
        <v>12.863013698630137</v>
      </c>
      <c r="P816" s="12">
        <f t="shared" ca="1" si="96"/>
        <v>17.863013698630137</v>
      </c>
      <c r="Q816" s="12" t="s">
        <v>68</v>
      </c>
      <c r="R816" s="9" t="s">
        <v>27</v>
      </c>
      <c r="S816" s="24" t="s">
        <v>36</v>
      </c>
      <c r="T816" s="9" t="s">
        <v>137</v>
      </c>
    </row>
    <row r="817" spans="1:20" ht="35.25" customHeight="1">
      <c r="A817" s="6">
        <f t="shared" si="95"/>
        <v>816</v>
      </c>
      <c r="B817" s="17" t="s">
        <v>2234</v>
      </c>
      <c r="C817" s="8" t="s">
        <v>2235</v>
      </c>
      <c r="D817" s="9" t="s">
        <v>26</v>
      </c>
      <c r="E817" s="10">
        <v>29138</v>
      </c>
      <c r="F817" s="11">
        <f t="shared" ca="1" si="98"/>
        <v>44.2</v>
      </c>
      <c r="G817" s="11">
        <f t="shared" si="99"/>
        <v>10</v>
      </c>
      <c r="H817" s="11">
        <f t="shared" si="97"/>
        <v>10</v>
      </c>
      <c r="I817" s="10">
        <v>40576</v>
      </c>
      <c r="J817" s="9" t="s">
        <v>50</v>
      </c>
      <c r="K817" s="9" t="s">
        <v>159</v>
      </c>
      <c r="L817" s="9" t="s">
        <v>147</v>
      </c>
      <c r="M817" s="9" t="s">
        <v>134</v>
      </c>
      <c r="N817" s="11">
        <v>13</v>
      </c>
      <c r="O817" s="12">
        <f t="shared" ref="O817:O880" ca="1" si="100">(TODAY()-I817)/365</f>
        <v>12.863013698630137</v>
      </c>
      <c r="P817" s="12">
        <f t="shared" ca="1" si="96"/>
        <v>25.863013698630137</v>
      </c>
      <c r="Q817" s="12" t="s">
        <v>26</v>
      </c>
      <c r="R817" s="9" t="s">
        <v>27</v>
      </c>
      <c r="S817" s="24" t="s">
        <v>36</v>
      </c>
      <c r="T817" s="9" t="s">
        <v>137</v>
      </c>
    </row>
    <row r="818" spans="1:20" ht="35.25" customHeight="1">
      <c r="A818" s="6">
        <f t="shared" si="95"/>
        <v>817</v>
      </c>
      <c r="B818" s="17" t="s">
        <v>2236</v>
      </c>
      <c r="C818" s="8" t="s">
        <v>2237</v>
      </c>
      <c r="D818" s="9" t="s">
        <v>26</v>
      </c>
      <c r="E818" s="10">
        <v>31541</v>
      </c>
      <c r="F818" s="11">
        <f t="shared" ca="1" si="98"/>
        <v>37.61643835616438</v>
      </c>
      <c r="G818" s="11">
        <f t="shared" si="99"/>
        <v>5</v>
      </c>
      <c r="H818" s="11">
        <f t="shared" si="97"/>
        <v>9</v>
      </c>
      <c r="I818" s="10">
        <v>40588</v>
      </c>
      <c r="J818" s="9" t="s">
        <v>110</v>
      </c>
      <c r="K818" s="9" t="s">
        <v>2238</v>
      </c>
      <c r="L818" s="9" t="s">
        <v>389</v>
      </c>
      <c r="M818" s="9" t="s">
        <v>205</v>
      </c>
      <c r="N818" s="11">
        <v>4</v>
      </c>
      <c r="O818" s="12">
        <f t="shared" ca="1" si="100"/>
        <v>12.830136986301369</v>
      </c>
      <c r="P818" s="12">
        <f t="shared" ca="1" si="96"/>
        <v>16.830136986301369</v>
      </c>
      <c r="Q818" s="12" t="s">
        <v>68</v>
      </c>
      <c r="R818" s="9" t="s">
        <v>27</v>
      </c>
      <c r="S818" s="24" t="s">
        <v>36</v>
      </c>
      <c r="T818" s="9" t="s">
        <v>137</v>
      </c>
    </row>
    <row r="819" spans="1:20" ht="35.25" customHeight="1">
      <c r="A819" s="6">
        <f t="shared" si="95"/>
        <v>818</v>
      </c>
      <c r="B819" s="17" t="s">
        <v>2239</v>
      </c>
      <c r="C819" s="8" t="s">
        <v>2240</v>
      </c>
      <c r="D819" s="9" t="s">
        <v>26</v>
      </c>
      <c r="E819" s="10">
        <v>25853</v>
      </c>
      <c r="F819" s="11">
        <f t="shared" ca="1" si="98"/>
        <v>53.2</v>
      </c>
      <c r="G819" s="11">
        <f t="shared" si="99"/>
        <v>10</v>
      </c>
      <c r="H819" s="11">
        <f t="shared" si="97"/>
        <v>12</v>
      </c>
      <c r="I819" s="10">
        <v>40588</v>
      </c>
      <c r="J819" s="9" t="s">
        <v>22</v>
      </c>
      <c r="K819" s="9" t="s">
        <v>1428</v>
      </c>
      <c r="L819" s="24" t="s">
        <v>490</v>
      </c>
      <c r="M819" s="9" t="s">
        <v>491</v>
      </c>
      <c r="N819" s="19">
        <v>18</v>
      </c>
      <c r="O819" s="12">
        <f t="shared" ca="1" si="100"/>
        <v>12.830136986301369</v>
      </c>
      <c r="P819" s="12">
        <f t="shared" ca="1" si="96"/>
        <v>30.830136986301369</v>
      </c>
      <c r="Q819" s="12" t="s">
        <v>26</v>
      </c>
      <c r="R819" s="9" t="s">
        <v>2241</v>
      </c>
      <c r="S819" s="24" t="s">
        <v>36</v>
      </c>
      <c r="T819" s="9" t="s">
        <v>492</v>
      </c>
    </row>
    <row r="820" spans="1:20" s="52" customFormat="1" ht="35.25" customHeight="1">
      <c r="A820" s="6">
        <f t="shared" si="95"/>
        <v>819</v>
      </c>
      <c r="B820" s="17" t="s">
        <v>2242</v>
      </c>
      <c r="C820" s="8" t="s">
        <v>2243</v>
      </c>
      <c r="D820" s="9" t="s">
        <v>26</v>
      </c>
      <c r="E820" s="10">
        <v>25003</v>
      </c>
      <c r="F820" s="11">
        <f t="shared" ca="1" si="98"/>
        <v>55.528767123287672</v>
      </c>
      <c r="G820" s="11">
        <f t="shared" si="99"/>
        <v>6</v>
      </c>
      <c r="H820" s="11">
        <f t="shared" si="97"/>
        <v>14</v>
      </c>
      <c r="I820" s="10">
        <v>40595</v>
      </c>
      <c r="J820" s="9" t="s">
        <v>318</v>
      </c>
      <c r="K820" s="9" t="s">
        <v>319</v>
      </c>
      <c r="L820" s="9" t="s">
        <v>128</v>
      </c>
      <c r="M820" s="9" t="s">
        <v>134</v>
      </c>
      <c r="N820" s="11">
        <v>21</v>
      </c>
      <c r="O820" s="12">
        <f t="shared" ca="1" si="100"/>
        <v>12.810958904109588</v>
      </c>
      <c r="P820" s="12">
        <f t="shared" ca="1" si="96"/>
        <v>33.81095890410959</v>
      </c>
      <c r="Q820" s="12" t="s">
        <v>26</v>
      </c>
      <c r="R820" s="9" t="s">
        <v>27</v>
      </c>
      <c r="S820" s="24" t="s">
        <v>28</v>
      </c>
      <c r="T820" s="9" t="s">
        <v>29</v>
      </c>
    </row>
    <row r="821" spans="1:20" ht="35.25" customHeight="1">
      <c r="A821" s="6">
        <f t="shared" si="95"/>
        <v>820</v>
      </c>
      <c r="B821" s="17" t="s">
        <v>2244</v>
      </c>
      <c r="C821" s="8" t="s">
        <v>2245</v>
      </c>
      <c r="D821" s="9" t="s">
        <v>26</v>
      </c>
      <c r="E821" s="10">
        <v>31104</v>
      </c>
      <c r="F821" s="11">
        <f t="shared" ca="1" si="98"/>
        <v>38.813698630136983</v>
      </c>
      <c r="G821" s="11">
        <f t="shared" si="99"/>
        <v>2</v>
      </c>
      <c r="H821" s="11">
        <f t="shared" si="97"/>
        <v>26</v>
      </c>
      <c r="I821" s="10">
        <v>40595</v>
      </c>
      <c r="J821" s="9" t="s">
        <v>110</v>
      </c>
      <c r="K821" s="9" t="s">
        <v>2246</v>
      </c>
      <c r="L821" s="24" t="s">
        <v>490</v>
      </c>
      <c r="M821" s="9" t="s">
        <v>491</v>
      </c>
      <c r="N821" s="19">
        <v>7.2</v>
      </c>
      <c r="O821" s="12">
        <f t="shared" ca="1" si="100"/>
        <v>12.810958904109588</v>
      </c>
      <c r="P821" s="12">
        <f t="shared" ca="1" si="96"/>
        <v>20.010958904109589</v>
      </c>
      <c r="Q821" s="12" t="s">
        <v>68</v>
      </c>
      <c r="R821" s="9" t="s">
        <v>772</v>
      </c>
      <c r="S821" s="24" t="s">
        <v>36</v>
      </c>
      <c r="T821" s="9" t="s">
        <v>492</v>
      </c>
    </row>
    <row r="822" spans="1:20" ht="35.25" customHeight="1">
      <c r="A822" s="6">
        <f t="shared" si="95"/>
        <v>821</v>
      </c>
      <c r="B822" s="17" t="s">
        <v>2247</v>
      </c>
      <c r="C822" s="8" t="s">
        <v>2248</v>
      </c>
      <c r="D822" s="9" t="s">
        <v>26</v>
      </c>
      <c r="E822" s="10">
        <v>31353</v>
      </c>
      <c r="F822" s="11">
        <f t="shared" ca="1" si="98"/>
        <v>38.131506849315066</v>
      </c>
      <c r="G822" s="11">
        <f t="shared" si="99"/>
        <v>11</v>
      </c>
      <c r="H822" s="11">
        <f t="shared" si="97"/>
        <v>2</v>
      </c>
      <c r="I822" s="10">
        <v>40600</v>
      </c>
      <c r="J822" s="9" t="s">
        <v>87</v>
      </c>
      <c r="K822" s="9" t="s">
        <v>684</v>
      </c>
      <c r="L822" s="9" t="s">
        <v>563</v>
      </c>
      <c r="M822" s="9" t="s">
        <v>134</v>
      </c>
      <c r="N822" s="11">
        <v>4</v>
      </c>
      <c r="O822" s="12">
        <f t="shared" ca="1" si="100"/>
        <v>12.797260273972602</v>
      </c>
      <c r="P822" s="12">
        <f t="shared" ca="1" si="96"/>
        <v>16.797260273972604</v>
      </c>
      <c r="Q822" s="12" t="s">
        <v>68</v>
      </c>
      <c r="R822" s="9" t="s">
        <v>95</v>
      </c>
      <c r="S822" s="24" t="s">
        <v>36</v>
      </c>
      <c r="T822" s="9" t="s">
        <v>137</v>
      </c>
    </row>
    <row r="823" spans="1:20" ht="35.25" customHeight="1">
      <c r="A823" s="6">
        <f t="shared" si="95"/>
        <v>822</v>
      </c>
      <c r="B823" s="17" t="s">
        <v>2249</v>
      </c>
      <c r="C823" s="8" t="s">
        <v>2250</v>
      </c>
      <c r="D823" s="9" t="s">
        <v>26</v>
      </c>
      <c r="E823" s="10">
        <v>31934</v>
      </c>
      <c r="F823" s="11">
        <f t="shared" ca="1" si="98"/>
        <v>36.539726027397258</v>
      </c>
      <c r="G823" s="11">
        <f t="shared" si="99"/>
        <v>6</v>
      </c>
      <c r="H823" s="11">
        <f t="shared" si="97"/>
        <v>6</v>
      </c>
      <c r="I823" s="10">
        <v>40599</v>
      </c>
      <c r="J823" s="9" t="s">
        <v>87</v>
      </c>
      <c r="K823" s="9" t="s">
        <v>429</v>
      </c>
      <c r="L823" s="9" t="s">
        <v>122</v>
      </c>
      <c r="M823" s="9" t="s">
        <v>134</v>
      </c>
      <c r="N823" s="11">
        <v>4</v>
      </c>
      <c r="O823" s="12">
        <f t="shared" ca="1" si="100"/>
        <v>12.8</v>
      </c>
      <c r="P823" s="12">
        <f t="shared" ca="1" si="96"/>
        <v>16.8</v>
      </c>
      <c r="Q823" s="12" t="s">
        <v>68</v>
      </c>
      <c r="R823" s="9" t="s">
        <v>27</v>
      </c>
      <c r="S823" s="24" t="s">
        <v>36</v>
      </c>
      <c r="T823" s="9" t="s">
        <v>137</v>
      </c>
    </row>
    <row r="824" spans="1:20" ht="35.25" customHeight="1">
      <c r="A824" s="6">
        <f t="shared" si="95"/>
        <v>823</v>
      </c>
      <c r="B824" s="17" t="s">
        <v>2251</v>
      </c>
      <c r="C824" s="8" t="s">
        <v>2252</v>
      </c>
      <c r="D824" s="9" t="s">
        <v>26</v>
      </c>
      <c r="E824" s="10">
        <v>30904</v>
      </c>
      <c r="F824" s="11">
        <f t="shared" ca="1" si="98"/>
        <v>39.361643835616441</v>
      </c>
      <c r="G824" s="11">
        <f t="shared" si="99"/>
        <v>8</v>
      </c>
      <c r="H824" s="11">
        <f t="shared" si="97"/>
        <v>10</v>
      </c>
      <c r="I824" s="10">
        <v>40600</v>
      </c>
      <c r="J824" s="9" t="s">
        <v>110</v>
      </c>
      <c r="K824" s="9" t="s">
        <v>2253</v>
      </c>
      <c r="L824" s="9" t="s">
        <v>122</v>
      </c>
      <c r="M824" s="9" t="s">
        <v>134</v>
      </c>
      <c r="N824" s="11">
        <v>4</v>
      </c>
      <c r="O824" s="12">
        <f t="shared" ca="1" si="100"/>
        <v>12.797260273972602</v>
      </c>
      <c r="P824" s="12">
        <f t="shared" ca="1" si="96"/>
        <v>16.797260273972604</v>
      </c>
      <c r="Q824" s="12" t="s">
        <v>68</v>
      </c>
      <c r="R824" s="9" t="s">
        <v>442</v>
      </c>
      <c r="S824" s="24" t="s">
        <v>36</v>
      </c>
      <c r="T824" s="9" t="s">
        <v>137</v>
      </c>
    </row>
    <row r="825" spans="1:20" ht="35.25" customHeight="1">
      <c r="A825" s="6">
        <f t="shared" si="95"/>
        <v>824</v>
      </c>
      <c r="B825" s="17" t="s">
        <v>2254</v>
      </c>
      <c r="C825" s="8" t="s">
        <v>2255</v>
      </c>
      <c r="D825" s="9" t="s">
        <v>26</v>
      </c>
      <c r="E825" s="10">
        <v>28671</v>
      </c>
      <c r="F825" s="11">
        <f t="shared" ca="1" si="98"/>
        <v>45.479452054794521</v>
      </c>
      <c r="G825" s="11">
        <f t="shared" si="99"/>
        <v>6</v>
      </c>
      <c r="H825" s="11">
        <f t="shared" si="97"/>
        <v>30</v>
      </c>
      <c r="I825" s="10">
        <v>40605</v>
      </c>
      <c r="J825" s="9" t="s">
        <v>110</v>
      </c>
      <c r="K825" s="9" t="s">
        <v>1843</v>
      </c>
      <c r="L825" s="24" t="s">
        <v>490</v>
      </c>
      <c r="M825" s="9" t="s">
        <v>491</v>
      </c>
      <c r="N825" s="19">
        <v>7</v>
      </c>
      <c r="O825" s="12">
        <f t="shared" ca="1" si="100"/>
        <v>12.783561643835617</v>
      </c>
      <c r="P825" s="12">
        <f t="shared" ca="1" si="96"/>
        <v>19.783561643835618</v>
      </c>
      <c r="Q825" s="12" t="s">
        <v>26</v>
      </c>
      <c r="R825" s="9" t="s">
        <v>347</v>
      </c>
      <c r="S825" s="24" t="s">
        <v>36</v>
      </c>
      <c r="T825" s="9" t="s">
        <v>492</v>
      </c>
    </row>
    <row r="826" spans="1:20" ht="35.25" customHeight="1">
      <c r="A826" s="6">
        <f t="shared" si="95"/>
        <v>825</v>
      </c>
      <c r="B826" s="17" t="s">
        <v>2256</v>
      </c>
      <c r="C826" s="8" t="s">
        <v>2257</v>
      </c>
      <c r="D826" s="9" t="s">
        <v>21</v>
      </c>
      <c r="E826" s="10">
        <v>31659</v>
      </c>
      <c r="F826" s="11">
        <f t="shared" ca="1" si="98"/>
        <v>37.293150684931504</v>
      </c>
      <c r="G826" s="11">
        <f t="shared" si="99"/>
        <v>9</v>
      </c>
      <c r="H826" s="11">
        <f t="shared" si="97"/>
        <v>4</v>
      </c>
      <c r="I826" s="10">
        <v>40606</v>
      </c>
      <c r="J826" s="9" t="s">
        <v>87</v>
      </c>
      <c r="K826" s="9" t="s">
        <v>2258</v>
      </c>
      <c r="L826" s="9" t="s">
        <v>161</v>
      </c>
      <c r="M826" s="9" t="s">
        <v>161</v>
      </c>
      <c r="N826" s="11">
        <v>0</v>
      </c>
      <c r="O826" s="12">
        <f t="shared" ca="1" si="100"/>
        <v>12.780821917808218</v>
      </c>
      <c r="P826" s="12">
        <f t="shared" ca="1" si="96"/>
        <v>12.780821917808218</v>
      </c>
      <c r="Q826" s="12" t="s">
        <v>26</v>
      </c>
      <c r="R826" s="9" t="s">
        <v>27</v>
      </c>
      <c r="S826" s="24" t="s">
        <v>28</v>
      </c>
      <c r="T826" s="9" t="s">
        <v>114</v>
      </c>
    </row>
    <row r="827" spans="1:20" ht="35.25" customHeight="1">
      <c r="A827" s="6">
        <f t="shared" si="95"/>
        <v>826</v>
      </c>
      <c r="B827" s="17" t="s">
        <v>2259</v>
      </c>
      <c r="C827" s="8" t="s">
        <v>2260</v>
      </c>
      <c r="D827" s="9" t="s">
        <v>26</v>
      </c>
      <c r="E827" s="10">
        <v>30893</v>
      </c>
      <c r="F827" s="11">
        <f t="shared" ca="1" si="98"/>
        <v>39.391780821917806</v>
      </c>
      <c r="G827" s="11">
        <f t="shared" si="99"/>
        <v>7</v>
      </c>
      <c r="H827" s="11">
        <f t="shared" si="97"/>
        <v>30</v>
      </c>
      <c r="I827" s="10">
        <v>40609</v>
      </c>
      <c r="J827" s="9" t="s">
        <v>50</v>
      </c>
      <c r="K827" s="9" t="s">
        <v>306</v>
      </c>
      <c r="L827" s="9" t="s">
        <v>263</v>
      </c>
      <c r="M827" s="9" t="s">
        <v>25</v>
      </c>
      <c r="N827" s="11">
        <v>6</v>
      </c>
      <c r="O827" s="12">
        <f t="shared" ca="1" si="100"/>
        <v>12.772602739726027</v>
      </c>
      <c r="P827" s="12">
        <f t="shared" ca="1" si="96"/>
        <v>18.772602739726025</v>
      </c>
      <c r="Q827" s="12" t="s">
        <v>26</v>
      </c>
      <c r="R827" s="9" t="s">
        <v>27</v>
      </c>
      <c r="S827" s="24" t="s">
        <v>28</v>
      </c>
      <c r="T827" s="9" t="s">
        <v>29</v>
      </c>
    </row>
    <row r="828" spans="1:20" ht="35.25" customHeight="1">
      <c r="A828" s="6">
        <f t="shared" si="95"/>
        <v>827</v>
      </c>
      <c r="B828" s="17" t="s">
        <v>2261</v>
      </c>
      <c r="C828" s="8" t="s">
        <v>2262</v>
      </c>
      <c r="D828" s="9" t="s">
        <v>26</v>
      </c>
      <c r="E828" s="10">
        <v>32474</v>
      </c>
      <c r="F828" s="11">
        <f t="shared" ca="1" si="98"/>
        <v>35.060273972602737</v>
      </c>
      <c r="G828" s="11">
        <f t="shared" si="99"/>
        <v>11</v>
      </c>
      <c r="H828" s="11">
        <f t="shared" si="97"/>
        <v>27</v>
      </c>
      <c r="I828" s="10">
        <v>40616</v>
      </c>
      <c r="J828" s="9" t="s">
        <v>45</v>
      </c>
      <c r="K828" s="9" t="s">
        <v>477</v>
      </c>
      <c r="L828" s="9" t="s">
        <v>34</v>
      </c>
      <c r="M828" s="9" t="s">
        <v>35</v>
      </c>
      <c r="N828" s="11">
        <v>2</v>
      </c>
      <c r="O828" s="12">
        <f t="shared" ca="1" si="100"/>
        <v>12.753424657534246</v>
      </c>
      <c r="P828" s="12">
        <f t="shared" ca="1" si="96"/>
        <v>14.753424657534246</v>
      </c>
      <c r="Q828" s="12" t="s">
        <v>68</v>
      </c>
      <c r="R828" s="9" t="s">
        <v>95</v>
      </c>
      <c r="S828" s="24" t="s">
        <v>36</v>
      </c>
      <c r="T828" s="9" t="s">
        <v>1329</v>
      </c>
    </row>
    <row r="829" spans="1:20" ht="35.25" customHeight="1">
      <c r="A829" s="6">
        <f t="shared" si="95"/>
        <v>828</v>
      </c>
      <c r="B829" s="17" t="s">
        <v>2263</v>
      </c>
      <c r="C829" s="8" t="s">
        <v>2264</v>
      </c>
      <c r="D829" s="9" t="s">
        <v>26</v>
      </c>
      <c r="E829" s="10">
        <v>32550</v>
      </c>
      <c r="F829" s="11">
        <f t="shared" ca="1" si="98"/>
        <v>34.852054794520548</v>
      </c>
      <c r="G829" s="11">
        <f t="shared" si="99"/>
        <v>2</v>
      </c>
      <c r="H829" s="11">
        <f t="shared" si="97"/>
        <v>11</v>
      </c>
      <c r="I829" s="10">
        <v>40613</v>
      </c>
      <c r="J829" s="9" t="s">
        <v>45</v>
      </c>
      <c r="K829" s="9" t="s">
        <v>2265</v>
      </c>
      <c r="L829" s="9" t="s">
        <v>213</v>
      </c>
      <c r="M829" s="9" t="s">
        <v>35</v>
      </c>
      <c r="N829" s="11">
        <v>4</v>
      </c>
      <c r="O829" s="12">
        <f t="shared" ca="1" si="100"/>
        <v>12.761643835616438</v>
      </c>
      <c r="P829" s="12">
        <f t="shared" ca="1" si="96"/>
        <v>16.761643835616439</v>
      </c>
      <c r="Q829" s="12" t="s">
        <v>68</v>
      </c>
      <c r="R829" s="9" t="s">
        <v>27</v>
      </c>
      <c r="S829" s="24" t="s">
        <v>36</v>
      </c>
      <c r="T829" s="9" t="s">
        <v>951</v>
      </c>
    </row>
    <row r="830" spans="1:20" ht="35.25" customHeight="1">
      <c r="A830" s="6">
        <f t="shared" si="95"/>
        <v>829</v>
      </c>
      <c r="B830" s="17" t="s">
        <v>2267</v>
      </c>
      <c r="C830" s="8" t="s">
        <v>2268</v>
      </c>
      <c r="D830" s="9" t="s">
        <v>26</v>
      </c>
      <c r="E830" s="10">
        <v>29007</v>
      </c>
      <c r="F830" s="11">
        <f t="shared" ca="1" si="98"/>
        <v>44.558904109589044</v>
      </c>
      <c r="G830" s="11">
        <f t="shared" si="99"/>
        <v>6</v>
      </c>
      <c r="H830" s="11">
        <f t="shared" si="97"/>
        <v>1</v>
      </c>
      <c r="I830" s="10">
        <v>40616</v>
      </c>
      <c r="J830" s="9" t="s">
        <v>87</v>
      </c>
      <c r="K830" s="9" t="s">
        <v>298</v>
      </c>
      <c r="L830" s="9" t="s">
        <v>55</v>
      </c>
      <c r="M830" s="9" t="s">
        <v>35</v>
      </c>
      <c r="N830" s="11">
        <v>10</v>
      </c>
      <c r="O830" s="12">
        <f t="shared" ca="1" si="100"/>
        <v>12.753424657534246</v>
      </c>
      <c r="P830" s="12">
        <f t="shared" ca="1" si="96"/>
        <v>22.753424657534246</v>
      </c>
      <c r="Q830" s="12" t="s">
        <v>26</v>
      </c>
      <c r="R830" s="9" t="s">
        <v>27</v>
      </c>
      <c r="S830" s="24" t="s">
        <v>36</v>
      </c>
      <c r="T830" s="9" t="s">
        <v>1329</v>
      </c>
    </row>
    <row r="831" spans="1:20" ht="35.25" customHeight="1">
      <c r="A831" s="6">
        <f t="shared" si="95"/>
        <v>830</v>
      </c>
      <c r="B831" s="17" t="s">
        <v>2269</v>
      </c>
      <c r="C831" s="8" t="s">
        <v>2270</v>
      </c>
      <c r="D831" s="9" t="s">
        <v>26</v>
      </c>
      <c r="E831" s="10">
        <v>30840</v>
      </c>
      <c r="F831" s="11">
        <f t="shared" ca="1" si="98"/>
        <v>39.536986301369865</v>
      </c>
      <c r="G831" s="11">
        <f t="shared" si="99"/>
        <v>6</v>
      </c>
      <c r="H831" s="11">
        <f t="shared" si="97"/>
        <v>7</v>
      </c>
      <c r="I831" s="10">
        <v>40616</v>
      </c>
      <c r="J831" s="9" t="s">
        <v>110</v>
      </c>
      <c r="K831" s="9" t="s">
        <v>2271</v>
      </c>
      <c r="L831" s="9" t="s">
        <v>60</v>
      </c>
      <c r="M831" s="9" t="s">
        <v>35</v>
      </c>
      <c r="N831" s="11">
        <v>4</v>
      </c>
      <c r="O831" s="12">
        <f t="shared" ca="1" si="100"/>
        <v>12.753424657534246</v>
      </c>
      <c r="P831" s="12">
        <f t="shared" ca="1" si="96"/>
        <v>16.753424657534246</v>
      </c>
      <c r="Q831" s="12" t="s">
        <v>68</v>
      </c>
      <c r="R831" s="9" t="s">
        <v>27</v>
      </c>
      <c r="S831" s="24" t="s">
        <v>36</v>
      </c>
      <c r="T831" s="9" t="s">
        <v>72</v>
      </c>
    </row>
    <row r="832" spans="1:20" ht="35.25" customHeight="1">
      <c r="A832" s="6">
        <f t="shared" si="95"/>
        <v>831</v>
      </c>
      <c r="B832" s="17" t="s">
        <v>2272</v>
      </c>
      <c r="C832" s="8" t="s">
        <v>2273</v>
      </c>
      <c r="D832" s="9" t="s">
        <v>26</v>
      </c>
      <c r="E832" s="10">
        <v>30711</v>
      </c>
      <c r="F832" s="11">
        <f t="shared" ca="1" si="98"/>
        <v>39.890410958904113</v>
      </c>
      <c r="G832" s="11">
        <f t="shared" si="99"/>
        <v>1</v>
      </c>
      <c r="H832" s="11">
        <f t="shared" si="97"/>
        <v>30</v>
      </c>
      <c r="I832" s="10">
        <v>40618</v>
      </c>
      <c r="J832" s="9" t="s">
        <v>87</v>
      </c>
      <c r="K832" s="9" t="s">
        <v>717</v>
      </c>
      <c r="L832" s="9" t="s">
        <v>1061</v>
      </c>
      <c r="M832" s="9" t="s">
        <v>134</v>
      </c>
      <c r="N832" s="11">
        <v>2.6</v>
      </c>
      <c r="O832" s="12">
        <f t="shared" ca="1" si="100"/>
        <v>12.747945205479452</v>
      </c>
      <c r="P832" s="12">
        <f t="shared" ca="1" si="96"/>
        <v>15.347945205479451</v>
      </c>
      <c r="Q832" s="12" t="s">
        <v>26</v>
      </c>
      <c r="R832" s="9" t="s">
        <v>27</v>
      </c>
      <c r="S832" s="24" t="s">
        <v>36</v>
      </c>
      <c r="T832" s="9" t="s">
        <v>137</v>
      </c>
    </row>
    <row r="833" spans="1:20" ht="35.25" customHeight="1">
      <c r="A833" s="6">
        <f t="shared" si="95"/>
        <v>832</v>
      </c>
      <c r="B833" s="17" t="s">
        <v>2274</v>
      </c>
      <c r="C833" s="8" t="s">
        <v>2275</v>
      </c>
      <c r="D833" s="9" t="s">
        <v>26</v>
      </c>
      <c r="E833" s="10">
        <v>29747</v>
      </c>
      <c r="F833" s="11">
        <f t="shared" ca="1" si="98"/>
        <v>42.531506849315072</v>
      </c>
      <c r="G833" s="11">
        <f t="shared" si="99"/>
        <v>6</v>
      </c>
      <c r="H833" s="11">
        <f t="shared" si="97"/>
        <v>10</v>
      </c>
      <c r="I833" s="10">
        <v>40625</v>
      </c>
      <c r="J833" s="9" t="s">
        <v>87</v>
      </c>
      <c r="K833" s="9" t="s">
        <v>1486</v>
      </c>
      <c r="L833" s="9" t="s">
        <v>290</v>
      </c>
      <c r="M833" s="9" t="s">
        <v>35</v>
      </c>
      <c r="N833" s="11">
        <v>8.4</v>
      </c>
      <c r="O833" s="12">
        <f t="shared" ca="1" si="100"/>
        <v>12.728767123287671</v>
      </c>
      <c r="P833" s="12">
        <f t="shared" ca="1" si="96"/>
        <v>21.128767123287673</v>
      </c>
      <c r="Q833" s="12" t="s">
        <v>26</v>
      </c>
      <c r="R833" s="9" t="s">
        <v>27</v>
      </c>
      <c r="S833" s="24" t="s">
        <v>36</v>
      </c>
      <c r="T833" s="9" t="s">
        <v>1639</v>
      </c>
    </row>
    <row r="834" spans="1:20" ht="35.25" customHeight="1">
      <c r="A834" s="6">
        <f t="shared" si="95"/>
        <v>833</v>
      </c>
      <c r="B834" s="17" t="s">
        <v>2276</v>
      </c>
      <c r="C834" s="8" t="s">
        <v>2277</v>
      </c>
      <c r="D834" s="9" t="s">
        <v>26</v>
      </c>
      <c r="E834" s="10">
        <v>31382</v>
      </c>
      <c r="F834" s="11">
        <f t="shared" ca="1" si="98"/>
        <v>38.052054794520551</v>
      </c>
      <c r="G834" s="11">
        <f t="shared" si="99"/>
        <v>12</v>
      </c>
      <c r="H834" s="11">
        <f t="shared" si="97"/>
        <v>1</v>
      </c>
      <c r="I834" s="10">
        <v>40638</v>
      </c>
      <c r="J834" s="9" t="s">
        <v>110</v>
      </c>
      <c r="K834" s="9" t="s">
        <v>1392</v>
      </c>
      <c r="L834" s="9" t="s">
        <v>24</v>
      </c>
      <c r="M834" s="9" t="s">
        <v>25</v>
      </c>
      <c r="N834" s="11">
        <v>4</v>
      </c>
      <c r="O834" s="12">
        <f t="shared" ca="1" si="100"/>
        <v>12.693150684931506</v>
      </c>
      <c r="P834" s="12">
        <f t="shared" ca="1" si="96"/>
        <v>16.693150684931506</v>
      </c>
      <c r="Q834" s="12" t="s">
        <v>68</v>
      </c>
      <c r="R834" s="9" t="s">
        <v>27</v>
      </c>
      <c r="S834" s="24" t="s">
        <v>28</v>
      </c>
      <c r="T834" s="9" t="s">
        <v>29</v>
      </c>
    </row>
    <row r="835" spans="1:20" ht="35.25" customHeight="1">
      <c r="A835" s="6">
        <f t="shared" si="95"/>
        <v>834</v>
      </c>
      <c r="B835" s="17" t="s">
        <v>2278</v>
      </c>
      <c r="C835" s="8" t="s">
        <v>2279</v>
      </c>
      <c r="D835" s="9" t="s">
        <v>26</v>
      </c>
      <c r="E835" s="10">
        <v>29261</v>
      </c>
      <c r="F835" s="11">
        <f t="shared" ca="1" si="98"/>
        <v>43.863013698630134</v>
      </c>
      <c r="G835" s="11">
        <f t="shared" si="99"/>
        <v>2</v>
      </c>
      <c r="H835" s="11">
        <f t="shared" si="97"/>
        <v>10</v>
      </c>
      <c r="I835" s="10">
        <v>40641</v>
      </c>
      <c r="J835" s="9" t="s">
        <v>50</v>
      </c>
      <c r="K835" s="9" t="s">
        <v>2280</v>
      </c>
      <c r="L835" s="9" t="s">
        <v>89</v>
      </c>
      <c r="M835" s="9" t="s">
        <v>356</v>
      </c>
      <c r="N835" s="11">
        <v>4.7</v>
      </c>
      <c r="O835" s="12">
        <f t="shared" ca="1" si="100"/>
        <v>12.684931506849315</v>
      </c>
      <c r="P835" s="12">
        <f t="shared" ca="1" si="96"/>
        <v>17.384931506849316</v>
      </c>
      <c r="Q835" s="12" t="s">
        <v>26</v>
      </c>
      <c r="R835" s="9" t="s">
        <v>356</v>
      </c>
      <c r="S835" s="24" t="s">
        <v>36</v>
      </c>
      <c r="T835" s="9" t="s">
        <v>2281</v>
      </c>
    </row>
    <row r="836" spans="1:20" ht="35.25" customHeight="1">
      <c r="A836" s="6">
        <f t="shared" ref="A836:A899" si="101">+A835+1</f>
        <v>835</v>
      </c>
      <c r="B836" s="17" t="s">
        <v>2282</v>
      </c>
      <c r="C836" s="8" t="s">
        <v>2283</v>
      </c>
      <c r="D836" s="9" t="s">
        <v>26</v>
      </c>
      <c r="E836" s="10">
        <v>32153</v>
      </c>
      <c r="F836" s="11">
        <f t="shared" ca="1" si="98"/>
        <v>35.939726027397263</v>
      </c>
      <c r="G836" s="11">
        <f t="shared" si="99"/>
        <v>1</v>
      </c>
      <c r="H836" s="11">
        <f t="shared" si="97"/>
        <v>11</v>
      </c>
      <c r="I836" s="10">
        <v>40641</v>
      </c>
      <c r="J836" s="9" t="s">
        <v>45</v>
      </c>
      <c r="K836" s="9" t="s">
        <v>477</v>
      </c>
      <c r="L836" s="9" t="s">
        <v>34</v>
      </c>
      <c r="M836" s="9" t="s">
        <v>35</v>
      </c>
      <c r="N836" s="11">
        <v>1.7</v>
      </c>
      <c r="O836" s="12">
        <f t="shared" ca="1" si="100"/>
        <v>12.684931506849315</v>
      </c>
      <c r="P836" s="12">
        <f t="shared" ca="1" si="96"/>
        <v>14.384931506849314</v>
      </c>
      <c r="Q836" s="12" t="s">
        <v>68</v>
      </c>
      <c r="R836" s="9" t="s">
        <v>95</v>
      </c>
      <c r="S836" s="24" t="s">
        <v>36</v>
      </c>
      <c r="T836" s="9" t="s">
        <v>1329</v>
      </c>
    </row>
    <row r="837" spans="1:20" ht="35.25" customHeight="1">
      <c r="A837" s="6">
        <f t="shared" si="101"/>
        <v>836</v>
      </c>
      <c r="B837" s="17" t="s">
        <v>2284</v>
      </c>
      <c r="C837" s="8" t="s">
        <v>2285</v>
      </c>
      <c r="D837" s="9" t="s">
        <v>26</v>
      </c>
      <c r="E837" s="10">
        <v>31321</v>
      </c>
      <c r="F837" s="11">
        <f t="shared" ca="1" si="98"/>
        <v>38.219178082191782</v>
      </c>
      <c r="G837" s="11">
        <f t="shared" si="99"/>
        <v>10</v>
      </c>
      <c r="H837" s="11">
        <f t="shared" si="97"/>
        <v>1</v>
      </c>
      <c r="I837" s="10">
        <v>40639</v>
      </c>
      <c r="J837" s="9" t="s">
        <v>87</v>
      </c>
      <c r="K837" s="9" t="s">
        <v>1226</v>
      </c>
      <c r="L837" s="9" t="s">
        <v>34</v>
      </c>
      <c r="M837" s="9" t="s">
        <v>35</v>
      </c>
      <c r="N837" s="11">
        <v>3.4</v>
      </c>
      <c r="O837" s="12">
        <f t="shared" ca="1" si="100"/>
        <v>12.69041095890411</v>
      </c>
      <c r="P837" s="12">
        <f t="shared" ca="1" si="96"/>
        <v>16.090410958904108</v>
      </c>
      <c r="Q837" s="12" t="s">
        <v>68</v>
      </c>
      <c r="R837" s="9" t="s">
        <v>27</v>
      </c>
      <c r="S837" s="24" t="s">
        <v>36</v>
      </c>
      <c r="T837" s="9" t="s">
        <v>279</v>
      </c>
    </row>
    <row r="838" spans="1:20" ht="35.25" customHeight="1">
      <c r="A838" s="6">
        <f t="shared" si="101"/>
        <v>837</v>
      </c>
      <c r="B838" s="17" t="s">
        <v>2286</v>
      </c>
      <c r="C838" s="8" t="s">
        <v>2287</v>
      </c>
      <c r="D838" s="9" t="s">
        <v>26</v>
      </c>
      <c r="E838" s="10">
        <v>25351</v>
      </c>
      <c r="F838" s="11">
        <f t="shared" ca="1" si="98"/>
        <v>54.575342465753423</v>
      </c>
      <c r="G838" s="11">
        <f t="shared" si="99"/>
        <v>5</v>
      </c>
      <c r="H838" s="11">
        <f t="shared" si="97"/>
        <v>28</v>
      </c>
      <c r="I838" s="10">
        <v>40640</v>
      </c>
      <c r="J838" s="9" t="s">
        <v>58</v>
      </c>
      <c r="K838" s="9" t="s">
        <v>2288</v>
      </c>
      <c r="L838" s="9" t="s">
        <v>34</v>
      </c>
      <c r="M838" s="9" t="s">
        <v>134</v>
      </c>
      <c r="N838" s="11">
        <v>20</v>
      </c>
      <c r="O838" s="12">
        <f t="shared" ca="1" si="100"/>
        <v>12.687671232876712</v>
      </c>
      <c r="P838" s="12">
        <f t="shared" ca="1" si="96"/>
        <v>32.68767123287671</v>
      </c>
      <c r="Q838" s="12" t="s">
        <v>26</v>
      </c>
      <c r="R838" s="9" t="s">
        <v>27</v>
      </c>
      <c r="S838" s="24" t="s">
        <v>36</v>
      </c>
      <c r="T838" s="9" t="s">
        <v>137</v>
      </c>
    </row>
    <row r="839" spans="1:20" ht="35.25" customHeight="1">
      <c r="A839" s="6">
        <f t="shared" si="101"/>
        <v>838</v>
      </c>
      <c r="B839" s="17" t="s">
        <v>2289</v>
      </c>
      <c r="C839" s="8" t="s">
        <v>2290</v>
      </c>
      <c r="D839" s="9" t="s">
        <v>26</v>
      </c>
      <c r="E839" s="10">
        <v>27488</v>
      </c>
      <c r="F839" s="11">
        <f t="shared" ca="1" si="98"/>
        <v>48.720547945205482</v>
      </c>
      <c r="G839" s="11">
        <f t="shared" si="99"/>
        <v>4</v>
      </c>
      <c r="H839" s="11">
        <f t="shared" si="97"/>
        <v>4</v>
      </c>
      <c r="I839" s="10">
        <v>40639</v>
      </c>
      <c r="J839" s="9" t="s">
        <v>58</v>
      </c>
      <c r="K839" s="9" t="s">
        <v>2291</v>
      </c>
      <c r="L839" s="9" t="s">
        <v>204</v>
      </c>
      <c r="M839" s="9" t="s">
        <v>35</v>
      </c>
      <c r="N839" s="11">
        <v>11</v>
      </c>
      <c r="O839" s="12">
        <f t="shared" ca="1" si="100"/>
        <v>12.69041095890411</v>
      </c>
      <c r="P839" s="12">
        <f t="shared" ca="1" si="96"/>
        <v>23.69041095890411</v>
      </c>
      <c r="Q839" s="12" t="s">
        <v>26</v>
      </c>
      <c r="R839" s="9" t="s">
        <v>27</v>
      </c>
      <c r="S839" s="24" t="s">
        <v>36</v>
      </c>
      <c r="T839" s="9" t="s">
        <v>72</v>
      </c>
    </row>
    <row r="840" spans="1:20" ht="35.25" customHeight="1">
      <c r="A840" s="6">
        <f t="shared" si="101"/>
        <v>839</v>
      </c>
      <c r="B840" s="17" t="s">
        <v>2292</v>
      </c>
      <c r="C840" s="8" t="s">
        <v>2293</v>
      </c>
      <c r="D840" s="9" t="s">
        <v>26</v>
      </c>
      <c r="E840" s="10">
        <v>29760</v>
      </c>
      <c r="F840" s="11">
        <f t="shared" ca="1" si="98"/>
        <v>42.495890410958907</v>
      </c>
      <c r="G840" s="11">
        <f t="shared" si="99"/>
        <v>6</v>
      </c>
      <c r="H840" s="11">
        <f t="shared" si="97"/>
        <v>23</v>
      </c>
      <c r="I840" s="10">
        <v>40641</v>
      </c>
      <c r="J840" s="9" t="s">
        <v>110</v>
      </c>
      <c r="K840" s="9" t="s">
        <v>212</v>
      </c>
      <c r="L840" s="9" t="s">
        <v>213</v>
      </c>
      <c r="M840" s="9" t="s">
        <v>35</v>
      </c>
      <c r="N840" s="11">
        <v>5.0999999999999996</v>
      </c>
      <c r="O840" s="12">
        <f t="shared" ca="1" si="100"/>
        <v>12.684931506849315</v>
      </c>
      <c r="P840" s="12">
        <f t="shared" ca="1" si="96"/>
        <v>17.784931506849315</v>
      </c>
      <c r="Q840" s="12" t="s">
        <v>26</v>
      </c>
      <c r="R840" s="9" t="s">
        <v>27</v>
      </c>
      <c r="S840" s="24" t="s">
        <v>36</v>
      </c>
      <c r="T840" s="9" t="s">
        <v>72</v>
      </c>
    </row>
    <row r="841" spans="1:20" ht="35.25" customHeight="1">
      <c r="A841" s="6">
        <f t="shared" si="101"/>
        <v>840</v>
      </c>
      <c r="B841" s="17" t="s">
        <v>2294</v>
      </c>
      <c r="C841" s="8" t="s">
        <v>2295</v>
      </c>
      <c r="D841" s="9" t="s">
        <v>26</v>
      </c>
      <c r="E841" s="10">
        <v>27192</v>
      </c>
      <c r="F841" s="11">
        <f t="shared" ca="1" si="98"/>
        <v>49.531506849315072</v>
      </c>
      <c r="G841" s="11">
        <f t="shared" si="99"/>
        <v>6</v>
      </c>
      <c r="H841" s="11">
        <f t="shared" si="97"/>
        <v>12</v>
      </c>
      <c r="I841" s="10">
        <v>40642</v>
      </c>
      <c r="J841" s="9" t="s">
        <v>58</v>
      </c>
      <c r="K841" s="9" t="s">
        <v>2296</v>
      </c>
      <c r="L841" s="9" t="s">
        <v>213</v>
      </c>
      <c r="M841" s="9" t="s">
        <v>35</v>
      </c>
      <c r="N841" s="11">
        <v>17</v>
      </c>
      <c r="O841" s="12">
        <f t="shared" ca="1" si="100"/>
        <v>12.682191780821919</v>
      </c>
      <c r="P841" s="12">
        <f t="shared" ca="1" si="96"/>
        <v>29.682191780821917</v>
      </c>
      <c r="Q841" s="12" t="s">
        <v>26</v>
      </c>
      <c r="R841" s="9" t="s">
        <v>27</v>
      </c>
      <c r="S841" s="24" t="s">
        <v>36</v>
      </c>
      <c r="T841" s="9" t="s">
        <v>29</v>
      </c>
    </row>
    <row r="842" spans="1:20" ht="35.25" customHeight="1">
      <c r="A842" s="6">
        <f t="shared" si="101"/>
        <v>841</v>
      </c>
      <c r="B842" s="17" t="s">
        <v>2297</v>
      </c>
      <c r="C842" s="8" t="s">
        <v>2298</v>
      </c>
      <c r="D842" s="9" t="s">
        <v>26</v>
      </c>
      <c r="E842" s="10">
        <v>31496</v>
      </c>
      <c r="F842" s="11">
        <f t="shared" ca="1" si="98"/>
        <v>37.739726027397261</v>
      </c>
      <c r="G842" s="11">
        <f t="shared" si="99"/>
        <v>3</v>
      </c>
      <c r="H842" s="11">
        <f t="shared" si="97"/>
        <v>25</v>
      </c>
      <c r="I842" s="10">
        <v>40641</v>
      </c>
      <c r="J842" s="9" t="s">
        <v>45</v>
      </c>
      <c r="K842" s="9" t="s">
        <v>477</v>
      </c>
      <c r="L842" s="9" t="s">
        <v>34</v>
      </c>
      <c r="M842" s="9" t="s">
        <v>35</v>
      </c>
      <c r="N842" s="11">
        <v>4.5999999999999996</v>
      </c>
      <c r="O842" s="12">
        <f t="shared" ca="1" si="100"/>
        <v>12.684931506849315</v>
      </c>
      <c r="P842" s="12">
        <f t="shared" ca="1" si="96"/>
        <v>17.284931506849315</v>
      </c>
      <c r="Q842" s="12" t="s">
        <v>68</v>
      </c>
      <c r="R842" s="9" t="s">
        <v>27</v>
      </c>
      <c r="S842" s="24" t="s">
        <v>36</v>
      </c>
      <c r="T842" s="9" t="s">
        <v>279</v>
      </c>
    </row>
    <row r="843" spans="1:20" ht="35.25" customHeight="1">
      <c r="A843" s="6">
        <f t="shared" si="101"/>
        <v>842</v>
      </c>
      <c r="B843" s="17" t="s">
        <v>2299</v>
      </c>
      <c r="C843" s="8" t="s">
        <v>2300</v>
      </c>
      <c r="D843" s="9" t="s">
        <v>26</v>
      </c>
      <c r="E843" s="10">
        <v>30357</v>
      </c>
      <c r="F843" s="11">
        <f t="shared" ca="1" si="98"/>
        <v>40.860273972602741</v>
      </c>
      <c r="G843" s="11">
        <f t="shared" si="99"/>
        <v>2</v>
      </c>
      <c r="H843" s="11">
        <f t="shared" si="97"/>
        <v>10</v>
      </c>
      <c r="I843" s="10">
        <v>40635</v>
      </c>
      <c r="J843" s="9" t="s">
        <v>87</v>
      </c>
      <c r="K843" s="9" t="s">
        <v>1486</v>
      </c>
      <c r="L843" s="9" t="s">
        <v>2301</v>
      </c>
      <c r="M843" s="9" t="s">
        <v>35</v>
      </c>
      <c r="N843" s="11">
        <v>4</v>
      </c>
      <c r="O843" s="12">
        <f t="shared" ca="1" si="100"/>
        <v>12.701369863013699</v>
      </c>
      <c r="P843" s="12">
        <f t="shared" ca="1" si="96"/>
        <v>16.701369863013699</v>
      </c>
      <c r="Q843" s="12" t="s">
        <v>2302</v>
      </c>
      <c r="R843" s="9" t="s">
        <v>27</v>
      </c>
      <c r="S843" s="24" t="s">
        <v>36</v>
      </c>
      <c r="T843" s="9" t="s">
        <v>279</v>
      </c>
    </row>
    <row r="844" spans="1:20" ht="35.25" customHeight="1">
      <c r="A844" s="6">
        <f t="shared" si="101"/>
        <v>843</v>
      </c>
      <c r="B844" s="17" t="s">
        <v>2303</v>
      </c>
      <c r="C844" s="8" t="s">
        <v>2304</v>
      </c>
      <c r="D844" s="9" t="s">
        <v>26</v>
      </c>
      <c r="E844" s="10">
        <v>20118</v>
      </c>
      <c r="F844" s="11">
        <f t="shared" ca="1" si="98"/>
        <v>68.912328767123284</v>
      </c>
      <c r="G844" s="11">
        <f t="shared" si="99"/>
        <v>1</v>
      </c>
      <c r="H844" s="11">
        <f t="shared" si="97"/>
        <v>29</v>
      </c>
      <c r="I844" s="10">
        <v>40637</v>
      </c>
      <c r="J844" s="9" t="s">
        <v>32</v>
      </c>
      <c r="K844" s="9" t="s">
        <v>1139</v>
      </c>
      <c r="L844" s="9" t="s">
        <v>34</v>
      </c>
      <c r="M844" s="9" t="s">
        <v>491</v>
      </c>
      <c r="N844" s="11">
        <v>30</v>
      </c>
      <c r="O844" s="12">
        <f t="shared" ca="1" si="100"/>
        <v>12.695890410958905</v>
      </c>
      <c r="P844" s="12">
        <f t="shared" ref="P844:P907" ca="1" si="102">SUM(N844+O844)</f>
        <v>42.695890410958903</v>
      </c>
      <c r="Q844" s="12" t="s">
        <v>26</v>
      </c>
      <c r="R844" s="9" t="s">
        <v>792</v>
      </c>
      <c r="S844" s="24" t="s">
        <v>36</v>
      </c>
      <c r="T844" s="9" t="s">
        <v>492</v>
      </c>
    </row>
    <row r="845" spans="1:20" ht="35.25" customHeight="1">
      <c r="A845" s="6">
        <f t="shared" si="101"/>
        <v>844</v>
      </c>
      <c r="B845" s="17" t="s">
        <v>2305</v>
      </c>
      <c r="C845" s="8" t="s">
        <v>2306</v>
      </c>
      <c r="D845" s="9" t="s">
        <v>26</v>
      </c>
      <c r="E845" s="10">
        <v>23464</v>
      </c>
      <c r="F845" s="11">
        <f t="shared" ca="1" si="98"/>
        <v>59.745205479452054</v>
      </c>
      <c r="G845" s="11">
        <f t="shared" si="99"/>
        <v>3</v>
      </c>
      <c r="H845" s="11">
        <f t="shared" si="97"/>
        <v>28</v>
      </c>
      <c r="I845" s="10">
        <v>40651</v>
      </c>
      <c r="J845" s="9" t="s">
        <v>110</v>
      </c>
      <c r="K845" s="9" t="s">
        <v>1212</v>
      </c>
      <c r="L845" s="9" t="s">
        <v>24</v>
      </c>
      <c r="M845" s="9" t="s">
        <v>25</v>
      </c>
      <c r="N845" s="11">
        <v>21.6</v>
      </c>
      <c r="O845" s="12">
        <f t="shared" ca="1" si="100"/>
        <v>12.657534246575343</v>
      </c>
      <c r="P845" s="12">
        <f t="shared" ca="1" si="102"/>
        <v>34.257534246575347</v>
      </c>
      <c r="Q845" s="12" t="s">
        <v>26</v>
      </c>
      <c r="R845" s="9" t="s">
        <v>27</v>
      </c>
      <c r="S845" s="24" t="s">
        <v>28</v>
      </c>
      <c r="T845" s="9" t="s">
        <v>29</v>
      </c>
    </row>
    <row r="846" spans="1:20" ht="35.25" customHeight="1">
      <c r="A846" s="6">
        <f t="shared" si="101"/>
        <v>845</v>
      </c>
      <c r="B846" s="17" t="s">
        <v>2307</v>
      </c>
      <c r="C846" s="8" t="s">
        <v>2308</v>
      </c>
      <c r="D846" s="9" t="s">
        <v>26</v>
      </c>
      <c r="E846" s="10">
        <v>25444</v>
      </c>
      <c r="F846" s="11">
        <f t="shared" ca="1" si="98"/>
        <v>54.320547945205476</v>
      </c>
      <c r="G846" s="11">
        <f t="shared" si="99"/>
        <v>8</v>
      </c>
      <c r="H846" s="11">
        <f t="shared" si="97"/>
        <v>29</v>
      </c>
      <c r="I846" s="10">
        <v>40644</v>
      </c>
      <c r="J846" s="9" t="s">
        <v>318</v>
      </c>
      <c r="K846" s="9" t="s">
        <v>1159</v>
      </c>
      <c r="L846" s="9" t="s">
        <v>34</v>
      </c>
      <c r="M846" s="9" t="s">
        <v>35</v>
      </c>
      <c r="N846" s="11">
        <v>17.100000000000001</v>
      </c>
      <c r="O846" s="12">
        <f t="shared" ca="1" si="100"/>
        <v>12.676712328767124</v>
      </c>
      <c r="P846" s="12">
        <f t="shared" ca="1" si="102"/>
        <v>29.776712328767125</v>
      </c>
      <c r="Q846" s="12" t="s">
        <v>26</v>
      </c>
      <c r="R846" s="9" t="s">
        <v>27</v>
      </c>
      <c r="S846" s="24" t="s">
        <v>36</v>
      </c>
      <c r="T846" s="9" t="s">
        <v>72</v>
      </c>
    </row>
    <row r="847" spans="1:20" ht="35.25" customHeight="1">
      <c r="A847" s="6">
        <f t="shared" si="101"/>
        <v>846</v>
      </c>
      <c r="B847" s="17" t="s">
        <v>2309</v>
      </c>
      <c r="C847" s="8" t="s">
        <v>2310</v>
      </c>
      <c r="D847" s="9" t="s">
        <v>26</v>
      </c>
      <c r="E847" s="10">
        <v>31719</v>
      </c>
      <c r="F847" s="11">
        <f t="shared" ca="1" si="98"/>
        <v>37.128767123287673</v>
      </c>
      <c r="G847" s="11">
        <f t="shared" si="99"/>
        <v>11</v>
      </c>
      <c r="H847" s="11">
        <f t="shared" si="97"/>
        <v>3</v>
      </c>
      <c r="I847" s="10">
        <v>40644</v>
      </c>
      <c r="J847" s="9" t="s">
        <v>45</v>
      </c>
      <c r="K847" s="9" t="s">
        <v>477</v>
      </c>
      <c r="L847" s="9" t="s">
        <v>34</v>
      </c>
      <c r="M847" s="9" t="s">
        <v>35</v>
      </c>
      <c r="N847" s="11">
        <v>3.11</v>
      </c>
      <c r="O847" s="12">
        <f t="shared" ca="1" si="100"/>
        <v>12.676712328767124</v>
      </c>
      <c r="P847" s="12">
        <f t="shared" ca="1" si="102"/>
        <v>15.786712328767123</v>
      </c>
      <c r="Q847" s="12" t="s">
        <v>26</v>
      </c>
      <c r="R847" s="9" t="s">
        <v>27</v>
      </c>
      <c r="S847" s="24" t="s">
        <v>36</v>
      </c>
      <c r="T847" s="9" t="s">
        <v>137</v>
      </c>
    </row>
    <row r="848" spans="1:20" ht="35.25" customHeight="1">
      <c r="A848" s="6">
        <f t="shared" si="101"/>
        <v>847</v>
      </c>
      <c r="B848" s="17" t="s">
        <v>2311</v>
      </c>
      <c r="C848" s="8" t="s">
        <v>2312</v>
      </c>
      <c r="D848" s="9" t="s">
        <v>26</v>
      </c>
      <c r="E848" s="10">
        <v>32266</v>
      </c>
      <c r="F848" s="11">
        <f t="shared" ca="1" si="98"/>
        <v>35.630136986301373</v>
      </c>
      <c r="G848" s="11">
        <f t="shared" si="99"/>
        <v>5</v>
      </c>
      <c r="H848" s="11">
        <f t="shared" si="97"/>
        <v>3</v>
      </c>
      <c r="I848" s="10">
        <v>40647</v>
      </c>
      <c r="J848" s="9" t="s">
        <v>226</v>
      </c>
      <c r="K848" s="9" t="s">
        <v>710</v>
      </c>
      <c r="L848" s="9" t="s">
        <v>55</v>
      </c>
      <c r="M848" s="9" t="s">
        <v>35</v>
      </c>
      <c r="N848" s="11">
        <v>2.8</v>
      </c>
      <c r="O848" s="12">
        <f t="shared" ca="1" si="100"/>
        <v>12.668493150684931</v>
      </c>
      <c r="P848" s="12">
        <f t="shared" ca="1" si="102"/>
        <v>15.468493150684932</v>
      </c>
      <c r="Q848" s="12" t="s">
        <v>68</v>
      </c>
      <c r="R848" s="9" t="s">
        <v>27</v>
      </c>
      <c r="S848" s="24" t="s">
        <v>36</v>
      </c>
      <c r="T848" s="9" t="s">
        <v>186</v>
      </c>
    </row>
    <row r="849" spans="1:20" ht="35.25" customHeight="1">
      <c r="A849" s="6">
        <f t="shared" si="101"/>
        <v>848</v>
      </c>
      <c r="B849" s="17" t="s">
        <v>2313</v>
      </c>
      <c r="C849" s="8" t="s">
        <v>2314</v>
      </c>
      <c r="D849" s="9" t="s">
        <v>26</v>
      </c>
      <c r="E849" s="10">
        <v>30122</v>
      </c>
      <c r="F849" s="11">
        <f t="shared" ca="1" si="98"/>
        <v>41.504109589041093</v>
      </c>
      <c r="G849" s="11">
        <f t="shared" si="99"/>
        <v>6</v>
      </c>
      <c r="H849" s="11">
        <f t="shared" si="97"/>
        <v>20</v>
      </c>
      <c r="I849" s="10">
        <v>40647</v>
      </c>
      <c r="J849" s="9" t="s">
        <v>22</v>
      </c>
      <c r="K849" s="9" t="s">
        <v>388</v>
      </c>
      <c r="L849" s="9" t="s">
        <v>213</v>
      </c>
      <c r="M849" s="9" t="s">
        <v>35</v>
      </c>
      <c r="N849" s="11">
        <v>6.6</v>
      </c>
      <c r="O849" s="12">
        <f t="shared" ca="1" si="100"/>
        <v>12.668493150684931</v>
      </c>
      <c r="P849" s="12">
        <f t="shared" ca="1" si="102"/>
        <v>19.268493150684932</v>
      </c>
      <c r="Q849" s="12" t="s">
        <v>26</v>
      </c>
      <c r="R849" s="9" t="s">
        <v>27</v>
      </c>
      <c r="S849" s="24" t="s">
        <v>28</v>
      </c>
      <c r="T849" s="9" t="s">
        <v>29</v>
      </c>
    </row>
    <row r="850" spans="1:20" ht="35.25" customHeight="1">
      <c r="A850" s="6">
        <f t="shared" si="101"/>
        <v>849</v>
      </c>
      <c r="B850" s="17" t="s">
        <v>2315</v>
      </c>
      <c r="C850" s="8" t="s">
        <v>2316</v>
      </c>
      <c r="D850" s="9" t="s">
        <v>26</v>
      </c>
      <c r="E850" s="10">
        <v>30477</v>
      </c>
      <c r="F850" s="11">
        <f t="shared" ca="1" si="98"/>
        <v>40.531506849315072</v>
      </c>
      <c r="G850" s="11">
        <f t="shared" si="99"/>
        <v>6</v>
      </c>
      <c r="H850" s="11">
        <f t="shared" si="97"/>
        <v>10</v>
      </c>
      <c r="I850" s="10">
        <v>40644</v>
      </c>
      <c r="J850" s="9" t="s">
        <v>45</v>
      </c>
      <c r="K850" s="9" t="s">
        <v>477</v>
      </c>
      <c r="L850" s="9" t="s">
        <v>34</v>
      </c>
      <c r="M850" s="9" t="s">
        <v>35</v>
      </c>
      <c r="N850" s="11">
        <v>4.0999999999999996</v>
      </c>
      <c r="O850" s="12">
        <f t="shared" ca="1" si="100"/>
        <v>12.676712328767124</v>
      </c>
      <c r="P850" s="12">
        <f t="shared" ca="1" si="102"/>
        <v>16.776712328767125</v>
      </c>
      <c r="Q850" s="12" t="s">
        <v>68</v>
      </c>
      <c r="R850" s="9" t="s">
        <v>27</v>
      </c>
      <c r="S850" s="24" t="s">
        <v>36</v>
      </c>
      <c r="T850" s="9" t="s">
        <v>37</v>
      </c>
    </row>
    <row r="851" spans="1:20" ht="35.25" customHeight="1">
      <c r="A851" s="6">
        <f t="shared" si="101"/>
        <v>850</v>
      </c>
      <c r="B851" s="17" t="s">
        <v>2317</v>
      </c>
      <c r="C851" s="8" t="s">
        <v>2318</v>
      </c>
      <c r="D851" s="9" t="s">
        <v>26</v>
      </c>
      <c r="E851" s="10">
        <v>28585</v>
      </c>
      <c r="F851" s="11">
        <f t="shared" ca="1" si="98"/>
        <v>45.715068493150682</v>
      </c>
      <c r="G851" s="11">
        <f t="shared" si="99"/>
        <v>4</v>
      </c>
      <c r="H851" s="11">
        <f t="shared" si="97"/>
        <v>5</v>
      </c>
      <c r="I851" s="10">
        <v>40647</v>
      </c>
      <c r="J851" s="9" t="s">
        <v>110</v>
      </c>
      <c r="K851" s="9" t="s">
        <v>1165</v>
      </c>
      <c r="L851" s="9" t="s">
        <v>34</v>
      </c>
      <c r="M851" s="9" t="s">
        <v>35</v>
      </c>
      <c r="N851" s="11">
        <v>13.9</v>
      </c>
      <c r="O851" s="12">
        <f t="shared" ca="1" si="100"/>
        <v>12.668493150684931</v>
      </c>
      <c r="P851" s="12">
        <f t="shared" ca="1" si="102"/>
        <v>26.56849315068493</v>
      </c>
      <c r="Q851" s="12" t="s">
        <v>26</v>
      </c>
      <c r="R851" s="9" t="s">
        <v>27</v>
      </c>
      <c r="S851" s="24" t="s">
        <v>36</v>
      </c>
      <c r="T851" s="9" t="s">
        <v>37</v>
      </c>
    </row>
    <row r="852" spans="1:20" ht="35.25" customHeight="1">
      <c r="A852" s="6">
        <f t="shared" si="101"/>
        <v>851</v>
      </c>
      <c r="B852" s="17" t="s">
        <v>2319</v>
      </c>
      <c r="C852" s="8" t="s">
        <v>2320</v>
      </c>
      <c r="D852" s="9" t="s">
        <v>26</v>
      </c>
      <c r="E852" s="10">
        <v>31511</v>
      </c>
      <c r="F852" s="11">
        <f t="shared" ca="1" si="98"/>
        <v>37.698630136986303</v>
      </c>
      <c r="G852" s="11">
        <f t="shared" si="99"/>
        <v>4</v>
      </c>
      <c r="H852" s="11">
        <f t="shared" si="97"/>
        <v>9</v>
      </c>
      <c r="I852" s="10">
        <v>40651</v>
      </c>
      <c r="J852" s="9" t="s">
        <v>87</v>
      </c>
      <c r="K852" s="9" t="s">
        <v>332</v>
      </c>
      <c r="L852" s="9" t="s">
        <v>34</v>
      </c>
      <c r="M852" s="9" t="s">
        <v>35</v>
      </c>
      <c r="N852" s="11">
        <v>5.8</v>
      </c>
      <c r="O852" s="12">
        <f t="shared" ca="1" si="100"/>
        <v>12.657534246575343</v>
      </c>
      <c r="P852" s="12">
        <f t="shared" ca="1" si="102"/>
        <v>18.457534246575342</v>
      </c>
      <c r="Q852" s="12" t="s">
        <v>68</v>
      </c>
      <c r="R852" s="9" t="s">
        <v>27</v>
      </c>
      <c r="S852" s="24" t="s">
        <v>28</v>
      </c>
      <c r="T852" s="9" t="s">
        <v>37</v>
      </c>
    </row>
    <row r="853" spans="1:20" ht="35.25" customHeight="1">
      <c r="A853" s="6">
        <f t="shared" si="101"/>
        <v>852</v>
      </c>
      <c r="B853" s="17" t="s">
        <v>2321</v>
      </c>
      <c r="C853" s="8" t="s">
        <v>2322</v>
      </c>
      <c r="D853" s="9" t="s">
        <v>26</v>
      </c>
      <c r="E853" s="10">
        <v>24201</v>
      </c>
      <c r="F853" s="11">
        <f t="shared" ca="1" si="98"/>
        <v>57.726027397260275</v>
      </c>
      <c r="G853" s="11">
        <f t="shared" si="99"/>
        <v>4</v>
      </c>
      <c r="H853" s="11">
        <f t="shared" si="97"/>
        <v>4</v>
      </c>
      <c r="I853" s="10">
        <v>40651</v>
      </c>
      <c r="J853" s="9" t="s">
        <v>58</v>
      </c>
      <c r="K853" s="9" t="s">
        <v>2323</v>
      </c>
      <c r="L853" s="9" t="s">
        <v>724</v>
      </c>
      <c r="M853" s="9" t="s">
        <v>134</v>
      </c>
      <c r="N853" s="11">
        <v>23.7</v>
      </c>
      <c r="O853" s="12">
        <f t="shared" ca="1" si="100"/>
        <v>12.657534246575343</v>
      </c>
      <c r="P853" s="12">
        <f t="shared" ca="1" si="102"/>
        <v>36.357534246575341</v>
      </c>
      <c r="Q853" s="12" t="s">
        <v>26</v>
      </c>
      <c r="R853" s="9" t="s">
        <v>232</v>
      </c>
      <c r="S853" s="24" t="s">
        <v>28</v>
      </c>
      <c r="T853" s="9" t="s">
        <v>137</v>
      </c>
    </row>
    <row r="854" spans="1:20" ht="35.25" customHeight="1">
      <c r="A854" s="6">
        <f t="shared" si="101"/>
        <v>853</v>
      </c>
      <c r="B854" s="17" t="s">
        <v>2324</v>
      </c>
      <c r="C854" s="8" t="s">
        <v>2325</v>
      </c>
      <c r="D854" s="9" t="s">
        <v>26</v>
      </c>
      <c r="E854" s="10">
        <v>31789</v>
      </c>
      <c r="F854" s="11">
        <f t="shared" ca="1" si="98"/>
        <v>36.936986301369863</v>
      </c>
      <c r="G854" s="11">
        <f t="shared" si="99"/>
        <v>1</v>
      </c>
      <c r="H854" s="11">
        <f t="shared" si="97"/>
        <v>12</v>
      </c>
      <c r="I854" s="10">
        <v>40653</v>
      </c>
      <c r="J854" s="9" t="s">
        <v>87</v>
      </c>
      <c r="K854" s="9" t="s">
        <v>1832</v>
      </c>
      <c r="L854" s="9" t="s">
        <v>34</v>
      </c>
      <c r="M854" s="9" t="s">
        <v>35</v>
      </c>
      <c r="N854" s="11">
        <v>3</v>
      </c>
      <c r="O854" s="12">
        <f t="shared" ca="1" si="100"/>
        <v>12.652054794520549</v>
      </c>
      <c r="P854" s="12">
        <f t="shared" ca="1" si="102"/>
        <v>15.652054794520549</v>
      </c>
      <c r="Q854" s="12" t="s">
        <v>68</v>
      </c>
      <c r="R854" s="9" t="s">
        <v>27</v>
      </c>
      <c r="S854" s="24" t="s">
        <v>36</v>
      </c>
      <c r="T854" s="9" t="s">
        <v>1644</v>
      </c>
    </row>
    <row r="855" spans="1:20" ht="35.25" customHeight="1">
      <c r="A855" s="6">
        <f t="shared" si="101"/>
        <v>854</v>
      </c>
      <c r="B855" s="17" t="s">
        <v>2326</v>
      </c>
      <c r="C855" s="8" t="s">
        <v>2327</v>
      </c>
      <c r="D855" s="9" t="s">
        <v>26</v>
      </c>
      <c r="E855" s="10">
        <v>31948</v>
      </c>
      <c r="F855" s="11">
        <f t="shared" ca="1" si="98"/>
        <v>36.5013698630137</v>
      </c>
      <c r="G855" s="11">
        <f t="shared" si="99"/>
        <v>6</v>
      </c>
      <c r="H855" s="11">
        <f t="shared" si="97"/>
        <v>20</v>
      </c>
      <c r="I855" s="10">
        <v>40653</v>
      </c>
      <c r="J855" s="9" t="s">
        <v>87</v>
      </c>
      <c r="K855" s="9" t="s">
        <v>1832</v>
      </c>
      <c r="L855" s="9" t="s">
        <v>34</v>
      </c>
      <c r="M855" s="9" t="s">
        <v>35</v>
      </c>
      <c r="N855" s="11">
        <v>3</v>
      </c>
      <c r="O855" s="12">
        <f t="shared" ca="1" si="100"/>
        <v>12.652054794520549</v>
      </c>
      <c r="P855" s="12">
        <f t="shared" ca="1" si="102"/>
        <v>15.652054794520549</v>
      </c>
      <c r="Q855" s="12" t="s">
        <v>68</v>
      </c>
      <c r="R855" s="9" t="s">
        <v>27</v>
      </c>
      <c r="S855" s="24" t="s">
        <v>36</v>
      </c>
      <c r="T855" s="9" t="s">
        <v>279</v>
      </c>
    </row>
    <row r="856" spans="1:20" ht="35.25" customHeight="1">
      <c r="A856" s="6">
        <f t="shared" si="101"/>
        <v>855</v>
      </c>
      <c r="B856" s="17" t="s">
        <v>2328</v>
      </c>
      <c r="C856" s="8" t="s">
        <v>2329</v>
      </c>
      <c r="D856" s="9" t="s">
        <v>26</v>
      </c>
      <c r="E856" s="10">
        <v>31874</v>
      </c>
      <c r="F856" s="11">
        <f t="shared" ca="1" si="98"/>
        <v>36.704109589041096</v>
      </c>
      <c r="G856" s="11">
        <f t="shared" si="99"/>
        <v>4</v>
      </c>
      <c r="H856" s="11">
        <f t="shared" si="97"/>
        <v>7</v>
      </c>
      <c r="I856" s="10">
        <v>40653</v>
      </c>
      <c r="J856" s="9" t="s">
        <v>45</v>
      </c>
      <c r="K856" s="9" t="s">
        <v>477</v>
      </c>
      <c r="L856" s="9" t="s">
        <v>34</v>
      </c>
      <c r="M856" s="9" t="s">
        <v>35</v>
      </c>
      <c r="N856" s="11">
        <v>4</v>
      </c>
      <c r="O856" s="12">
        <f t="shared" ca="1" si="100"/>
        <v>12.652054794520549</v>
      </c>
      <c r="P856" s="12">
        <f t="shared" ca="1" si="102"/>
        <v>16.652054794520549</v>
      </c>
      <c r="Q856" s="12" t="s">
        <v>68</v>
      </c>
      <c r="R856" s="9" t="s">
        <v>27</v>
      </c>
      <c r="S856" s="24" t="s">
        <v>36</v>
      </c>
      <c r="T856" s="9" t="s">
        <v>186</v>
      </c>
    </row>
    <row r="857" spans="1:20" ht="35.25" customHeight="1">
      <c r="A857" s="6">
        <f t="shared" si="101"/>
        <v>856</v>
      </c>
      <c r="B857" s="17" t="s">
        <v>2330</v>
      </c>
      <c r="C857" s="8" t="s">
        <v>2331</v>
      </c>
      <c r="D857" s="9" t="s">
        <v>26</v>
      </c>
      <c r="E857" s="10">
        <v>32601</v>
      </c>
      <c r="F857" s="11">
        <f t="shared" ca="1" si="98"/>
        <v>34.712328767123289</v>
      </c>
      <c r="G857" s="11">
        <f t="shared" si="99"/>
        <v>4</v>
      </c>
      <c r="H857" s="11">
        <f t="shared" ref="H857:H903" si="103">DAY(E857)</f>
        <v>3</v>
      </c>
      <c r="I857" s="10">
        <v>40653</v>
      </c>
      <c r="J857" s="9" t="s">
        <v>45</v>
      </c>
      <c r="K857" s="9" t="s">
        <v>477</v>
      </c>
      <c r="L857" s="9" t="s">
        <v>34</v>
      </c>
      <c r="M857" s="9" t="s">
        <v>35</v>
      </c>
      <c r="N857" s="11">
        <v>4</v>
      </c>
      <c r="O857" s="12">
        <f t="shared" ca="1" si="100"/>
        <v>12.652054794520549</v>
      </c>
      <c r="P857" s="12">
        <f t="shared" ca="1" si="102"/>
        <v>16.652054794520549</v>
      </c>
      <c r="Q857" s="12" t="s">
        <v>68</v>
      </c>
      <c r="R857" s="9" t="s">
        <v>27</v>
      </c>
      <c r="S857" s="24" t="s">
        <v>36</v>
      </c>
      <c r="T857" s="9" t="s">
        <v>186</v>
      </c>
    </row>
    <row r="858" spans="1:20" ht="35.25" customHeight="1">
      <c r="A858" s="6">
        <f t="shared" si="101"/>
        <v>857</v>
      </c>
      <c r="B858" s="17" t="s">
        <v>2332</v>
      </c>
      <c r="C858" s="8" t="s">
        <v>2333</v>
      </c>
      <c r="D858" s="9" t="s">
        <v>26</v>
      </c>
      <c r="E858" s="10">
        <v>30471</v>
      </c>
      <c r="F858" s="11">
        <f t="shared" ca="1" si="98"/>
        <v>40.547945205479451</v>
      </c>
      <c r="G858" s="11">
        <f t="shared" si="99"/>
        <v>6</v>
      </c>
      <c r="H858" s="11">
        <f t="shared" si="103"/>
        <v>4</v>
      </c>
      <c r="I858" s="10">
        <v>40658</v>
      </c>
      <c r="J858" s="9" t="s">
        <v>110</v>
      </c>
      <c r="K858" s="9" t="s">
        <v>1212</v>
      </c>
      <c r="L858" s="9" t="s">
        <v>24</v>
      </c>
      <c r="M858" s="9" t="s">
        <v>35</v>
      </c>
      <c r="N858" s="11">
        <v>5.6</v>
      </c>
      <c r="O858" s="12">
        <f t="shared" ca="1" si="100"/>
        <v>12.638356164383561</v>
      </c>
      <c r="P858" s="12">
        <f t="shared" ca="1" si="102"/>
        <v>18.238356164383561</v>
      </c>
      <c r="Q858" s="12" t="s">
        <v>68</v>
      </c>
      <c r="R858" s="9" t="s">
        <v>27</v>
      </c>
      <c r="S858" s="24" t="s">
        <v>36</v>
      </c>
      <c r="T858" s="9" t="s">
        <v>72</v>
      </c>
    </row>
    <row r="859" spans="1:20" ht="35.25" customHeight="1">
      <c r="A859" s="6">
        <f t="shared" si="101"/>
        <v>858</v>
      </c>
      <c r="B859" s="17" t="s">
        <v>2334</v>
      </c>
      <c r="C859" s="8" t="s">
        <v>2335</v>
      </c>
      <c r="D859" s="9" t="s">
        <v>26</v>
      </c>
      <c r="E859" s="10">
        <v>31427</v>
      </c>
      <c r="F859" s="11">
        <f t="shared" ca="1" si="98"/>
        <v>37.92876712328767</v>
      </c>
      <c r="G859" s="11">
        <f t="shared" si="99"/>
        <v>1</v>
      </c>
      <c r="H859" s="11">
        <f t="shared" si="103"/>
        <v>15</v>
      </c>
      <c r="I859" s="10">
        <v>40658</v>
      </c>
      <c r="J859" s="9" t="s">
        <v>45</v>
      </c>
      <c r="K859" s="9" t="s">
        <v>2336</v>
      </c>
      <c r="L859" s="9" t="s">
        <v>1992</v>
      </c>
      <c r="M859" s="9" t="s">
        <v>35</v>
      </c>
      <c r="N859" s="11">
        <v>4.0999999999999996</v>
      </c>
      <c r="O859" s="12">
        <f t="shared" ca="1" si="100"/>
        <v>12.638356164383561</v>
      </c>
      <c r="P859" s="12">
        <f t="shared" ca="1" si="102"/>
        <v>16.738356164383561</v>
      </c>
      <c r="Q859" s="12" t="s">
        <v>68</v>
      </c>
      <c r="R859" s="9" t="s">
        <v>27</v>
      </c>
      <c r="S859" s="24" t="s">
        <v>36</v>
      </c>
      <c r="T859" s="9" t="s">
        <v>1639</v>
      </c>
    </row>
    <row r="860" spans="1:20" ht="35.25" customHeight="1">
      <c r="A860" s="6">
        <f t="shared" si="101"/>
        <v>859</v>
      </c>
      <c r="B860" s="17" t="s">
        <v>2337</v>
      </c>
      <c r="C860" s="8" t="s">
        <v>2338</v>
      </c>
      <c r="D860" s="9" t="s">
        <v>26</v>
      </c>
      <c r="E860" s="10">
        <v>31205</v>
      </c>
      <c r="F860" s="11">
        <f t="shared" ref="F860:F923" ca="1" si="104">(TODAY()-E860)/365</f>
        <v>38.536986301369865</v>
      </c>
      <c r="G860" s="11">
        <f t="shared" ref="G860:G903" si="105">MONTH(E860)</f>
        <v>6</v>
      </c>
      <c r="H860" s="11">
        <f t="shared" si="103"/>
        <v>7</v>
      </c>
      <c r="I860" s="10">
        <v>40658</v>
      </c>
      <c r="J860" s="9" t="s">
        <v>45</v>
      </c>
      <c r="K860" s="9" t="s">
        <v>477</v>
      </c>
      <c r="L860" s="9" t="s">
        <v>34</v>
      </c>
      <c r="M860" s="9" t="s">
        <v>35</v>
      </c>
      <c r="N860" s="11">
        <v>4</v>
      </c>
      <c r="O860" s="12">
        <f t="shared" ca="1" si="100"/>
        <v>12.638356164383561</v>
      </c>
      <c r="P860" s="12">
        <f t="shared" ca="1" si="102"/>
        <v>16.638356164383559</v>
      </c>
      <c r="Q860" s="12" t="s">
        <v>68</v>
      </c>
      <c r="R860" s="9" t="s">
        <v>27</v>
      </c>
      <c r="S860" s="24" t="s">
        <v>36</v>
      </c>
      <c r="T860" s="9" t="s">
        <v>37</v>
      </c>
    </row>
    <row r="861" spans="1:20" ht="35.25" customHeight="1">
      <c r="A861" s="6">
        <f t="shared" si="101"/>
        <v>860</v>
      </c>
      <c r="B861" s="17" t="s">
        <v>2339</v>
      </c>
      <c r="C861" s="8" t="s">
        <v>2340</v>
      </c>
      <c r="D861" s="9" t="s">
        <v>26</v>
      </c>
      <c r="E861" s="10">
        <v>29606</v>
      </c>
      <c r="F861" s="11">
        <f t="shared" ca="1" si="104"/>
        <v>42.917808219178085</v>
      </c>
      <c r="G861" s="11">
        <f t="shared" si="105"/>
        <v>1</v>
      </c>
      <c r="H861" s="11">
        <f t="shared" si="103"/>
        <v>20</v>
      </c>
      <c r="I861" s="10">
        <v>40658</v>
      </c>
      <c r="J861" s="9" t="s">
        <v>50</v>
      </c>
      <c r="K861" s="9" t="s">
        <v>2341</v>
      </c>
      <c r="L861" s="9" t="s">
        <v>60</v>
      </c>
      <c r="M861" s="9" t="s">
        <v>35</v>
      </c>
      <c r="N861" s="11">
        <v>5.8</v>
      </c>
      <c r="O861" s="12">
        <f t="shared" ca="1" si="100"/>
        <v>12.638356164383561</v>
      </c>
      <c r="P861" s="12">
        <f t="shared" ca="1" si="102"/>
        <v>18.43835616438356</v>
      </c>
      <c r="Q861" s="12" t="s">
        <v>26</v>
      </c>
      <c r="R861" s="9" t="s">
        <v>27</v>
      </c>
      <c r="S861" s="24" t="s">
        <v>28</v>
      </c>
      <c r="T861" s="9" t="s">
        <v>29</v>
      </c>
    </row>
    <row r="862" spans="1:20" ht="35.25" customHeight="1">
      <c r="A862" s="6">
        <f t="shared" si="101"/>
        <v>861</v>
      </c>
      <c r="B862" s="17" t="s">
        <v>2342</v>
      </c>
      <c r="C862" s="8" t="s">
        <v>2343</v>
      </c>
      <c r="D862" s="9" t="s">
        <v>26</v>
      </c>
      <c r="E862" s="10">
        <v>26709</v>
      </c>
      <c r="F862" s="11">
        <f t="shared" ca="1" si="104"/>
        <v>50.854794520547948</v>
      </c>
      <c r="G862" s="11">
        <f t="shared" si="105"/>
        <v>2</v>
      </c>
      <c r="H862" s="11">
        <f t="shared" si="103"/>
        <v>14</v>
      </c>
      <c r="I862" s="10">
        <v>40665</v>
      </c>
      <c r="J862" s="9" t="s">
        <v>110</v>
      </c>
      <c r="K862" s="9" t="s">
        <v>2208</v>
      </c>
      <c r="L862" s="9" t="s">
        <v>1992</v>
      </c>
      <c r="M862" s="9" t="s">
        <v>35</v>
      </c>
      <c r="N862" s="11">
        <v>16</v>
      </c>
      <c r="O862" s="12">
        <f t="shared" ca="1" si="100"/>
        <v>12.61917808219178</v>
      </c>
      <c r="P862" s="12">
        <f t="shared" ca="1" si="102"/>
        <v>28.61917808219178</v>
      </c>
      <c r="Q862" s="12" t="s">
        <v>26</v>
      </c>
      <c r="R862" s="9" t="s">
        <v>627</v>
      </c>
      <c r="S862" s="24" t="s">
        <v>36</v>
      </c>
      <c r="T862" s="9" t="s">
        <v>1329</v>
      </c>
    </row>
    <row r="863" spans="1:20" ht="35.25" customHeight="1">
      <c r="A863" s="6">
        <f t="shared" si="101"/>
        <v>862</v>
      </c>
      <c r="B863" s="17" t="s">
        <v>2344</v>
      </c>
      <c r="C863" s="8" t="s">
        <v>2345</v>
      </c>
      <c r="D863" s="9" t="s">
        <v>26</v>
      </c>
      <c r="E863" s="10">
        <v>29023</v>
      </c>
      <c r="F863" s="11">
        <f t="shared" ca="1" si="104"/>
        <v>44.515068493150686</v>
      </c>
      <c r="G863" s="11">
        <f t="shared" si="105"/>
        <v>6</v>
      </c>
      <c r="H863" s="11">
        <f t="shared" si="103"/>
        <v>17</v>
      </c>
      <c r="I863" s="10">
        <v>40665</v>
      </c>
      <c r="J863" s="9" t="s">
        <v>132</v>
      </c>
      <c r="K863" s="9" t="s">
        <v>2346</v>
      </c>
      <c r="L863" s="9" t="s">
        <v>290</v>
      </c>
      <c r="M863" s="9" t="s">
        <v>35</v>
      </c>
      <c r="N863" s="11">
        <v>13</v>
      </c>
      <c r="O863" s="12">
        <f t="shared" ca="1" si="100"/>
        <v>12.61917808219178</v>
      </c>
      <c r="P863" s="12">
        <f t="shared" ca="1" si="102"/>
        <v>25.61917808219178</v>
      </c>
      <c r="Q863" s="12" t="s">
        <v>26</v>
      </c>
      <c r="R863" s="9" t="s">
        <v>232</v>
      </c>
      <c r="S863" s="24" t="s">
        <v>28</v>
      </c>
      <c r="T863" s="9" t="s">
        <v>29</v>
      </c>
    </row>
    <row r="864" spans="1:20" ht="35.25" customHeight="1">
      <c r="A864" s="6">
        <f t="shared" si="101"/>
        <v>863</v>
      </c>
      <c r="B864" s="17" t="s">
        <v>2347</v>
      </c>
      <c r="C864" s="8" t="s">
        <v>2348</v>
      </c>
      <c r="D864" s="9" t="s">
        <v>26</v>
      </c>
      <c r="E864" s="10">
        <v>24430</v>
      </c>
      <c r="F864" s="11">
        <f t="shared" ca="1" si="104"/>
        <v>57.098630136986301</v>
      </c>
      <c r="G864" s="11">
        <f t="shared" si="105"/>
        <v>11</v>
      </c>
      <c r="H864" s="11">
        <f t="shared" si="103"/>
        <v>19</v>
      </c>
      <c r="I864" s="10">
        <v>40661</v>
      </c>
      <c r="J864" s="9" t="s">
        <v>58</v>
      </c>
      <c r="K864" s="9" t="s">
        <v>2349</v>
      </c>
      <c r="L864" s="9" t="s">
        <v>89</v>
      </c>
      <c r="M864" s="9" t="s">
        <v>156</v>
      </c>
      <c r="N864" s="11">
        <v>6</v>
      </c>
      <c r="O864" s="12">
        <f t="shared" ca="1" si="100"/>
        <v>12.63013698630137</v>
      </c>
      <c r="P864" s="12">
        <f t="shared" ca="1" si="102"/>
        <v>18.63013698630137</v>
      </c>
      <c r="Q864" s="12" t="s">
        <v>26</v>
      </c>
      <c r="R864" s="6" t="s">
        <v>27</v>
      </c>
      <c r="S864" s="24" t="s">
        <v>28</v>
      </c>
      <c r="T864" s="9" t="s">
        <v>114</v>
      </c>
    </row>
    <row r="865" spans="1:20" ht="35.25" customHeight="1">
      <c r="A865" s="6">
        <f t="shared" si="101"/>
        <v>864</v>
      </c>
      <c r="B865" s="17" t="s">
        <v>2350</v>
      </c>
      <c r="C865" s="8" t="s">
        <v>2351</v>
      </c>
      <c r="D865" s="9" t="s">
        <v>26</v>
      </c>
      <c r="E865" s="10">
        <v>25027</v>
      </c>
      <c r="F865" s="11">
        <f t="shared" ca="1" si="104"/>
        <v>55.463013698630135</v>
      </c>
      <c r="G865" s="11">
        <f t="shared" si="105"/>
        <v>7</v>
      </c>
      <c r="H865" s="11">
        <f t="shared" si="103"/>
        <v>8</v>
      </c>
      <c r="I865" s="10">
        <v>40669</v>
      </c>
      <c r="J865" s="9" t="s">
        <v>318</v>
      </c>
      <c r="K865" s="61" t="s">
        <v>2352</v>
      </c>
      <c r="L865" s="9" t="s">
        <v>389</v>
      </c>
      <c r="M865" s="9" t="s">
        <v>205</v>
      </c>
      <c r="N865" s="11">
        <v>22</v>
      </c>
      <c r="O865" s="12">
        <f t="shared" ca="1" si="100"/>
        <v>12.608219178082193</v>
      </c>
      <c r="P865" s="12">
        <f t="shared" ca="1" si="102"/>
        <v>34.608219178082194</v>
      </c>
      <c r="Q865" s="12" t="s">
        <v>26</v>
      </c>
      <c r="R865" s="9" t="s">
        <v>95</v>
      </c>
      <c r="S865" s="24" t="s">
        <v>36</v>
      </c>
      <c r="T865" s="9" t="s">
        <v>137</v>
      </c>
    </row>
    <row r="866" spans="1:20" ht="35.25" customHeight="1">
      <c r="A866" s="6">
        <f t="shared" si="101"/>
        <v>865</v>
      </c>
      <c r="B866" s="17" t="s">
        <v>2353</v>
      </c>
      <c r="C866" s="8" t="s">
        <v>2354</v>
      </c>
      <c r="D866" s="9" t="s">
        <v>26</v>
      </c>
      <c r="E866" s="10">
        <v>29477</v>
      </c>
      <c r="F866" s="11">
        <f t="shared" ca="1" si="104"/>
        <v>43.271232876712325</v>
      </c>
      <c r="G866" s="11">
        <f t="shared" si="105"/>
        <v>9</v>
      </c>
      <c r="H866" s="11">
        <f t="shared" si="103"/>
        <v>13</v>
      </c>
      <c r="I866" s="10">
        <v>40665</v>
      </c>
      <c r="J866" s="9" t="s">
        <v>58</v>
      </c>
      <c r="K866" s="9" t="s">
        <v>79</v>
      </c>
      <c r="L866" s="9" t="s">
        <v>34</v>
      </c>
      <c r="M866" s="9" t="s">
        <v>156</v>
      </c>
      <c r="N866" s="11">
        <v>12</v>
      </c>
      <c r="O866" s="12">
        <f t="shared" ca="1" si="100"/>
        <v>12.61917808219178</v>
      </c>
      <c r="P866" s="12">
        <f t="shared" ca="1" si="102"/>
        <v>24.61917808219178</v>
      </c>
      <c r="Q866" s="12" t="s">
        <v>26</v>
      </c>
      <c r="R866" s="6" t="s">
        <v>27</v>
      </c>
      <c r="S866" s="24" t="s">
        <v>36</v>
      </c>
      <c r="T866" s="9" t="s">
        <v>279</v>
      </c>
    </row>
    <row r="867" spans="1:20" ht="35.25" customHeight="1">
      <c r="A867" s="6">
        <f t="shared" si="101"/>
        <v>866</v>
      </c>
      <c r="B867" s="17" t="s">
        <v>2355</v>
      </c>
      <c r="C867" s="8" t="s">
        <v>829</v>
      </c>
      <c r="D867" s="9" t="s">
        <v>26</v>
      </c>
      <c r="E867" s="10">
        <v>31331</v>
      </c>
      <c r="F867" s="11">
        <f t="shared" ca="1" si="104"/>
        <v>38.19178082191781</v>
      </c>
      <c r="G867" s="11">
        <f t="shared" si="105"/>
        <v>10</v>
      </c>
      <c r="H867" s="11">
        <f t="shared" si="103"/>
        <v>11</v>
      </c>
      <c r="I867" s="10">
        <v>40672</v>
      </c>
      <c r="J867" s="9" t="s">
        <v>110</v>
      </c>
      <c r="K867" s="9" t="s">
        <v>2356</v>
      </c>
      <c r="L867" s="9" t="s">
        <v>652</v>
      </c>
      <c r="M867" s="9" t="s">
        <v>35</v>
      </c>
      <c r="N867" s="11">
        <v>6.8</v>
      </c>
      <c r="O867" s="12">
        <f t="shared" ca="1" si="100"/>
        <v>12.6</v>
      </c>
      <c r="P867" s="12">
        <f t="shared" ca="1" si="102"/>
        <v>19.399999999999999</v>
      </c>
      <c r="Q867" s="12" t="s">
        <v>26</v>
      </c>
      <c r="R867" s="6" t="s">
        <v>27</v>
      </c>
      <c r="S867" s="24" t="s">
        <v>36</v>
      </c>
      <c r="T867" s="9" t="s">
        <v>37</v>
      </c>
    </row>
    <row r="868" spans="1:20" ht="35.25" customHeight="1">
      <c r="A868" s="6">
        <f t="shared" si="101"/>
        <v>867</v>
      </c>
      <c r="B868" s="17" t="s">
        <v>2357</v>
      </c>
      <c r="C868" s="8" t="s">
        <v>2358</v>
      </c>
      <c r="D868" s="9" t="s">
        <v>26</v>
      </c>
      <c r="E868" s="10">
        <v>27901</v>
      </c>
      <c r="F868" s="11">
        <f t="shared" ca="1" si="104"/>
        <v>47.589041095890408</v>
      </c>
      <c r="G868" s="11">
        <f t="shared" si="105"/>
        <v>5</v>
      </c>
      <c r="H868" s="11">
        <f t="shared" si="103"/>
        <v>21</v>
      </c>
      <c r="I868" s="10">
        <v>40675</v>
      </c>
      <c r="J868" s="9" t="s">
        <v>110</v>
      </c>
      <c r="K868" s="9" t="s">
        <v>2208</v>
      </c>
      <c r="L868" s="9" t="s">
        <v>1480</v>
      </c>
      <c r="M868" s="9" t="s">
        <v>35</v>
      </c>
      <c r="N868" s="11">
        <v>11.4</v>
      </c>
      <c r="O868" s="12">
        <f t="shared" ca="1" si="100"/>
        <v>12.591780821917808</v>
      </c>
      <c r="P868" s="12">
        <f t="shared" ca="1" si="102"/>
        <v>23.991780821917807</v>
      </c>
      <c r="Q868" s="12" t="s">
        <v>26</v>
      </c>
      <c r="R868" s="6" t="s">
        <v>27</v>
      </c>
      <c r="S868" s="24" t="s">
        <v>36</v>
      </c>
      <c r="T868" s="9" t="s">
        <v>1644</v>
      </c>
    </row>
    <row r="869" spans="1:20" ht="35.25" customHeight="1">
      <c r="A869" s="6">
        <f t="shared" si="101"/>
        <v>868</v>
      </c>
      <c r="B869" s="17" t="s">
        <v>2359</v>
      </c>
      <c r="C869" s="8" t="s">
        <v>2360</v>
      </c>
      <c r="D869" s="9" t="s">
        <v>26</v>
      </c>
      <c r="E869" s="10">
        <v>26846</v>
      </c>
      <c r="F869" s="11">
        <f t="shared" ca="1" si="104"/>
        <v>50.479452054794521</v>
      </c>
      <c r="G869" s="11">
        <f t="shared" si="105"/>
        <v>7</v>
      </c>
      <c r="H869" s="11">
        <f t="shared" si="103"/>
        <v>1</v>
      </c>
      <c r="I869" s="10">
        <v>40665</v>
      </c>
      <c r="J869" s="9" t="s">
        <v>110</v>
      </c>
      <c r="K869" s="9" t="s">
        <v>278</v>
      </c>
      <c r="L869" s="9" t="s">
        <v>34</v>
      </c>
      <c r="M869" s="9" t="s">
        <v>491</v>
      </c>
      <c r="N869" s="19">
        <v>14</v>
      </c>
      <c r="O869" s="12">
        <f t="shared" ca="1" si="100"/>
        <v>12.61917808219178</v>
      </c>
      <c r="P869" s="12">
        <f t="shared" ca="1" si="102"/>
        <v>26.61917808219178</v>
      </c>
      <c r="Q869" s="12" t="s">
        <v>26</v>
      </c>
      <c r="R869" s="9" t="s">
        <v>898</v>
      </c>
      <c r="S869" s="24" t="s">
        <v>36</v>
      </c>
      <c r="T869" s="9" t="s">
        <v>492</v>
      </c>
    </row>
    <row r="870" spans="1:20" ht="35.25" customHeight="1">
      <c r="A870" s="6">
        <f t="shared" si="101"/>
        <v>869</v>
      </c>
      <c r="B870" s="17" t="s">
        <v>2361</v>
      </c>
      <c r="C870" s="8" t="s">
        <v>2362</v>
      </c>
      <c r="D870" s="9" t="s">
        <v>26</v>
      </c>
      <c r="E870" s="10">
        <v>30673</v>
      </c>
      <c r="F870" s="11">
        <f t="shared" ca="1" si="104"/>
        <v>39.994520547945207</v>
      </c>
      <c r="G870" s="11">
        <f t="shared" si="105"/>
        <v>12</v>
      </c>
      <c r="H870" s="11">
        <f t="shared" si="103"/>
        <v>23</v>
      </c>
      <c r="I870" s="10">
        <v>40665</v>
      </c>
      <c r="J870" s="9" t="s">
        <v>87</v>
      </c>
      <c r="K870" s="9" t="s">
        <v>332</v>
      </c>
      <c r="L870" s="9" t="s">
        <v>34</v>
      </c>
      <c r="M870" s="9" t="s">
        <v>491</v>
      </c>
      <c r="N870" s="19">
        <v>5.0999999999999996</v>
      </c>
      <c r="O870" s="12">
        <f t="shared" ca="1" si="100"/>
        <v>12.61917808219178</v>
      </c>
      <c r="P870" s="12">
        <f t="shared" ca="1" si="102"/>
        <v>17.719178082191782</v>
      </c>
      <c r="Q870" s="12" t="s">
        <v>68</v>
      </c>
      <c r="R870" s="9" t="s">
        <v>792</v>
      </c>
      <c r="S870" s="24" t="s">
        <v>36</v>
      </c>
      <c r="T870" s="9" t="s">
        <v>492</v>
      </c>
    </row>
    <row r="871" spans="1:20" ht="35.25" customHeight="1">
      <c r="A871" s="6">
        <f t="shared" si="101"/>
        <v>870</v>
      </c>
      <c r="B871" s="17" t="s">
        <v>2363</v>
      </c>
      <c r="C871" s="8" t="s">
        <v>2364</v>
      </c>
      <c r="D871" s="9" t="s">
        <v>26</v>
      </c>
      <c r="E871" s="10">
        <v>23291</v>
      </c>
      <c r="F871" s="11">
        <f t="shared" ca="1" si="104"/>
        <v>60.219178082191782</v>
      </c>
      <c r="G871" s="11">
        <f t="shared" si="105"/>
        <v>10</v>
      </c>
      <c r="H871" s="11">
        <f t="shared" si="103"/>
        <v>7</v>
      </c>
      <c r="I871" s="10">
        <v>40672</v>
      </c>
      <c r="J871" s="9" t="s">
        <v>58</v>
      </c>
      <c r="K871" s="9" t="s">
        <v>79</v>
      </c>
      <c r="L871" s="9" t="s">
        <v>34</v>
      </c>
      <c r="M871" s="9" t="s">
        <v>491</v>
      </c>
      <c r="N871" s="19">
        <v>27</v>
      </c>
      <c r="O871" s="12">
        <f t="shared" ca="1" si="100"/>
        <v>12.6</v>
      </c>
      <c r="P871" s="12">
        <f t="shared" ca="1" si="102"/>
        <v>39.6</v>
      </c>
      <c r="Q871" s="12" t="s">
        <v>26</v>
      </c>
      <c r="R871" s="9" t="s">
        <v>347</v>
      </c>
      <c r="S871" s="24" t="s">
        <v>36</v>
      </c>
      <c r="T871" s="9" t="s">
        <v>492</v>
      </c>
    </row>
    <row r="872" spans="1:20" ht="35.25" customHeight="1">
      <c r="A872" s="6">
        <f t="shared" si="101"/>
        <v>871</v>
      </c>
      <c r="B872" s="17" t="s">
        <v>2365</v>
      </c>
      <c r="C872" s="8" t="s">
        <v>2366</v>
      </c>
      <c r="D872" s="9" t="s">
        <v>26</v>
      </c>
      <c r="E872" s="10">
        <v>30662</v>
      </c>
      <c r="F872" s="11">
        <f t="shared" ca="1" si="104"/>
        <v>40.024657534246572</v>
      </c>
      <c r="G872" s="11">
        <f t="shared" si="105"/>
        <v>12</v>
      </c>
      <c r="H872" s="11">
        <f t="shared" si="103"/>
        <v>12</v>
      </c>
      <c r="I872" s="10">
        <v>40679</v>
      </c>
      <c r="J872" s="9" t="s">
        <v>87</v>
      </c>
      <c r="K872" s="9" t="s">
        <v>1989</v>
      </c>
      <c r="L872" s="9" t="s">
        <v>24</v>
      </c>
      <c r="M872" s="9" t="s">
        <v>134</v>
      </c>
      <c r="N872" s="11">
        <v>3.6</v>
      </c>
      <c r="O872" s="12">
        <f t="shared" ca="1" si="100"/>
        <v>12.580821917808219</v>
      </c>
      <c r="P872" s="12">
        <f t="shared" ca="1" si="102"/>
        <v>16.18082191780822</v>
      </c>
      <c r="Q872" s="12" t="s">
        <v>68</v>
      </c>
      <c r="R872" s="6" t="s">
        <v>27</v>
      </c>
      <c r="S872" s="24" t="s">
        <v>36</v>
      </c>
      <c r="T872" s="9" t="s">
        <v>137</v>
      </c>
    </row>
    <row r="873" spans="1:20" ht="35.25" customHeight="1">
      <c r="A873" s="6">
        <f t="shared" si="101"/>
        <v>872</v>
      </c>
      <c r="B873" s="17" t="s">
        <v>2367</v>
      </c>
      <c r="C873" s="8" t="s">
        <v>2368</v>
      </c>
      <c r="D873" s="9" t="s">
        <v>26</v>
      </c>
      <c r="E873" s="10">
        <v>27492</v>
      </c>
      <c r="F873" s="11">
        <f t="shared" ca="1" si="104"/>
        <v>48.709589041095889</v>
      </c>
      <c r="G873" s="11">
        <f t="shared" si="105"/>
        <v>4</v>
      </c>
      <c r="H873" s="11">
        <f t="shared" si="103"/>
        <v>8</v>
      </c>
      <c r="I873" s="10">
        <v>40674</v>
      </c>
      <c r="J873" s="9" t="s">
        <v>58</v>
      </c>
      <c r="K873" s="9" t="s">
        <v>79</v>
      </c>
      <c r="L873" s="9" t="s">
        <v>34</v>
      </c>
      <c r="M873" s="9" t="s">
        <v>35</v>
      </c>
      <c r="N873" s="11">
        <v>14</v>
      </c>
      <c r="O873" s="12">
        <f t="shared" ca="1" si="100"/>
        <v>12.594520547945205</v>
      </c>
      <c r="P873" s="12">
        <f t="shared" ca="1" si="102"/>
        <v>26.594520547945205</v>
      </c>
      <c r="Q873" s="12" t="s">
        <v>26</v>
      </c>
      <c r="R873" s="6" t="s">
        <v>27</v>
      </c>
      <c r="S873" s="24" t="s">
        <v>36</v>
      </c>
      <c r="T873" s="9" t="s">
        <v>1644</v>
      </c>
    </row>
    <row r="874" spans="1:20" ht="35.25" customHeight="1">
      <c r="A874" s="6">
        <f t="shared" si="101"/>
        <v>873</v>
      </c>
      <c r="B874" s="17" t="s">
        <v>2369</v>
      </c>
      <c r="C874" s="8" t="s">
        <v>2370</v>
      </c>
      <c r="D874" s="9" t="s">
        <v>26</v>
      </c>
      <c r="E874" s="10">
        <v>30873</v>
      </c>
      <c r="F874" s="11">
        <f t="shared" ca="1" si="104"/>
        <v>39.446575342465756</v>
      </c>
      <c r="G874" s="11">
        <f t="shared" si="105"/>
        <v>7</v>
      </c>
      <c r="H874" s="11">
        <f t="shared" si="103"/>
        <v>10</v>
      </c>
      <c r="I874" s="10">
        <v>40679</v>
      </c>
      <c r="J874" s="9" t="s">
        <v>110</v>
      </c>
      <c r="K874" s="9" t="s">
        <v>278</v>
      </c>
      <c r="L874" s="9" t="s">
        <v>34</v>
      </c>
      <c r="M874" s="9" t="s">
        <v>35</v>
      </c>
      <c r="N874" s="11">
        <v>9</v>
      </c>
      <c r="O874" s="12">
        <f t="shared" ca="1" si="100"/>
        <v>12.580821917808219</v>
      </c>
      <c r="P874" s="12">
        <f t="shared" ca="1" si="102"/>
        <v>21.580821917808219</v>
      </c>
      <c r="Q874" s="12" t="s">
        <v>68</v>
      </c>
      <c r="R874" s="6" t="s">
        <v>27</v>
      </c>
      <c r="S874" s="24" t="s">
        <v>36</v>
      </c>
      <c r="T874" s="9" t="s">
        <v>37</v>
      </c>
    </row>
    <row r="875" spans="1:20" ht="35.25" customHeight="1">
      <c r="A875" s="6">
        <f t="shared" si="101"/>
        <v>874</v>
      </c>
      <c r="B875" s="17" t="s">
        <v>2371</v>
      </c>
      <c r="C875" s="8" t="s">
        <v>2372</v>
      </c>
      <c r="D875" s="9" t="s">
        <v>26</v>
      </c>
      <c r="E875" s="10">
        <v>31079</v>
      </c>
      <c r="F875" s="11">
        <f t="shared" ca="1" si="104"/>
        <v>38.88219178082192</v>
      </c>
      <c r="G875" s="11">
        <f t="shared" si="105"/>
        <v>2</v>
      </c>
      <c r="H875" s="11">
        <f t="shared" si="103"/>
        <v>1</v>
      </c>
      <c r="I875" s="10">
        <v>40679</v>
      </c>
      <c r="J875" s="9" t="s">
        <v>87</v>
      </c>
      <c r="K875" s="9" t="s">
        <v>2117</v>
      </c>
      <c r="L875" s="9" t="s">
        <v>213</v>
      </c>
      <c r="M875" s="9" t="s">
        <v>35</v>
      </c>
      <c r="N875" s="11">
        <v>4</v>
      </c>
      <c r="O875" s="12">
        <f t="shared" ca="1" si="100"/>
        <v>12.580821917808219</v>
      </c>
      <c r="P875" s="12">
        <f t="shared" ca="1" si="102"/>
        <v>16.580821917808219</v>
      </c>
      <c r="Q875" s="12" t="s">
        <v>68</v>
      </c>
      <c r="R875" s="6" t="s">
        <v>27</v>
      </c>
      <c r="S875" s="24" t="s">
        <v>36</v>
      </c>
      <c r="T875" s="9" t="s">
        <v>1329</v>
      </c>
    </row>
    <row r="876" spans="1:20" ht="35.25" customHeight="1">
      <c r="A876" s="6">
        <f t="shared" si="101"/>
        <v>875</v>
      </c>
      <c r="B876" s="17" t="s">
        <v>2373</v>
      </c>
      <c r="C876" s="8" t="s">
        <v>2374</v>
      </c>
      <c r="D876" s="9" t="s">
        <v>26</v>
      </c>
      <c r="E876" s="10">
        <v>27529</v>
      </c>
      <c r="F876" s="11">
        <f t="shared" ca="1" si="104"/>
        <v>48.608219178082194</v>
      </c>
      <c r="G876" s="11">
        <f t="shared" si="105"/>
        <v>5</v>
      </c>
      <c r="H876" s="11">
        <f t="shared" si="103"/>
        <v>15</v>
      </c>
      <c r="I876" s="10">
        <v>40679</v>
      </c>
      <c r="J876" s="9" t="s">
        <v>58</v>
      </c>
      <c r="K876" s="9" t="s">
        <v>2375</v>
      </c>
      <c r="L876" s="9" t="s">
        <v>652</v>
      </c>
      <c r="M876" s="9" t="s">
        <v>35</v>
      </c>
      <c r="N876" s="11">
        <v>16</v>
      </c>
      <c r="O876" s="12">
        <f t="shared" ca="1" si="100"/>
        <v>12.580821917808219</v>
      </c>
      <c r="P876" s="12">
        <f t="shared" ca="1" si="102"/>
        <v>28.580821917808219</v>
      </c>
      <c r="Q876" s="12" t="s">
        <v>26</v>
      </c>
      <c r="R876" s="6" t="s">
        <v>27</v>
      </c>
      <c r="S876" s="24" t="s">
        <v>36</v>
      </c>
      <c r="T876" s="9" t="s">
        <v>72</v>
      </c>
    </row>
    <row r="877" spans="1:20" ht="35.25" customHeight="1">
      <c r="A877" s="6">
        <f t="shared" si="101"/>
        <v>876</v>
      </c>
      <c r="B877" s="17" t="s">
        <v>2376</v>
      </c>
      <c r="C877" s="8" t="s">
        <v>2377</v>
      </c>
      <c r="D877" s="9" t="s">
        <v>26</v>
      </c>
      <c r="E877" s="10">
        <v>33046</v>
      </c>
      <c r="F877" s="11">
        <f t="shared" ca="1" si="104"/>
        <v>33.493150684931507</v>
      </c>
      <c r="G877" s="11">
        <f t="shared" si="105"/>
        <v>6</v>
      </c>
      <c r="H877" s="11">
        <f t="shared" si="103"/>
        <v>22</v>
      </c>
      <c r="I877" s="10">
        <v>40681</v>
      </c>
      <c r="J877" s="9" t="s">
        <v>226</v>
      </c>
      <c r="K877" s="9" t="s">
        <v>341</v>
      </c>
      <c r="L877" s="9" t="s">
        <v>34</v>
      </c>
      <c r="M877" s="9" t="s">
        <v>35</v>
      </c>
      <c r="N877" s="11">
        <v>2</v>
      </c>
      <c r="O877" s="12">
        <f t="shared" ca="1" si="100"/>
        <v>12.575342465753424</v>
      </c>
      <c r="P877" s="12">
        <f t="shared" ca="1" si="102"/>
        <v>14.575342465753424</v>
      </c>
      <c r="Q877" s="12" t="s">
        <v>68</v>
      </c>
      <c r="R877" s="6" t="s">
        <v>27</v>
      </c>
      <c r="S877" s="24" t="s">
        <v>36</v>
      </c>
      <c r="T877" s="9" t="s">
        <v>37</v>
      </c>
    </row>
    <row r="878" spans="1:20" ht="35.25" customHeight="1">
      <c r="A878" s="6">
        <f t="shared" si="101"/>
        <v>877</v>
      </c>
      <c r="B878" s="17" t="s">
        <v>2378</v>
      </c>
      <c r="C878" s="8" t="s">
        <v>2379</v>
      </c>
      <c r="D878" s="9" t="s">
        <v>26</v>
      </c>
      <c r="E878" s="10">
        <v>30343</v>
      </c>
      <c r="F878" s="11">
        <f t="shared" ca="1" si="104"/>
        <v>40.898630136986299</v>
      </c>
      <c r="G878" s="11">
        <f t="shared" si="105"/>
        <v>1</v>
      </c>
      <c r="H878" s="11">
        <f t="shared" si="103"/>
        <v>27</v>
      </c>
      <c r="I878" s="10">
        <v>40679</v>
      </c>
      <c r="J878" s="9" t="s">
        <v>87</v>
      </c>
      <c r="K878" s="9" t="s">
        <v>298</v>
      </c>
      <c r="L878" s="9" t="s">
        <v>55</v>
      </c>
      <c r="M878" s="9" t="s">
        <v>35</v>
      </c>
      <c r="N878" s="11">
        <v>7</v>
      </c>
      <c r="O878" s="12">
        <f t="shared" ca="1" si="100"/>
        <v>12.580821917808219</v>
      </c>
      <c r="P878" s="12">
        <f t="shared" ca="1" si="102"/>
        <v>19.580821917808219</v>
      </c>
      <c r="Q878" s="12" t="s">
        <v>68</v>
      </c>
      <c r="R878" s="6" t="s">
        <v>27</v>
      </c>
      <c r="S878" s="24" t="s">
        <v>36</v>
      </c>
      <c r="T878" s="9" t="s">
        <v>295</v>
      </c>
    </row>
    <row r="879" spans="1:20" ht="35.25" customHeight="1">
      <c r="A879" s="6">
        <f t="shared" si="101"/>
        <v>878</v>
      </c>
      <c r="B879" s="17" t="s">
        <v>2380</v>
      </c>
      <c r="C879" s="8" t="s">
        <v>2381</v>
      </c>
      <c r="D879" s="9" t="s">
        <v>26</v>
      </c>
      <c r="E879" s="10">
        <v>30097</v>
      </c>
      <c r="F879" s="11">
        <f t="shared" ca="1" si="104"/>
        <v>41.57260273972603</v>
      </c>
      <c r="G879" s="11">
        <f t="shared" si="105"/>
        <v>5</v>
      </c>
      <c r="H879" s="11">
        <f t="shared" si="103"/>
        <v>26</v>
      </c>
      <c r="I879" s="10">
        <v>40679</v>
      </c>
      <c r="J879" s="9" t="s">
        <v>87</v>
      </c>
      <c r="K879" s="9" t="s">
        <v>332</v>
      </c>
      <c r="L879" s="9" t="s">
        <v>34</v>
      </c>
      <c r="M879" s="9" t="s">
        <v>35</v>
      </c>
      <c r="N879" s="11">
        <v>8</v>
      </c>
      <c r="O879" s="12">
        <f t="shared" ca="1" si="100"/>
        <v>12.580821917808219</v>
      </c>
      <c r="P879" s="12">
        <f t="shared" ca="1" si="102"/>
        <v>20.580821917808219</v>
      </c>
      <c r="Q879" s="12" t="s">
        <v>68</v>
      </c>
      <c r="R879" s="6" t="s">
        <v>27</v>
      </c>
      <c r="S879" s="24" t="s">
        <v>36</v>
      </c>
      <c r="T879" s="9" t="s">
        <v>37</v>
      </c>
    </row>
    <row r="880" spans="1:20" ht="35.25" customHeight="1">
      <c r="A880" s="6">
        <f t="shared" si="101"/>
        <v>879</v>
      </c>
      <c r="B880" s="17" t="s">
        <v>2382</v>
      </c>
      <c r="C880" s="8" t="s">
        <v>2383</v>
      </c>
      <c r="D880" s="9" t="s">
        <v>26</v>
      </c>
      <c r="E880" s="10">
        <v>31923</v>
      </c>
      <c r="F880" s="11">
        <f t="shared" ca="1" si="104"/>
        <v>36.56986301369863</v>
      </c>
      <c r="G880" s="11">
        <f t="shared" si="105"/>
        <v>5</v>
      </c>
      <c r="H880" s="11">
        <f t="shared" si="103"/>
        <v>26</v>
      </c>
      <c r="I880" s="10">
        <v>40679</v>
      </c>
      <c r="J880" s="9" t="s">
        <v>45</v>
      </c>
      <c r="K880" s="9" t="s">
        <v>477</v>
      </c>
      <c r="L880" s="9" t="s">
        <v>34</v>
      </c>
      <c r="M880" s="9" t="s">
        <v>35</v>
      </c>
      <c r="N880" s="11">
        <v>3</v>
      </c>
      <c r="O880" s="12">
        <f t="shared" ca="1" si="100"/>
        <v>12.580821917808219</v>
      </c>
      <c r="P880" s="12">
        <f t="shared" ca="1" si="102"/>
        <v>15.580821917808219</v>
      </c>
      <c r="Q880" s="12" t="s">
        <v>68</v>
      </c>
      <c r="R880" s="6" t="s">
        <v>27</v>
      </c>
      <c r="S880" s="24" t="s">
        <v>36</v>
      </c>
      <c r="T880" s="9" t="s">
        <v>37</v>
      </c>
    </row>
    <row r="881" spans="1:20" ht="35.25" customHeight="1">
      <c r="A881" s="6">
        <f t="shared" si="101"/>
        <v>880</v>
      </c>
      <c r="B881" s="17" t="s">
        <v>2384</v>
      </c>
      <c r="C881" s="8" t="s">
        <v>2385</v>
      </c>
      <c r="D881" s="9" t="s">
        <v>26</v>
      </c>
      <c r="E881" s="10">
        <v>31263</v>
      </c>
      <c r="F881" s="11">
        <f t="shared" ca="1" si="104"/>
        <v>38.37808219178082</v>
      </c>
      <c r="G881" s="11">
        <f t="shared" si="105"/>
        <v>8</v>
      </c>
      <c r="H881" s="11">
        <f t="shared" si="103"/>
        <v>4</v>
      </c>
      <c r="I881" s="10">
        <v>40679</v>
      </c>
      <c r="J881" s="9" t="s">
        <v>226</v>
      </c>
      <c r="K881" s="9" t="s">
        <v>2386</v>
      </c>
      <c r="L881" s="9" t="s">
        <v>213</v>
      </c>
      <c r="M881" s="9" t="s">
        <v>35</v>
      </c>
      <c r="N881" s="11">
        <v>1.5</v>
      </c>
      <c r="O881" s="12">
        <f t="shared" ref="O881:O903" ca="1" si="106">(TODAY()-I881)/365</f>
        <v>12.580821917808219</v>
      </c>
      <c r="P881" s="12">
        <f t="shared" ca="1" si="102"/>
        <v>14.080821917808219</v>
      </c>
      <c r="Q881" s="12" t="s">
        <v>68</v>
      </c>
      <c r="R881" s="6" t="s">
        <v>27</v>
      </c>
      <c r="S881" s="24" t="s">
        <v>36</v>
      </c>
      <c r="T881" s="9" t="s">
        <v>186</v>
      </c>
    </row>
    <row r="882" spans="1:20" ht="35.25" customHeight="1">
      <c r="A882" s="6">
        <f t="shared" si="101"/>
        <v>881</v>
      </c>
      <c r="B882" s="54" t="s">
        <v>2387</v>
      </c>
      <c r="C882" s="54" t="s">
        <v>2388</v>
      </c>
      <c r="D882" s="55" t="s">
        <v>26</v>
      </c>
      <c r="E882" s="56">
        <v>24791</v>
      </c>
      <c r="F882" s="57">
        <f t="shared" ca="1" si="104"/>
        <v>56.109589041095887</v>
      </c>
      <c r="G882" s="57">
        <f t="shared" si="105"/>
        <v>11</v>
      </c>
      <c r="H882" s="57">
        <f t="shared" si="103"/>
        <v>15</v>
      </c>
      <c r="I882" s="56">
        <v>40679</v>
      </c>
      <c r="J882" s="55" t="s">
        <v>50</v>
      </c>
      <c r="K882" s="55" t="s">
        <v>1201</v>
      </c>
      <c r="L882" s="55" t="s">
        <v>34</v>
      </c>
      <c r="M882" s="55" t="s">
        <v>491</v>
      </c>
      <c r="N882" s="57">
        <v>17</v>
      </c>
      <c r="O882" s="58">
        <f t="shared" ca="1" si="106"/>
        <v>12.580821917808219</v>
      </c>
      <c r="P882" s="58">
        <f t="shared" ca="1" si="102"/>
        <v>29.580821917808219</v>
      </c>
      <c r="Q882" s="58" t="s">
        <v>26</v>
      </c>
      <c r="R882" s="55" t="s">
        <v>705</v>
      </c>
      <c r="S882" s="59" t="s">
        <v>36</v>
      </c>
      <c r="T882" s="55" t="s">
        <v>492</v>
      </c>
    </row>
    <row r="883" spans="1:20" ht="35.25" customHeight="1">
      <c r="A883" s="6">
        <f t="shared" si="101"/>
        <v>882</v>
      </c>
      <c r="B883" s="17" t="s">
        <v>2389</v>
      </c>
      <c r="C883" s="8" t="s">
        <v>2390</v>
      </c>
      <c r="D883" s="9" t="s">
        <v>26</v>
      </c>
      <c r="E883" s="10">
        <v>32358</v>
      </c>
      <c r="F883" s="11">
        <f t="shared" ca="1" si="104"/>
        <v>35.37808219178082</v>
      </c>
      <c r="G883" s="11">
        <f t="shared" si="105"/>
        <v>8</v>
      </c>
      <c r="H883" s="11">
        <f t="shared" si="103"/>
        <v>3</v>
      </c>
      <c r="I883" s="10">
        <v>40682</v>
      </c>
      <c r="J883" s="9" t="s">
        <v>87</v>
      </c>
      <c r="K883" s="9" t="s">
        <v>135</v>
      </c>
      <c r="L883" s="9" t="s">
        <v>34</v>
      </c>
      <c r="M883" s="9" t="s">
        <v>491</v>
      </c>
      <c r="N883" s="19">
        <v>4</v>
      </c>
      <c r="O883" s="12">
        <f t="shared" ca="1" si="106"/>
        <v>12.572602739726028</v>
      </c>
      <c r="P883" s="12">
        <f t="shared" ca="1" si="102"/>
        <v>16.57260273972603</v>
      </c>
      <c r="Q883" s="12" t="s">
        <v>68</v>
      </c>
      <c r="R883" s="9" t="s">
        <v>792</v>
      </c>
      <c r="S883" s="24" t="s">
        <v>36</v>
      </c>
      <c r="T883" s="9" t="s">
        <v>492</v>
      </c>
    </row>
    <row r="884" spans="1:20" ht="35.25" customHeight="1">
      <c r="A884" s="6">
        <f t="shared" si="101"/>
        <v>883</v>
      </c>
      <c r="B884" s="17" t="s">
        <v>2391</v>
      </c>
      <c r="C884" s="8" t="s">
        <v>2392</v>
      </c>
      <c r="D884" s="9" t="s">
        <v>26</v>
      </c>
      <c r="E884" s="10">
        <v>25837</v>
      </c>
      <c r="F884" s="11">
        <f t="shared" ca="1" si="104"/>
        <v>53.243835616438353</v>
      </c>
      <c r="G884" s="11">
        <f t="shared" si="105"/>
        <v>9</v>
      </c>
      <c r="H884" s="11">
        <f t="shared" si="103"/>
        <v>26</v>
      </c>
      <c r="I884" s="10">
        <v>40683</v>
      </c>
      <c r="J884" s="9" t="s">
        <v>22</v>
      </c>
      <c r="K884" s="9" t="s">
        <v>2393</v>
      </c>
      <c r="L884" s="9" t="s">
        <v>389</v>
      </c>
      <c r="M884" s="9" t="s">
        <v>205</v>
      </c>
      <c r="N884" s="11">
        <v>19.100000000000001</v>
      </c>
      <c r="O884" s="12">
        <f t="shared" ca="1" si="106"/>
        <v>12.56986301369863</v>
      </c>
      <c r="P884" s="12">
        <f t="shared" ca="1" si="102"/>
        <v>31.669863013698631</v>
      </c>
      <c r="Q884" s="12" t="s">
        <v>26</v>
      </c>
      <c r="R884" s="9" t="s">
        <v>27</v>
      </c>
      <c r="S884" s="24" t="s">
        <v>36</v>
      </c>
      <c r="T884" s="9" t="s">
        <v>137</v>
      </c>
    </row>
    <row r="885" spans="1:20" ht="35.25" customHeight="1">
      <c r="A885" s="6">
        <f t="shared" si="101"/>
        <v>884</v>
      </c>
      <c r="B885" s="17" t="s">
        <v>2394</v>
      </c>
      <c r="C885" s="8" t="s">
        <v>2395</v>
      </c>
      <c r="D885" s="9" t="s">
        <v>26</v>
      </c>
      <c r="E885" s="10">
        <v>27815</v>
      </c>
      <c r="F885" s="11">
        <f t="shared" ca="1" si="104"/>
        <v>47.824657534246576</v>
      </c>
      <c r="G885" s="11">
        <f t="shared" si="105"/>
        <v>2</v>
      </c>
      <c r="H885" s="11">
        <f t="shared" si="103"/>
        <v>25</v>
      </c>
      <c r="I885" s="10">
        <v>40683</v>
      </c>
      <c r="J885" s="9" t="s">
        <v>110</v>
      </c>
      <c r="K885" s="9" t="s">
        <v>1212</v>
      </c>
      <c r="L885" s="9" t="s">
        <v>24</v>
      </c>
      <c r="M885" s="9" t="s">
        <v>205</v>
      </c>
      <c r="N885" s="11">
        <v>12.3</v>
      </c>
      <c r="O885" s="12">
        <f t="shared" ca="1" si="106"/>
        <v>12.56986301369863</v>
      </c>
      <c r="P885" s="12">
        <f t="shared" ca="1" si="102"/>
        <v>24.86986301369863</v>
      </c>
      <c r="Q885" s="12" t="s">
        <v>26</v>
      </c>
      <c r="R885" s="9" t="s">
        <v>27</v>
      </c>
      <c r="S885" s="24" t="s">
        <v>28</v>
      </c>
      <c r="T885" s="9" t="s">
        <v>29</v>
      </c>
    </row>
    <row r="886" spans="1:20" ht="35.25" customHeight="1">
      <c r="A886" s="6">
        <f t="shared" si="101"/>
        <v>885</v>
      </c>
      <c r="B886" s="17" t="s">
        <v>2396</v>
      </c>
      <c r="C886" s="8" t="s">
        <v>2397</v>
      </c>
      <c r="D886" s="9" t="s">
        <v>21</v>
      </c>
      <c r="E886" s="10">
        <v>32449</v>
      </c>
      <c r="F886" s="11">
        <f t="shared" ca="1" si="104"/>
        <v>35.128767123287673</v>
      </c>
      <c r="G886" s="11">
        <f t="shared" si="105"/>
        <v>11</v>
      </c>
      <c r="H886" s="11">
        <f t="shared" si="103"/>
        <v>2</v>
      </c>
      <c r="I886" s="10">
        <v>40686</v>
      </c>
      <c r="J886" s="9" t="s">
        <v>110</v>
      </c>
      <c r="K886" s="9" t="s">
        <v>1785</v>
      </c>
      <c r="L886" s="9" t="s">
        <v>118</v>
      </c>
      <c r="M886" s="61" t="s">
        <v>25</v>
      </c>
      <c r="N886" s="11">
        <v>0</v>
      </c>
      <c r="O886" s="12">
        <f t="shared" ca="1" si="106"/>
        <v>12.561643835616438</v>
      </c>
      <c r="P886" s="12">
        <f t="shared" ca="1" si="102"/>
        <v>12.561643835616438</v>
      </c>
      <c r="Q886" s="12" t="s">
        <v>68</v>
      </c>
      <c r="R886" s="9" t="s">
        <v>27</v>
      </c>
      <c r="S886" s="24" t="s">
        <v>28</v>
      </c>
      <c r="T886" s="9" t="s">
        <v>29</v>
      </c>
    </row>
    <row r="887" spans="1:20" ht="35.25" customHeight="1">
      <c r="A887" s="6">
        <f t="shared" si="101"/>
        <v>886</v>
      </c>
      <c r="B887" s="17" t="s">
        <v>2398</v>
      </c>
      <c r="C887" s="8" t="s">
        <v>2399</v>
      </c>
      <c r="D887" s="9" t="s">
        <v>26</v>
      </c>
      <c r="E887" s="10">
        <v>25423</v>
      </c>
      <c r="F887" s="11">
        <f t="shared" ca="1" si="104"/>
        <v>54.37808219178082</v>
      </c>
      <c r="G887" s="11">
        <f t="shared" si="105"/>
        <v>8</v>
      </c>
      <c r="H887" s="11">
        <f t="shared" si="103"/>
        <v>8</v>
      </c>
      <c r="I887" s="10">
        <v>40686</v>
      </c>
      <c r="J887" s="9" t="s">
        <v>50</v>
      </c>
      <c r="K887" s="9" t="s">
        <v>51</v>
      </c>
      <c r="L887" s="9" t="s">
        <v>52</v>
      </c>
      <c r="M887" s="9" t="s">
        <v>35</v>
      </c>
      <c r="N887" s="11">
        <v>4</v>
      </c>
      <c r="O887" s="12">
        <f t="shared" ca="1" si="106"/>
        <v>12.561643835616438</v>
      </c>
      <c r="P887" s="12">
        <f t="shared" ca="1" si="102"/>
        <v>16.561643835616437</v>
      </c>
      <c r="Q887" s="12" t="s">
        <v>68</v>
      </c>
      <c r="R887" s="9" t="s">
        <v>27</v>
      </c>
      <c r="S887" s="24" t="s">
        <v>28</v>
      </c>
      <c r="T887" s="9" t="s">
        <v>29</v>
      </c>
    </row>
    <row r="888" spans="1:20" ht="35.25" customHeight="1">
      <c r="A888" s="6">
        <f t="shared" si="101"/>
        <v>887</v>
      </c>
      <c r="B888" s="17" t="s">
        <v>2400</v>
      </c>
      <c r="C888" s="8" t="s">
        <v>2401</v>
      </c>
      <c r="D888" s="9" t="s">
        <v>26</v>
      </c>
      <c r="E888" s="10">
        <v>32328</v>
      </c>
      <c r="F888" s="11">
        <f t="shared" ca="1" si="104"/>
        <v>35.460273972602742</v>
      </c>
      <c r="G888" s="11">
        <f t="shared" si="105"/>
        <v>7</v>
      </c>
      <c r="H888" s="11">
        <f t="shared" si="103"/>
        <v>4</v>
      </c>
      <c r="I888" s="10">
        <v>40686</v>
      </c>
      <c r="J888" s="9" t="s">
        <v>45</v>
      </c>
      <c r="K888" s="9" t="s">
        <v>2402</v>
      </c>
      <c r="L888" s="9" t="s">
        <v>1713</v>
      </c>
      <c r="M888" s="9" t="s">
        <v>35</v>
      </c>
      <c r="N888" s="11">
        <v>2</v>
      </c>
      <c r="O888" s="12">
        <f t="shared" ca="1" si="106"/>
        <v>12.561643835616438</v>
      </c>
      <c r="P888" s="12">
        <f t="shared" ca="1" si="102"/>
        <v>14.561643835616438</v>
      </c>
      <c r="Q888" s="12" t="s">
        <v>68</v>
      </c>
      <c r="R888" s="9" t="s">
        <v>95</v>
      </c>
      <c r="S888" s="24" t="s">
        <v>36</v>
      </c>
      <c r="T888" s="9" t="s">
        <v>29</v>
      </c>
    </row>
    <row r="889" spans="1:20" ht="35.25" customHeight="1">
      <c r="A889" s="6">
        <f t="shared" si="101"/>
        <v>888</v>
      </c>
      <c r="B889" s="17" t="s">
        <v>2403</v>
      </c>
      <c r="C889" s="8" t="s">
        <v>2404</v>
      </c>
      <c r="D889" s="9" t="s">
        <v>26</v>
      </c>
      <c r="E889" s="10">
        <v>28783</v>
      </c>
      <c r="F889" s="11">
        <f t="shared" ca="1" si="104"/>
        <v>45.172602739726024</v>
      </c>
      <c r="G889" s="11">
        <f t="shared" si="105"/>
        <v>10</v>
      </c>
      <c r="H889" s="11">
        <f t="shared" si="103"/>
        <v>20</v>
      </c>
      <c r="I889" s="10">
        <v>40686</v>
      </c>
      <c r="J889" s="9" t="s">
        <v>32</v>
      </c>
      <c r="K889" s="9" t="s">
        <v>457</v>
      </c>
      <c r="L889" s="9" t="s">
        <v>393</v>
      </c>
      <c r="M889" s="9" t="s">
        <v>165</v>
      </c>
      <c r="N889" s="11">
        <v>9</v>
      </c>
      <c r="O889" s="12">
        <f t="shared" ca="1" si="106"/>
        <v>12.561643835616438</v>
      </c>
      <c r="P889" s="12">
        <f t="shared" ca="1" si="102"/>
        <v>21.561643835616437</v>
      </c>
      <c r="Q889" s="12" t="s">
        <v>26</v>
      </c>
      <c r="R889" s="9" t="s">
        <v>27</v>
      </c>
      <c r="S889" s="24" t="s">
        <v>28</v>
      </c>
      <c r="T889" s="9" t="s">
        <v>29</v>
      </c>
    </row>
    <row r="890" spans="1:20" ht="35.25" customHeight="1">
      <c r="A890" s="6">
        <f t="shared" si="101"/>
        <v>889</v>
      </c>
      <c r="B890" s="17" t="s">
        <v>2405</v>
      </c>
      <c r="C890" s="8" t="s">
        <v>2406</v>
      </c>
      <c r="D890" s="9" t="s">
        <v>26</v>
      </c>
      <c r="E890" s="10">
        <v>31961</v>
      </c>
      <c r="F890" s="11">
        <f t="shared" ca="1" si="104"/>
        <v>36.465753424657535</v>
      </c>
      <c r="G890" s="11">
        <f t="shared" si="105"/>
        <v>7</v>
      </c>
      <c r="H890" s="11">
        <f t="shared" si="103"/>
        <v>3</v>
      </c>
      <c r="I890" s="10">
        <v>40684</v>
      </c>
      <c r="J890" s="9" t="s">
        <v>50</v>
      </c>
      <c r="K890" s="9" t="s">
        <v>159</v>
      </c>
      <c r="L890" s="9" t="s">
        <v>34</v>
      </c>
      <c r="M890" s="9" t="s">
        <v>156</v>
      </c>
      <c r="N890" s="11">
        <v>5.7</v>
      </c>
      <c r="O890" s="12">
        <f t="shared" ca="1" si="106"/>
        <v>12.567123287671233</v>
      </c>
      <c r="P890" s="12">
        <f t="shared" ca="1" si="102"/>
        <v>18.267123287671232</v>
      </c>
      <c r="Q890" s="12" t="s">
        <v>68</v>
      </c>
      <c r="R890" s="9" t="s">
        <v>27</v>
      </c>
      <c r="S890" s="24" t="s">
        <v>36</v>
      </c>
      <c r="T890" s="9" t="s">
        <v>90</v>
      </c>
    </row>
    <row r="891" spans="1:20" ht="35.25" customHeight="1">
      <c r="A891" s="6">
        <f t="shared" si="101"/>
        <v>890</v>
      </c>
      <c r="B891" s="17" t="s">
        <v>2407</v>
      </c>
      <c r="C891" s="8" t="s">
        <v>2408</v>
      </c>
      <c r="D891" s="9" t="s">
        <v>26</v>
      </c>
      <c r="E891" s="10">
        <v>28705</v>
      </c>
      <c r="F891" s="11">
        <f t="shared" ca="1" si="104"/>
        <v>45.386301369863013</v>
      </c>
      <c r="G891" s="11">
        <f t="shared" si="105"/>
        <v>8</v>
      </c>
      <c r="H891" s="11">
        <f t="shared" si="103"/>
        <v>3</v>
      </c>
      <c r="I891" s="10">
        <v>40679</v>
      </c>
      <c r="J891" s="9" t="s">
        <v>132</v>
      </c>
      <c r="K891" s="9" t="s">
        <v>2409</v>
      </c>
      <c r="L891" s="9" t="s">
        <v>393</v>
      </c>
      <c r="M891" s="9" t="s">
        <v>156</v>
      </c>
      <c r="N891" s="11">
        <v>4.5999999999999996</v>
      </c>
      <c r="O891" s="12">
        <f t="shared" ca="1" si="106"/>
        <v>12.580821917808219</v>
      </c>
      <c r="P891" s="12">
        <f t="shared" ca="1" si="102"/>
        <v>17.180821917808217</v>
      </c>
      <c r="Q891" s="12" t="s">
        <v>26</v>
      </c>
      <c r="R891" s="9" t="s">
        <v>27</v>
      </c>
      <c r="S891" s="24" t="s">
        <v>28</v>
      </c>
      <c r="T891" s="9" t="s">
        <v>90</v>
      </c>
    </row>
    <row r="892" spans="1:20" ht="35.25" customHeight="1">
      <c r="A892" s="6">
        <f t="shared" si="101"/>
        <v>891</v>
      </c>
      <c r="B892" s="17" t="s">
        <v>2410</v>
      </c>
      <c r="C892" s="8" t="s">
        <v>1073</v>
      </c>
      <c r="D892" s="9" t="s">
        <v>26</v>
      </c>
      <c r="E892" s="10">
        <v>30832</v>
      </c>
      <c r="F892" s="11">
        <f t="shared" ca="1" si="104"/>
        <v>39.558904109589044</v>
      </c>
      <c r="G892" s="11">
        <f t="shared" si="105"/>
        <v>5</v>
      </c>
      <c r="H892" s="11">
        <f t="shared" si="103"/>
        <v>30</v>
      </c>
      <c r="I892" s="10">
        <v>40688</v>
      </c>
      <c r="J892" s="9" t="s">
        <v>87</v>
      </c>
      <c r="K892" s="9" t="s">
        <v>2411</v>
      </c>
      <c r="L892" s="9" t="s">
        <v>60</v>
      </c>
      <c r="M892" s="9" t="s">
        <v>35</v>
      </c>
      <c r="N892" s="11">
        <v>4.2</v>
      </c>
      <c r="O892" s="12">
        <f t="shared" ca="1" si="106"/>
        <v>12.556164383561644</v>
      </c>
      <c r="P892" s="12">
        <f t="shared" ca="1" si="102"/>
        <v>16.756164383561643</v>
      </c>
      <c r="Q892" s="12" t="s">
        <v>68</v>
      </c>
      <c r="R892" s="9" t="s">
        <v>27</v>
      </c>
      <c r="S892" s="24" t="s">
        <v>28</v>
      </c>
      <c r="T892" s="9" t="s">
        <v>29</v>
      </c>
    </row>
    <row r="893" spans="1:20" ht="35.25" customHeight="1">
      <c r="A893" s="6">
        <f t="shared" si="101"/>
        <v>892</v>
      </c>
      <c r="B893" s="17" t="s">
        <v>2412</v>
      </c>
      <c r="C893" s="8" t="s">
        <v>2413</v>
      </c>
      <c r="D893" s="9" t="s">
        <v>26</v>
      </c>
      <c r="E893" s="10">
        <v>30379</v>
      </c>
      <c r="F893" s="11">
        <f t="shared" ca="1" si="104"/>
        <v>40.799999999999997</v>
      </c>
      <c r="G893" s="11">
        <f t="shared" si="105"/>
        <v>3</v>
      </c>
      <c r="H893" s="11">
        <f t="shared" si="103"/>
        <v>4</v>
      </c>
      <c r="I893" s="10">
        <v>40688</v>
      </c>
      <c r="J893" s="9" t="s">
        <v>110</v>
      </c>
      <c r="K893" s="9" t="s">
        <v>2414</v>
      </c>
      <c r="L893" s="9" t="s">
        <v>290</v>
      </c>
      <c r="M893" s="9" t="s">
        <v>35</v>
      </c>
      <c r="N893" s="11">
        <v>5.6</v>
      </c>
      <c r="O893" s="12">
        <f t="shared" ca="1" si="106"/>
        <v>12.556164383561644</v>
      </c>
      <c r="P893" s="12">
        <f t="shared" ca="1" si="102"/>
        <v>18.156164383561645</v>
      </c>
      <c r="Q893" s="12" t="s">
        <v>68</v>
      </c>
      <c r="R893" s="9" t="s">
        <v>27</v>
      </c>
      <c r="S893" s="24" t="s">
        <v>36</v>
      </c>
      <c r="T893" s="9" t="s">
        <v>1644</v>
      </c>
    </row>
    <row r="894" spans="1:20" ht="35.25" customHeight="1">
      <c r="A894" s="6">
        <f t="shared" si="101"/>
        <v>893</v>
      </c>
      <c r="B894" s="17" t="s">
        <v>2415</v>
      </c>
      <c r="C894" s="8" t="s">
        <v>2416</v>
      </c>
      <c r="D894" s="9" t="s">
        <v>26</v>
      </c>
      <c r="E894" s="10">
        <v>30697</v>
      </c>
      <c r="F894" s="11">
        <f t="shared" ca="1" si="104"/>
        <v>39.92876712328767</v>
      </c>
      <c r="G894" s="11">
        <f t="shared" si="105"/>
        <v>1</v>
      </c>
      <c r="H894" s="11">
        <f t="shared" si="103"/>
        <v>16</v>
      </c>
      <c r="I894" s="10">
        <v>40688</v>
      </c>
      <c r="J894" s="9" t="s">
        <v>87</v>
      </c>
      <c r="K894" s="9" t="s">
        <v>2417</v>
      </c>
      <c r="L894" s="9" t="s">
        <v>208</v>
      </c>
      <c r="M894" s="9" t="s">
        <v>35</v>
      </c>
      <c r="N894" s="11">
        <v>3.5</v>
      </c>
      <c r="O894" s="12">
        <f t="shared" ca="1" si="106"/>
        <v>12.556164383561644</v>
      </c>
      <c r="P894" s="12">
        <f t="shared" ca="1" si="102"/>
        <v>16.056164383561644</v>
      </c>
      <c r="Q894" s="12" t="s">
        <v>68</v>
      </c>
      <c r="R894" s="9" t="s">
        <v>27</v>
      </c>
      <c r="S894" s="24" t="s">
        <v>36</v>
      </c>
      <c r="T894" s="9" t="s">
        <v>72</v>
      </c>
    </row>
    <row r="895" spans="1:20" ht="35.25" customHeight="1">
      <c r="A895" s="6">
        <f t="shared" si="101"/>
        <v>894</v>
      </c>
      <c r="B895" s="17" t="s">
        <v>2418</v>
      </c>
      <c r="C895" s="8" t="s">
        <v>2419</v>
      </c>
      <c r="D895" s="9" t="s">
        <v>26</v>
      </c>
      <c r="E895" s="10">
        <v>30371</v>
      </c>
      <c r="F895" s="11">
        <f t="shared" ca="1" si="104"/>
        <v>40.821917808219176</v>
      </c>
      <c r="G895" s="11">
        <f t="shared" si="105"/>
        <v>2</v>
      </c>
      <c r="H895" s="11">
        <f t="shared" si="103"/>
        <v>24</v>
      </c>
      <c r="I895" s="10">
        <v>40688</v>
      </c>
      <c r="J895" s="9" t="s">
        <v>87</v>
      </c>
      <c r="K895" s="9" t="s">
        <v>332</v>
      </c>
      <c r="L895" s="9" t="s">
        <v>34</v>
      </c>
      <c r="M895" s="9" t="s">
        <v>35</v>
      </c>
      <c r="N895" s="11">
        <v>6</v>
      </c>
      <c r="O895" s="12">
        <f t="shared" ca="1" si="106"/>
        <v>12.556164383561644</v>
      </c>
      <c r="P895" s="12">
        <f t="shared" ca="1" si="102"/>
        <v>18.556164383561644</v>
      </c>
      <c r="Q895" s="12" t="s">
        <v>26</v>
      </c>
      <c r="R895" s="9" t="s">
        <v>27</v>
      </c>
      <c r="S895" s="24" t="s">
        <v>36</v>
      </c>
      <c r="T895" s="9" t="s">
        <v>37</v>
      </c>
    </row>
    <row r="896" spans="1:20" ht="35.25" customHeight="1">
      <c r="A896" s="6">
        <f t="shared" si="101"/>
        <v>895</v>
      </c>
      <c r="B896" s="17" t="s">
        <v>2420</v>
      </c>
      <c r="C896" s="8" t="s">
        <v>2421</v>
      </c>
      <c r="D896" s="9" t="s">
        <v>26</v>
      </c>
      <c r="E896" s="10">
        <v>31794</v>
      </c>
      <c r="F896" s="11">
        <f t="shared" ca="1" si="104"/>
        <v>36.923287671232877</v>
      </c>
      <c r="G896" s="11">
        <f t="shared" si="105"/>
        <v>1</v>
      </c>
      <c r="H896" s="11">
        <f t="shared" si="103"/>
        <v>17</v>
      </c>
      <c r="I896" s="10">
        <v>40688</v>
      </c>
      <c r="J896" s="9" t="s">
        <v>45</v>
      </c>
      <c r="K896" s="9" t="s">
        <v>1815</v>
      </c>
      <c r="L896" s="9" t="s">
        <v>34</v>
      </c>
      <c r="M896" s="9" t="s">
        <v>35</v>
      </c>
      <c r="N896" s="11">
        <v>2</v>
      </c>
      <c r="O896" s="12">
        <f t="shared" ca="1" si="106"/>
        <v>12.556164383561644</v>
      </c>
      <c r="P896" s="12">
        <f t="shared" ca="1" si="102"/>
        <v>14.556164383561644</v>
      </c>
      <c r="Q896" s="12" t="s">
        <v>68</v>
      </c>
      <c r="R896" s="9" t="s">
        <v>27</v>
      </c>
      <c r="S896" s="24" t="s">
        <v>36</v>
      </c>
      <c r="T896" s="9" t="s">
        <v>37</v>
      </c>
    </row>
    <row r="897" spans="1:20" ht="35.25" customHeight="1">
      <c r="A897" s="6">
        <f t="shared" si="101"/>
        <v>896</v>
      </c>
      <c r="B897" s="17" t="s">
        <v>2422</v>
      </c>
      <c r="C897" s="8" t="s">
        <v>2423</v>
      </c>
      <c r="D897" s="9" t="s">
        <v>26</v>
      </c>
      <c r="E897" s="10">
        <v>23588</v>
      </c>
      <c r="F897" s="11">
        <f t="shared" ca="1" si="104"/>
        <v>59.405479452054792</v>
      </c>
      <c r="G897" s="11">
        <f t="shared" si="105"/>
        <v>7</v>
      </c>
      <c r="H897" s="11">
        <f t="shared" si="103"/>
        <v>30</v>
      </c>
      <c r="I897" s="10">
        <v>40689</v>
      </c>
      <c r="J897" s="9" t="s">
        <v>66</v>
      </c>
      <c r="K897" s="9" t="s">
        <v>489</v>
      </c>
      <c r="L897" s="9" t="s">
        <v>34</v>
      </c>
      <c r="M897" s="9" t="s">
        <v>35</v>
      </c>
      <c r="N897" s="11">
        <v>24</v>
      </c>
      <c r="O897" s="12">
        <f t="shared" ca="1" si="106"/>
        <v>12.553424657534247</v>
      </c>
      <c r="P897" s="12">
        <f t="shared" ca="1" si="102"/>
        <v>36.553424657534251</v>
      </c>
      <c r="Q897" s="12" t="s">
        <v>26</v>
      </c>
      <c r="R897" s="9" t="s">
        <v>95</v>
      </c>
      <c r="S897" s="24" t="s">
        <v>36</v>
      </c>
      <c r="T897" s="9" t="s">
        <v>90</v>
      </c>
    </row>
    <row r="898" spans="1:20" ht="35.25" customHeight="1">
      <c r="A898" s="6">
        <f t="shared" si="101"/>
        <v>897</v>
      </c>
      <c r="B898" s="17" t="s">
        <v>2424</v>
      </c>
      <c r="C898" s="8" t="s">
        <v>2425</v>
      </c>
      <c r="D898" s="9" t="s">
        <v>26</v>
      </c>
      <c r="E898" s="10">
        <v>30823</v>
      </c>
      <c r="F898" s="11">
        <f t="shared" ca="1" si="104"/>
        <v>39.583561643835615</v>
      </c>
      <c r="G898" s="11">
        <f t="shared" si="105"/>
        <v>5</v>
      </c>
      <c r="H898" s="11">
        <f t="shared" si="103"/>
        <v>21</v>
      </c>
      <c r="I898" s="10">
        <v>40689</v>
      </c>
      <c r="J898" s="9" t="s">
        <v>41</v>
      </c>
      <c r="K898" s="9" t="s">
        <v>863</v>
      </c>
      <c r="L898" s="9" t="s">
        <v>1603</v>
      </c>
      <c r="M898" s="9" t="s">
        <v>35</v>
      </c>
      <c r="N898" s="11">
        <v>3</v>
      </c>
      <c r="O898" s="12">
        <f t="shared" ca="1" si="106"/>
        <v>12.553424657534247</v>
      </c>
      <c r="P898" s="12">
        <f t="shared" ca="1" si="102"/>
        <v>15.553424657534247</v>
      </c>
      <c r="Q898" s="12" t="s">
        <v>68</v>
      </c>
      <c r="R898" s="9" t="s">
        <v>27</v>
      </c>
      <c r="S898" s="24" t="s">
        <v>36</v>
      </c>
      <c r="T898" s="9" t="s">
        <v>37</v>
      </c>
    </row>
    <row r="899" spans="1:20" ht="35.25" customHeight="1">
      <c r="A899" s="6">
        <f t="shared" si="101"/>
        <v>898</v>
      </c>
      <c r="B899" s="17" t="s">
        <v>2426</v>
      </c>
      <c r="C899" s="8" t="s">
        <v>1277</v>
      </c>
      <c r="D899" s="9" t="s">
        <v>26</v>
      </c>
      <c r="E899" s="10">
        <v>24207</v>
      </c>
      <c r="F899" s="11">
        <f t="shared" ca="1" si="104"/>
        <v>57.709589041095889</v>
      </c>
      <c r="G899" s="11">
        <f t="shared" si="105"/>
        <v>4</v>
      </c>
      <c r="H899" s="11">
        <f t="shared" si="103"/>
        <v>10</v>
      </c>
      <c r="I899" s="10">
        <v>40689</v>
      </c>
      <c r="J899" s="9" t="s">
        <v>32</v>
      </c>
      <c r="K899" s="9" t="s">
        <v>2427</v>
      </c>
      <c r="L899" s="9" t="s">
        <v>34</v>
      </c>
      <c r="M899" s="9" t="s">
        <v>35</v>
      </c>
      <c r="N899" s="11">
        <v>22</v>
      </c>
      <c r="O899" s="12">
        <f t="shared" ca="1" si="106"/>
        <v>12.553424657534247</v>
      </c>
      <c r="P899" s="12">
        <f t="shared" ca="1" si="102"/>
        <v>34.553424657534251</v>
      </c>
      <c r="Q899" s="12" t="s">
        <v>26</v>
      </c>
      <c r="R899" s="9" t="s">
        <v>27</v>
      </c>
      <c r="S899" s="24" t="s">
        <v>36</v>
      </c>
      <c r="T899" s="9" t="s">
        <v>860</v>
      </c>
    </row>
    <row r="900" spans="1:20" ht="35.25" customHeight="1">
      <c r="A900" s="6">
        <f t="shared" ref="A900:A963" si="107">+A899+1</f>
        <v>899</v>
      </c>
      <c r="B900" s="17" t="s">
        <v>2428</v>
      </c>
      <c r="C900" s="8" t="s">
        <v>2429</v>
      </c>
      <c r="D900" s="9" t="s">
        <v>26</v>
      </c>
      <c r="E900" s="10">
        <v>31213</v>
      </c>
      <c r="F900" s="11">
        <f t="shared" ca="1" si="104"/>
        <v>38.515068493150686</v>
      </c>
      <c r="G900" s="11">
        <f t="shared" si="105"/>
        <v>6</v>
      </c>
      <c r="H900" s="11">
        <f t="shared" si="103"/>
        <v>15</v>
      </c>
      <c r="I900" s="10">
        <v>40689</v>
      </c>
      <c r="J900" s="9" t="s">
        <v>87</v>
      </c>
      <c r="K900" s="9" t="s">
        <v>2430</v>
      </c>
      <c r="L900" s="9" t="s">
        <v>213</v>
      </c>
      <c r="M900" s="9" t="s">
        <v>35</v>
      </c>
      <c r="N900" s="11">
        <v>6</v>
      </c>
      <c r="O900" s="12">
        <f t="shared" ca="1" si="106"/>
        <v>12.553424657534247</v>
      </c>
      <c r="P900" s="12">
        <f t="shared" ca="1" si="102"/>
        <v>18.553424657534247</v>
      </c>
      <c r="Q900" s="12" t="s">
        <v>68</v>
      </c>
      <c r="R900" s="9" t="s">
        <v>442</v>
      </c>
      <c r="S900" s="24" t="s">
        <v>36</v>
      </c>
      <c r="T900" s="9" t="s">
        <v>72</v>
      </c>
    </row>
    <row r="901" spans="1:20" ht="35.25" customHeight="1">
      <c r="A901" s="6">
        <f t="shared" si="107"/>
        <v>900</v>
      </c>
      <c r="B901" s="17" t="s">
        <v>2431</v>
      </c>
      <c r="C901" s="8" t="s">
        <v>2432</v>
      </c>
      <c r="D901" s="9" t="s">
        <v>26</v>
      </c>
      <c r="E901" s="10">
        <v>23163</v>
      </c>
      <c r="F901" s="11">
        <f t="shared" ca="1" si="104"/>
        <v>60.56986301369863</v>
      </c>
      <c r="G901" s="11">
        <f t="shared" si="105"/>
        <v>6</v>
      </c>
      <c r="H901" s="11">
        <f t="shared" si="103"/>
        <v>1</v>
      </c>
      <c r="I901" s="10">
        <v>40696</v>
      </c>
      <c r="J901" s="9" t="s">
        <v>140</v>
      </c>
      <c r="K901" s="9" t="s">
        <v>2433</v>
      </c>
      <c r="L901" s="9" t="s">
        <v>704</v>
      </c>
      <c r="M901" s="9" t="s">
        <v>356</v>
      </c>
      <c r="N901" s="11">
        <v>24</v>
      </c>
      <c r="O901" s="12">
        <f t="shared" ca="1" si="106"/>
        <v>12.534246575342467</v>
      </c>
      <c r="P901" s="12">
        <f t="shared" ca="1" si="102"/>
        <v>36.534246575342465</v>
      </c>
      <c r="Q901" s="12" t="s">
        <v>26</v>
      </c>
      <c r="R901" s="9" t="s">
        <v>2434</v>
      </c>
      <c r="S901" s="24" t="s">
        <v>28</v>
      </c>
      <c r="T901" s="9" t="s">
        <v>29</v>
      </c>
    </row>
    <row r="902" spans="1:20" ht="35.25" customHeight="1">
      <c r="A902" s="6">
        <f t="shared" si="107"/>
        <v>901</v>
      </c>
      <c r="B902" s="17" t="s">
        <v>2435</v>
      </c>
      <c r="C902" s="8" t="s">
        <v>1448</v>
      </c>
      <c r="D902" s="9" t="s">
        <v>26</v>
      </c>
      <c r="E902" s="10">
        <v>31210</v>
      </c>
      <c r="F902" s="11">
        <f t="shared" ca="1" si="104"/>
        <v>38.523287671232879</v>
      </c>
      <c r="G902" s="11">
        <f t="shared" si="105"/>
        <v>6</v>
      </c>
      <c r="H902" s="11">
        <f t="shared" si="103"/>
        <v>12</v>
      </c>
      <c r="I902" s="10">
        <v>40695</v>
      </c>
      <c r="J902" s="9" t="s">
        <v>87</v>
      </c>
      <c r="K902" s="9" t="s">
        <v>2436</v>
      </c>
      <c r="L902" s="9" t="s">
        <v>24</v>
      </c>
      <c r="M902" s="9" t="s">
        <v>35</v>
      </c>
      <c r="N902" s="11">
        <v>4.0999999999999996</v>
      </c>
      <c r="O902" s="12">
        <f t="shared" ca="1" si="106"/>
        <v>12.536986301369863</v>
      </c>
      <c r="P902" s="12">
        <f t="shared" ca="1" si="102"/>
        <v>16.636986301369863</v>
      </c>
      <c r="Q902" s="12" t="s">
        <v>68</v>
      </c>
      <c r="R902" s="9" t="s">
        <v>27</v>
      </c>
      <c r="S902" s="24" t="s">
        <v>36</v>
      </c>
      <c r="T902" s="9" t="s">
        <v>37</v>
      </c>
    </row>
    <row r="903" spans="1:20" ht="35.25" customHeight="1">
      <c r="A903" s="6">
        <f t="shared" si="107"/>
        <v>902</v>
      </c>
      <c r="B903" s="17" t="s">
        <v>2437</v>
      </c>
      <c r="C903" s="8" t="s">
        <v>2438</v>
      </c>
      <c r="D903" s="9" t="s">
        <v>26</v>
      </c>
      <c r="E903" s="10">
        <v>27815</v>
      </c>
      <c r="F903" s="11">
        <f t="shared" ca="1" si="104"/>
        <v>47.824657534246576</v>
      </c>
      <c r="G903" s="11">
        <f t="shared" si="105"/>
        <v>2</v>
      </c>
      <c r="H903" s="11">
        <f t="shared" si="103"/>
        <v>25</v>
      </c>
      <c r="I903" s="10">
        <v>40695</v>
      </c>
      <c r="J903" s="9" t="s">
        <v>32</v>
      </c>
      <c r="K903" s="9" t="s">
        <v>2439</v>
      </c>
      <c r="L903" s="9" t="s">
        <v>34</v>
      </c>
      <c r="M903" s="9" t="s">
        <v>35</v>
      </c>
      <c r="N903" s="11">
        <v>11</v>
      </c>
      <c r="O903" s="12">
        <f t="shared" ca="1" si="106"/>
        <v>12.536986301369863</v>
      </c>
      <c r="P903" s="12">
        <f t="shared" ca="1" si="102"/>
        <v>23.536986301369865</v>
      </c>
      <c r="Q903" s="12" t="s">
        <v>26</v>
      </c>
      <c r="R903" s="9" t="s">
        <v>27</v>
      </c>
      <c r="S903" s="24" t="s">
        <v>36</v>
      </c>
      <c r="T903" s="9" t="s">
        <v>37</v>
      </c>
    </row>
    <row r="904" spans="1:20" ht="35.25" customHeight="1">
      <c r="A904" s="6">
        <f t="shared" si="107"/>
        <v>903</v>
      </c>
      <c r="B904" s="17" t="s">
        <v>2441</v>
      </c>
      <c r="C904" s="8" t="s">
        <v>2442</v>
      </c>
      <c r="D904" s="9" t="s">
        <v>26</v>
      </c>
      <c r="E904" s="10">
        <v>30591</v>
      </c>
      <c r="F904" s="11">
        <v>28.145205479452056</v>
      </c>
      <c r="G904" s="11">
        <v>10</v>
      </c>
      <c r="H904" s="11">
        <v>2</v>
      </c>
      <c r="I904" s="10">
        <v>40695</v>
      </c>
      <c r="J904" s="9" t="s">
        <v>87</v>
      </c>
      <c r="K904" s="9" t="s">
        <v>2436</v>
      </c>
      <c r="L904" s="9" t="s">
        <v>24</v>
      </c>
      <c r="M904" s="9" t="s">
        <v>61</v>
      </c>
      <c r="N904" s="11">
        <v>3</v>
      </c>
      <c r="O904" s="12">
        <v>0.46301369863013697</v>
      </c>
      <c r="P904" s="12">
        <v>3.463013698630137</v>
      </c>
      <c r="Q904" s="11" t="s">
        <v>68</v>
      </c>
      <c r="R904" s="9" t="s">
        <v>27</v>
      </c>
      <c r="S904" s="9" t="s">
        <v>36</v>
      </c>
      <c r="T904" s="9" t="s">
        <v>72</v>
      </c>
    </row>
    <row r="905" spans="1:20" ht="35.25" customHeight="1">
      <c r="A905" s="6">
        <f t="shared" si="107"/>
        <v>904</v>
      </c>
      <c r="B905" s="17" t="s">
        <v>2443</v>
      </c>
      <c r="C905" s="8" t="s">
        <v>2444</v>
      </c>
      <c r="D905" s="9" t="s">
        <v>26</v>
      </c>
      <c r="E905" s="10">
        <v>28405</v>
      </c>
      <c r="F905" s="11">
        <f t="shared" ca="1" si="104"/>
        <v>46.208219178082189</v>
      </c>
      <c r="G905" s="11">
        <f t="shared" ref="G905:G957" si="108">MONTH(E905)</f>
        <v>10</v>
      </c>
      <c r="H905" s="11">
        <f t="shared" ref="H905:H957" si="109">DAY(E905)</f>
        <v>7</v>
      </c>
      <c r="I905" s="10">
        <v>40695</v>
      </c>
      <c r="J905" s="9" t="s">
        <v>87</v>
      </c>
      <c r="K905" s="9" t="s">
        <v>412</v>
      </c>
      <c r="L905" s="9" t="s">
        <v>1603</v>
      </c>
      <c r="M905" s="9" t="s">
        <v>35</v>
      </c>
      <c r="N905" s="11">
        <v>7</v>
      </c>
      <c r="O905" s="12">
        <f t="shared" ref="O905:O936" ca="1" si="110">(TODAY()-I905)/365</f>
        <v>12.536986301369863</v>
      </c>
      <c r="P905" s="12">
        <f t="shared" ca="1" si="102"/>
        <v>19.536986301369865</v>
      </c>
      <c r="Q905" s="12" t="s">
        <v>26</v>
      </c>
      <c r="R905" s="9" t="s">
        <v>27</v>
      </c>
      <c r="S905" s="24" t="s">
        <v>36</v>
      </c>
      <c r="T905" s="9" t="s">
        <v>37</v>
      </c>
    </row>
    <row r="906" spans="1:20" ht="35.25" customHeight="1">
      <c r="A906" s="6">
        <f t="shared" si="107"/>
        <v>905</v>
      </c>
      <c r="B906" s="17" t="s">
        <v>2445</v>
      </c>
      <c r="C906" s="8" t="s">
        <v>2446</v>
      </c>
      <c r="D906" s="9" t="s">
        <v>21</v>
      </c>
      <c r="E906" s="10">
        <v>32254</v>
      </c>
      <c r="F906" s="11">
        <f t="shared" ca="1" si="104"/>
        <v>35.663013698630138</v>
      </c>
      <c r="G906" s="11">
        <f t="shared" si="108"/>
        <v>4</v>
      </c>
      <c r="H906" s="11">
        <f t="shared" si="109"/>
        <v>21</v>
      </c>
      <c r="I906" s="10">
        <v>40695</v>
      </c>
      <c r="J906" s="9" t="s">
        <v>87</v>
      </c>
      <c r="K906" s="9" t="s">
        <v>2447</v>
      </c>
      <c r="L906" s="9" t="s">
        <v>393</v>
      </c>
      <c r="M906" s="9" t="s">
        <v>165</v>
      </c>
      <c r="N906" s="11">
        <v>1</v>
      </c>
      <c r="O906" s="12">
        <f t="shared" ca="1" si="110"/>
        <v>12.536986301369863</v>
      </c>
      <c r="P906" s="12">
        <f t="shared" ca="1" si="102"/>
        <v>13.536986301369863</v>
      </c>
      <c r="Q906" s="12" t="s">
        <v>26</v>
      </c>
      <c r="R906" s="9" t="s">
        <v>27</v>
      </c>
      <c r="S906" s="24" t="s">
        <v>28</v>
      </c>
      <c r="T906" s="9" t="s">
        <v>29</v>
      </c>
    </row>
    <row r="907" spans="1:20" ht="35.25" customHeight="1">
      <c r="A907" s="6">
        <f t="shared" si="107"/>
        <v>906</v>
      </c>
      <c r="B907" s="17" t="s">
        <v>2448</v>
      </c>
      <c r="C907" s="8" t="s">
        <v>2449</v>
      </c>
      <c r="D907" s="9" t="s">
        <v>21</v>
      </c>
      <c r="E907" s="10">
        <v>31561</v>
      </c>
      <c r="F907" s="11">
        <f t="shared" ca="1" si="104"/>
        <v>37.561643835616437</v>
      </c>
      <c r="G907" s="11">
        <f t="shared" si="108"/>
        <v>5</v>
      </c>
      <c r="H907" s="11">
        <f t="shared" si="109"/>
        <v>29</v>
      </c>
      <c r="I907" s="63">
        <v>40238</v>
      </c>
      <c r="J907" s="9" t="s">
        <v>110</v>
      </c>
      <c r="K907" s="61" t="s">
        <v>63</v>
      </c>
      <c r="L907" s="9" t="s">
        <v>34</v>
      </c>
      <c r="M907" s="9" t="s">
        <v>61</v>
      </c>
      <c r="N907" s="11">
        <v>2</v>
      </c>
      <c r="O907" s="12">
        <f t="shared" ca="1" si="110"/>
        <v>13.789041095890411</v>
      </c>
      <c r="P907" s="12">
        <f t="shared" ca="1" si="102"/>
        <v>15.789041095890411</v>
      </c>
      <c r="Q907" s="12" t="s">
        <v>68</v>
      </c>
      <c r="R907" s="9" t="s">
        <v>27</v>
      </c>
      <c r="S907" s="24" t="s">
        <v>28</v>
      </c>
      <c r="T907" s="9" t="s">
        <v>29</v>
      </c>
    </row>
    <row r="908" spans="1:20" ht="35.25" customHeight="1">
      <c r="A908" s="6">
        <f t="shared" si="107"/>
        <v>907</v>
      </c>
      <c r="B908" s="17" t="s">
        <v>2450</v>
      </c>
      <c r="C908" s="8" t="s">
        <v>2451</v>
      </c>
      <c r="D908" s="9" t="s">
        <v>21</v>
      </c>
      <c r="E908" s="10">
        <v>31142</v>
      </c>
      <c r="F908" s="11">
        <f t="shared" ca="1" si="104"/>
        <v>38.709589041095889</v>
      </c>
      <c r="G908" s="11">
        <f t="shared" si="108"/>
        <v>4</v>
      </c>
      <c r="H908" s="11">
        <f t="shared" si="109"/>
        <v>5</v>
      </c>
      <c r="I908" s="63">
        <v>40000</v>
      </c>
      <c r="J908" s="9" t="s">
        <v>22</v>
      </c>
      <c r="K908" s="9" t="s">
        <v>392</v>
      </c>
      <c r="L908" s="9" t="s">
        <v>34</v>
      </c>
      <c r="M908" s="9" t="s">
        <v>61</v>
      </c>
      <c r="N908" s="11">
        <v>0</v>
      </c>
      <c r="O908" s="12">
        <f t="shared" ca="1" si="110"/>
        <v>14.441095890410958</v>
      </c>
      <c r="P908" s="12">
        <f t="shared" ref="P908:P971" ca="1" si="111">SUM(N908+O908)</f>
        <v>14.441095890410958</v>
      </c>
      <c r="Q908" s="12" t="s">
        <v>26</v>
      </c>
      <c r="R908" s="9" t="s">
        <v>27</v>
      </c>
      <c r="S908" s="24" t="s">
        <v>28</v>
      </c>
      <c r="T908" s="9" t="s">
        <v>29</v>
      </c>
    </row>
    <row r="909" spans="1:20" ht="35.25" customHeight="1">
      <c r="A909" s="6">
        <f t="shared" si="107"/>
        <v>908</v>
      </c>
      <c r="B909" s="17" t="s">
        <v>2453</v>
      </c>
      <c r="C909" s="8" t="s">
        <v>2454</v>
      </c>
      <c r="D909" s="9" t="s">
        <v>26</v>
      </c>
      <c r="E909" s="10">
        <v>30656</v>
      </c>
      <c r="F909" s="11">
        <f t="shared" ca="1" si="104"/>
        <v>40.041095890410958</v>
      </c>
      <c r="G909" s="11">
        <f t="shared" si="108"/>
        <v>12</v>
      </c>
      <c r="H909" s="11">
        <f t="shared" si="109"/>
        <v>6</v>
      </c>
      <c r="I909" s="63">
        <v>40546</v>
      </c>
      <c r="J909" s="9" t="s">
        <v>50</v>
      </c>
      <c r="K909" s="9" t="s">
        <v>159</v>
      </c>
      <c r="L909" s="9" t="s">
        <v>34</v>
      </c>
      <c r="M909" s="9" t="s">
        <v>61</v>
      </c>
      <c r="N909" s="11">
        <v>3</v>
      </c>
      <c r="O909" s="12">
        <f t="shared" ca="1" si="110"/>
        <v>12.945205479452055</v>
      </c>
      <c r="P909" s="12">
        <f t="shared" ca="1" si="111"/>
        <v>15.945205479452055</v>
      </c>
      <c r="Q909" s="12" t="s">
        <v>26</v>
      </c>
      <c r="R909" s="9" t="s">
        <v>27</v>
      </c>
      <c r="S909" s="24" t="s">
        <v>28</v>
      </c>
      <c r="T909" s="9" t="s">
        <v>29</v>
      </c>
    </row>
    <row r="910" spans="1:20" ht="35.25" customHeight="1">
      <c r="A910" s="6">
        <f t="shared" si="107"/>
        <v>909</v>
      </c>
      <c r="B910" s="17" t="s">
        <v>2455</v>
      </c>
      <c r="C910" s="8" t="s">
        <v>2456</v>
      </c>
      <c r="D910" s="9" t="s">
        <v>21</v>
      </c>
      <c r="E910" s="10">
        <v>30547</v>
      </c>
      <c r="F910" s="11">
        <f t="shared" ca="1" si="104"/>
        <v>40.339726027397262</v>
      </c>
      <c r="G910" s="11">
        <f t="shared" si="108"/>
        <v>8</v>
      </c>
      <c r="H910" s="11">
        <f t="shared" si="109"/>
        <v>19</v>
      </c>
      <c r="I910" s="63">
        <v>39678</v>
      </c>
      <c r="J910" s="9" t="s">
        <v>50</v>
      </c>
      <c r="K910" s="9" t="s">
        <v>159</v>
      </c>
      <c r="L910" s="9" t="s">
        <v>34</v>
      </c>
      <c r="M910" s="9" t="s">
        <v>61</v>
      </c>
      <c r="N910" s="11">
        <v>1.5</v>
      </c>
      <c r="O910" s="12">
        <f t="shared" ca="1" si="110"/>
        <v>15.323287671232876</v>
      </c>
      <c r="P910" s="12">
        <f t="shared" ca="1" si="111"/>
        <v>16.823287671232876</v>
      </c>
      <c r="Q910" s="12" t="s">
        <v>26</v>
      </c>
      <c r="R910" s="9" t="s">
        <v>27</v>
      </c>
      <c r="S910" s="24" t="s">
        <v>28</v>
      </c>
      <c r="T910" s="9" t="s">
        <v>29</v>
      </c>
    </row>
    <row r="911" spans="1:20" ht="35.25" customHeight="1">
      <c r="A911" s="6">
        <f t="shared" si="107"/>
        <v>910</v>
      </c>
      <c r="B911" s="17" t="s">
        <v>2457</v>
      </c>
      <c r="C911" s="8" t="s">
        <v>2452</v>
      </c>
      <c r="D911" s="9" t="s">
        <v>26</v>
      </c>
      <c r="E911" s="10">
        <v>30672</v>
      </c>
      <c r="F911" s="11">
        <f t="shared" ca="1" si="104"/>
        <v>39.9972602739726</v>
      </c>
      <c r="G911" s="11">
        <f t="shared" si="108"/>
        <v>12</v>
      </c>
      <c r="H911" s="11">
        <f t="shared" si="109"/>
        <v>22</v>
      </c>
      <c r="I911" s="63">
        <v>39192</v>
      </c>
      <c r="J911" s="9" t="s">
        <v>58</v>
      </c>
      <c r="K911" s="9" t="s">
        <v>129</v>
      </c>
      <c r="L911" s="9" t="s">
        <v>34</v>
      </c>
      <c r="M911" s="9" t="s">
        <v>61</v>
      </c>
      <c r="N911" s="11">
        <v>0.9</v>
      </c>
      <c r="O911" s="12">
        <f t="shared" ca="1" si="110"/>
        <v>16.654794520547945</v>
      </c>
      <c r="P911" s="12">
        <f t="shared" ca="1" si="111"/>
        <v>17.554794520547944</v>
      </c>
      <c r="Q911" s="12" t="s">
        <v>26</v>
      </c>
      <c r="R911" s="9" t="s">
        <v>27</v>
      </c>
      <c r="S911" s="24" t="s">
        <v>28</v>
      </c>
      <c r="T911" s="9" t="s">
        <v>29</v>
      </c>
    </row>
    <row r="912" spans="1:20" ht="35.25" customHeight="1">
      <c r="A912" s="6">
        <f t="shared" si="107"/>
        <v>911</v>
      </c>
      <c r="B912" s="17" t="s">
        <v>2458</v>
      </c>
      <c r="C912" s="8" t="s">
        <v>2459</v>
      </c>
      <c r="D912" s="9" t="s">
        <v>26</v>
      </c>
      <c r="E912" s="10">
        <v>31659</v>
      </c>
      <c r="F912" s="11">
        <f t="shared" ca="1" si="104"/>
        <v>37.293150684931504</v>
      </c>
      <c r="G912" s="11">
        <f t="shared" si="108"/>
        <v>9</v>
      </c>
      <c r="H912" s="11">
        <f t="shared" si="109"/>
        <v>4</v>
      </c>
      <c r="I912" s="10">
        <v>40704</v>
      </c>
      <c r="J912" s="9" t="s">
        <v>2460</v>
      </c>
      <c r="K912" s="9" t="s">
        <v>2461</v>
      </c>
      <c r="L912" s="9" t="s">
        <v>389</v>
      </c>
      <c r="M912" s="9" t="s">
        <v>205</v>
      </c>
      <c r="N912" s="11">
        <v>2.11</v>
      </c>
      <c r="O912" s="12">
        <f t="shared" ca="1" si="110"/>
        <v>12.512328767123288</v>
      </c>
      <c r="P912" s="12">
        <f t="shared" ca="1" si="111"/>
        <v>14.622328767123287</v>
      </c>
      <c r="Q912" s="12" t="s">
        <v>68</v>
      </c>
      <c r="R912" s="9" t="s">
        <v>27</v>
      </c>
      <c r="S912" s="24" t="s">
        <v>36</v>
      </c>
      <c r="T912" s="24" t="s">
        <v>137</v>
      </c>
    </row>
    <row r="913" spans="1:20" ht="35.25" customHeight="1">
      <c r="A913" s="6">
        <f t="shared" si="107"/>
        <v>912</v>
      </c>
      <c r="B913" s="17" t="s">
        <v>2462</v>
      </c>
      <c r="C913" s="8" t="s">
        <v>2463</v>
      </c>
      <c r="D913" s="9" t="s">
        <v>26</v>
      </c>
      <c r="E913" s="10">
        <v>27956</v>
      </c>
      <c r="F913" s="11">
        <f t="shared" ca="1" si="104"/>
        <v>47.438356164383563</v>
      </c>
      <c r="G913" s="11">
        <f t="shared" si="108"/>
        <v>7</v>
      </c>
      <c r="H913" s="11">
        <f t="shared" si="109"/>
        <v>15</v>
      </c>
      <c r="I913" s="63">
        <v>40546</v>
      </c>
      <c r="J913" s="9" t="s">
        <v>367</v>
      </c>
      <c r="K913" s="9" t="s">
        <v>2464</v>
      </c>
      <c r="L913" s="9" t="s">
        <v>34</v>
      </c>
      <c r="M913" s="9" t="s">
        <v>61</v>
      </c>
      <c r="N913" s="11">
        <v>6</v>
      </c>
      <c r="O913" s="12">
        <f t="shared" ca="1" si="110"/>
        <v>12.945205479452055</v>
      </c>
      <c r="P913" s="12">
        <f t="shared" ca="1" si="111"/>
        <v>18.945205479452056</v>
      </c>
      <c r="Q913" s="12" t="s">
        <v>26</v>
      </c>
      <c r="R913" s="9" t="s">
        <v>27</v>
      </c>
      <c r="S913" s="24" t="s">
        <v>28</v>
      </c>
      <c r="T913" s="9" t="s">
        <v>29</v>
      </c>
    </row>
    <row r="914" spans="1:20" ht="35.25" customHeight="1">
      <c r="A914" s="6">
        <f t="shared" si="107"/>
        <v>913</v>
      </c>
      <c r="B914" s="17" t="s">
        <v>2465</v>
      </c>
      <c r="C914" s="8" t="s">
        <v>2466</v>
      </c>
      <c r="D914" s="9" t="s">
        <v>26</v>
      </c>
      <c r="E914" s="10">
        <v>23498</v>
      </c>
      <c r="F914" s="11">
        <f t="shared" ca="1" si="104"/>
        <v>59.652054794520545</v>
      </c>
      <c r="G914" s="11">
        <f t="shared" si="108"/>
        <v>5</v>
      </c>
      <c r="H914" s="11">
        <f t="shared" si="109"/>
        <v>1</v>
      </c>
      <c r="I914" s="63">
        <v>40378</v>
      </c>
      <c r="J914" s="9" t="s">
        <v>93</v>
      </c>
      <c r="K914" s="9" t="s">
        <v>2467</v>
      </c>
      <c r="L914" s="9" t="s">
        <v>34</v>
      </c>
      <c r="M914" s="9" t="s">
        <v>61</v>
      </c>
      <c r="N914" s="11">
        <v>21</v>
      </c>
      <c r="O914" s="12">
        <f t="shared" ca="1" si="110"/>
        <v>13.405479452054795</v>
      </c>
      <c r="P914" s="12">
        <f t="shared" ca="1" si="111"/>
        <v>34.405479452054792</v>
      </c>
      <c r="Q914" s="12" t="s">
        <v>26</v>
      </c>
      <c r="R914" s="9" t="s">
        <v>27</v>
      </c>
      <c r="S914" s="24" t="s">
        <v>28</v>
      </c>
      <c r="T914" s="9" t="s">
        <v>29</v>
      </c>
    </row>
    <row r="915" spans="1:20" ht="35.25" customHeight="1">
      <c r="A915" s="6">
        <f t="shared" si="107"/>
        <v>914</v>
      </c>
      <c r="B915" s="17" t="s">
        <v>2468</v>
      </c>
      <c r="C915" s="8" t="s">
        <v>2469</v>
      </c>
      <c r="D915" s="9" t="s">
        <v>26</v>
      </c>
      <c r="E915" s="10">
        <v>29158</v>
      </c>
      <c r="F915" s="11">
        <f t="shared" ca="1" si="104"/>
        <v>44.145205479452052</v>
      </c>
      <c r="G915" s="11">
        <f t="shared" si="108"/>
        <v>10</v>
      </c>
      <c r="H915" s="11">
        <f t="shared" si="109"/>
        <v>30</v>
      </c>
      <c r="I915" s="10">
        <v>40700</v>
      </c>
      <c r="J915" s="9" t="s">
        <v>22</v>
      </c>
      <c r="K915" s="9" t="s">
        <v>2470</v>
      </c>
      <c r="L915" s="9" t="s">
        <v>938</v>
      </c>
      <c r="M915" s="9" t="s">
        <v>134</v>
      </c>
      <c r="N915" s="11">
        <v>7</v>
      </c>
      <c r="O915" s="12">
        <f t="shared" ca="1" si="110"/>
        <v>12.523287671232877</v>
      </c>
      <c r="P915" s="12">
        <f t="shared" ca="1" si="111"/>
        <v>19.523287671232879</v>
      </c>
      <c r="Q915" s="12" t="s">
        <v>26</v>
      </c>
      <c r="R915" s="9" t="s">
        <v>27</v>
      </c>
      <c r="S915" s="24" t="s">
        <v>28</v>
      </c>
      <c r="T915" s="9" t="s">
        <v>29</v>
      </c>
    </row>
    <row r="916" spans="1:20" ht="35.25" customHeight="1">
      <c r="A916" s="6">
        <f t="shared" si="107"/>
        <v>915</v>
      </c>
      <c r="B916" s="17" t="s">
        <v>2471</v>
      </c>
      <c r="C916" s="8" t="s">
        <v>2472</v>
      </c>
      <c r="D916" s="9" t="s">
        <v>26</v>
      </c>
      <c r="E916" s="10">
        <v>19516</v>
      </c>
      <c r="F916" s="11">
        <f t="shared" ca="1" si="104"/>
        <v>70.561643835616437</v>
      </c>
      <c r="G916" s="11">
        <f t="shared" si="108"/>
        <v>6</v>
      </c>
      <c r="H916" s="11">
        <f t="shared" si="109"/>
        <v>6</v>
      </c>
      <c r="I916" s="10">
        <v>40690</v>
      </c>
      <c r="J916" s="9" t="s">
        <v>66</v>
      </c>
      <c r="K916" s="9" t="s">
        <v>2473</v>
      </c>
      <c r="L916" s="9" t="s">
        <v>34</v>
      </c>
      <c r="M916" s="9" t="s">
        <v>491</v>
      </c>
      <c r="N916" s="19">
        <v>36</v>
      </c>
      <c r="O916" s="12">
        <f t="shared" ca="1" si="110"/>
        <v>12.550684931506849</v>
      </c>
      <c r="P916" s="12">
        <f t="shared" ca="1" si="111"/>
        <v>48.550684931506851</v>
      </c>
      <c r="Q916" s="12" t="s">
        <v>26</v>
      </c>
      <c r="R916" s="9" t="s">
        <v>792</v>
      </c>
      <c r="S916" s="24" t="s">
        <v>28</v>
      </c>
      <c r="T916" s="9" t="s">
        <v>492</v>
      </c>
    </row>
    <row r="917" spans="1:20" ht="35.25" customHeight="1">
      <c r="A917" s="6">
        <f t="shared" si="107"/>
        <v>916</v>
      </c>
      <c r="B917" s="17" t="s">
        <v>2474</v>
      </c>
      <c r="C917" s="17" t="s">
        <v>2475</v>
      </c>
      <c r="D917" s="6" t="s">
        <v>26</v>
      </c>
      <c r="E917" s="18">
        <v>23892</v>
      </c>
      <c r="F917" s="19">
        <f t="shared" ca="1" si="104"/>
        <v>58.57260273972603</v>
      </c>
      <c r="G917" s="19">
        <f t="shared" si="108"/>
        <v>5</v>
      </c>
      <c r="H917" s="19">
        <f t="shared" si="109"/>
        <v>30</v>
      </c>
      <c r="I917" s="18">
        <v>40696</v>
      </c>
      <c r="J917" s="6" t="s">
        <v>58</v>
      </c>
      <c r="K917" s="6" t="s">
        <v>2476</v>
      </c>
      <c r="L917" s="9" t="s">
        <v>34</v>
      </c>
      <c r="M917" s="6" t="s">
        <v>491</v>
      </c>
      <c r="N917" s="19">
        <v>23</v>
      </c>
      <c r="O917" s="20">
        <f t="shared" ca="1" si="110"/>
        <v>12.534246575342467</v>
      </c>
      <c r="P917" s="20">
        <f t="shared" ca="1" si="111"/>
        <v>35.534246575342465</v>
      </c>
      <c r="Q917" s="20" t="s">
        <v>26</v>
      </c>
      <c r="R917" s="6" t="s">
        <v>627</v>
      </c>
      <c r="S917" s="21" t="s">
        <v>28</v>
      </c>
      <c r="T917" s="6" t="s">
        <v>492</v>
      </c>
    </row>
    <row r="918" spans="1:20" ht="35.25" customHeight="1">
      <c r="A918" s="6">
        <f t="shared" si="107"/>
        <v>917</v>
      </c>
      <c r="B918" s="17" t="s">
        <v>2477</v>
      </c>
      <c r="C918" s="8" t="s">
        <v>2478</v>
      </c>
      <c r="D918" s="9" t="s">
        <v>2479</v>
      </c>
      <c r="E918" s="10">
        <v>33404</v>
      </c>
      <c r="F918" s="11">
        <f t="shared" ca="1" si="104"/>
        <v>32.512328767123286</v>
      </c>
      <c r="G918" s="11">
        <f t="shared" si="108"/>
        <v>6</v>
      </c>
      <c r="H918" s="11">
        <f t="shared" si="109"/>
        <v>15</v>
      </c>
      <c r="I918" s="10">
        <v>40702</v>
      </c>
      <c r="J918" s="9" t="s">
        <v>974</v>
      </c>
      <c r="K918" s="9" t="s">
        <v>2480</v>
      </c>
      <c r="L918" s="9" t="s">
        <v>122</v>
      </c>
      <c r="M918" s="9" t="s">
        <v>35</v>
      </c>
      <c r="N918" s="11">
        <v>0</v>
      </c>
      <c r="O918" s="12">
        <f t="shared" ca="1" si="110"/>
        <v>12.517808219178082</v>
      </c>
      <c r="P918" s="12">
        <f t="shared" ca="1" si="111"/>
        <v>12.517808219178082</v>
      </c>
      <c r="Q918" s="12" t="s">
        <v>68</v>
      </c>
      <c r="R918" s="9" t="s">
        <v>95</v>
      </c>
      <c r="S918" s="24" t="s">
        <v>36</v>
      </c>
      <c r="T918" s="9" t="s">
        <v>37</v>
      </c>
    </row>
    <row r="919" spans="1:20" ht="35.25" customHeight="1">
      <c r="A919" s="6">
        <f t="shared" si="107"/>
        <v>918</v>
      </c>
      <c r="B919" s="17" t="s">
        <v>2481</v>
      </c>
      <c r="C919" s="8" t="s">
        <v>2482</v>
      </c>
      <c r="D919" s="9" t="s">
        <v>26</v>
      </c>
      <c r="E919" s="10">
        <v>18535</v>
      </c>
      <c r="F919" s="11">
        <f t="shared" ca="1" si="104"/>
        <v>73.249315068493146</v>
      </c>
      <c r="G919" s="11">
        <f t="shared" si="108"/>
        <v>9</v>
      </c>
      <c r="H919" s="11">
        <f t="shared" si="109"/>
        <v>29</v>
      </c>
      <c r="I919" s="18">
        <v>40704</v>
      </c>
      <c r="J919" s="9" t="s">
        <v>58</v>
      </c>
      <c r="K919" s="9" t="s">
        <v>2483</v>
      </c>
      <c r="L919" s="9" t="s">
        <v>263</v>
      </c>
      <c r="M919" s="9" t="s">
        <v>25</v>
      </c>
      <c r="N919" s="11">
        <v>32</v>
      </c>
      <c r="O919" s="12">
        <f t="shared" ca="1" si="110"/>
        <v>12.512328767123288</v>
      </c>
      <c r="P919" s="12">
        <f t="shared" ca="1" si="111"/>
        <v>44.512328767123286</v>
      </c>
      <c r="Q919" s="12" t="s">
        <v>26</v>
      </c>
      <c r="R919" s="9" t="s">
        <v>27</v>
      </c>
      <c r="S919" s="24" t="s">
        <v>28</v>
      </c>
      <c r="T919" s="9" t="s">
        <v>29</v>
      </c>
    </row>
    <row r="920" spans="1:20" ht="35.25" customHeight="1">
      <c r="A920" s="6">
        <f t="shared" si="107"/>
        <v>919</v>
      </c>
      <c r="B920" s="17" t="s">
        <v>2484</v>
      </c>
      <c r="C920" s="8" t="s">
        <v>2485</v>
      </c>
      <c r="D920" s="9" t="s">
        <v>26</v>
      </c>
      <c r="E920" s="10">
        <v>32530</v>
      </c>
      <c r="F920" s="11">
        <f t="shared" ca="1" si="104"/>
        <v>34.906849315068492</v>
      </c>
      <c r="G920" s="11">
        <f t="shared" si="108"/>
        <v>1</v>
      </c>
      <c r="H920" s="11">
        <f t="shared" si="109"/>
        <v>22</v>
      </c>
      <c r="I920" s="10">
        <v>40702</v>
      </c>
      <c r="J920" s="9" t="s">
        <v>45</v>
      </c>
      <c r="K920" s="9" t="s">
        <v>1815</v>
      </c>
      <c r="L920" s="9" t="s">
        <v>34</v>
      </c>
      <c r="M920" s="9" t="s">
        <v>35</v>
      </c>
      <c r="N920" s="11">
        <v>4</v>
      </c>
      <c r="O920" s="12">
        <f t="shared" ca="1" si="110"/>
        <v>12.517808219178082</v>
      </c>
      <c r="P920" s="12">
        <f t="shared" ca="1" si="111"/>
        <v>16.517808219178082</v>
      </c>
      <c r="Q920" s="12" t="s">
        <v>68</v>
      </c>
      <c r="R920" s="9" t="s">
        <v>27</v>
      </c>
      <c r="S920" s="24" t="s">
        <v>36</v>
      </c>
      <c r="T920" s="9" t="s">
        <v>37</v>
      </c>
    </row>
    <row r="921" spans="1:20" ht="35.25" customHeight="1">
      <c r="A921" s="6">
        <f t="shared" si="107"/>
        <v>920</v>
      </c>
      <c r="B921" s="17" t="s">
        <v>2486</v>
      </c>
      <c r="C921" s="8" t="s">
        <v>2487</v>
      </c>
      <c r="D921" s="9" t="s">
        <v>26</v>
      </c>
      <c r="E921" s="10">
        <v>28644</v>
      </c>
      <c r="F921" s="11">
        <f t="shared" ca="1" si="104"/>
        <v>45.553424657534244</v>
      </c>
      <c r="G921" s="11">
        <f t="shared" si="108"/>
        <v>6</v>
      </c>
      <c r="H921" s="11">
        <f t="shared" si="109"/>
        <v>3</v>
      </c>
      <c r="I921" s="10">
        <v>40702</v>
      </c>
      <c r="J921" s="9" t="s">
        <v>58</v>
      </c>
      <c r="K921" s="9" t="s">
        <v>2488</v>
      </c>
      <c r="L921" s="9" t="s">
        <v>34</v>
      </c>
      <c r="M921" s="9" t="s">
        <v>35</v>
      </c>
      <c r="N921" s="11">
        <v>10.9</v>
      </c>
      <c r="O921" s="12">
        <f t="shared" ca="1" si="110"/>
        <v>12.517808219178082</v>
      </c>
      <c r="P921" s="12">
        <f t="shared" ca="1" si="111"/>
        <v>23.417808219178085</v>
      </c>
      <c r="Q921" s="12" t="s">
        <v>26</v>
      </c>
      <c r="R921" s="9" t="s">
        <v>27</v>
      </c>
      <c r="S921" s="24" t="s">
        <v>36</v>
      </c>
      <c r="T921" s="9" t="s">
        <v>72</v>
      </c>
    </row>
    <row r="922" spans="1:20" ht="35.25" customHeight="1">
      <c r="A922" s="6">
        <f t="shared" si="107"/>
        <v>921</v>
      </c>
      <c r="B922" s="17" t="s">
        <v>2489</v>
      </c>
      <c r="C922" s="8" t="s">
        <v>2490</v>
      </c>
      <c r="D922" s="9" t="s">
        <v>26</v>
      </c>
      <c r="E922" s="10">
        <v>28980</v>
      </c>
      <c r="F922" s="11">
        <f t="shared" ca="1" si="104"/>
        <v>44.632876712328766</v>
      </c>
      <c r="G922" s="11">
        <f t="shared" si="108"/>
        <v>5</v>
      </c>
      <c r="H922" s="11">
        <f t="shared" si="109"/>
        <v>5</v>
      </c>
      <c r="I922" s="10">
        <v>40707</v>
      </c>
      <c r="J922" s="9" t="s">
        <v>110</v>
      </c>
      <c r="K922" s="9" t="s">
        <v>2491</v>
      </c>
      <c r="L922" s="9" t="s">
        <v>636</v>
      </c>
      <c r="M922" s="9" t="s">
        <v>25</v>
      </c>
      <c r="N922" s="11">
        <v>4</v>
      </c>
      <c r="O922" s="12">
        <f t="shared" ca="1" si="110"/>
        <v>12.504109589041096</v>
      </c>
      <c r="P922" s="12">
        <f t="shared" ca="1" si="111"/>
        <v>16.504109589041096</v>
      </c>
      <c r="Q922" s="12" t="s">
        <v>26</v>
      </c>
      <c r="R922" s="9" t="s">
        <v>95</v>
      </c>
      <c r="S922" s="24" t="s">
        <v>28</v>
      </c>
      <c r="T922" s="9" t="s">
        <v>29</v>
      </c>
    </row>
    <row r="923" spans="1:20" ht="35.25" customHeight="1">
      <c r="A923" s="6">
        <f t="shared" si="107"/>
        <v>922</v>
      </c>
      <c r="B923" s="17" t="s">
        <v>2492</v>
      </c>
      <c r="C923" s="8" t="s">
        <v>2493</v>
      </c>
      <c r="D923" s="9" t="s">
        <v>26</v>
      </c>
      <c r="E923" s="10">
        <v>29016</v>
      </c>
      <c r="F923" s="11">
        <f t="shared" ca="1" si="104"/>
        <v>44.534246575342465</v>
      </c>
      <c r="G923" s="11">
        <f t="shared" si="108"/>
        <v>6</v>
      </c>
      <c r="H923" s="11">
        <f t="shared" si="109"/>
        <v>10</v>
      </c>
      <c r="I923" s="10">
        <v>40707</v>
      </c>
      <c r="J923" s="9" t="s">
        <v>110</v>
      </c>
      <c r="K923" s="9" t="s">
        <v>2494</v>
      </c>
      <c r="L923" s="9" t="s">
        <v>263</v>
      </c>
      <c r="M923" s="9" t="s">
        <v>25</v>
      </c>
      <c r="N923" s="11">
        <v>8</v>
      </c>
      <c r="O923" s="12">
        <f t="shared" ca="1" si="110"/>
        <v>12.504109589041096</v>
      </c>
      <c r="P923" s="12">
        <f t="shared" ca="1" si="111"/>
        <v>20.504109589041096</v>
      </c>
      <c r="Q923" s="12" t="s">
        <v>26</v>
      </c>
      <c r="R923" s="9" t="s">
        <v>27</v>
      </c>
      <c r="S923" s="24" t="s">
        <v>28</v>
      </c>
      <c r="T923" s="9" t="s">
        <v>29</v>
      </c>
    </row>
    <row r="924" spans="1:20" ht="35.25" customHeight="1">
      <c r="A924" s="6">
        <f t="shared" si="107"/>
        <v>923</v>
      </c>
      <c r="B924" s="17" t="s">
        <v>2495</v>
      </c>
      <c r="C924" s="8" t="s">
        <v>2496</v>
      </c>
      <c r="D924" s="9" t="s">
        <v>26</v>
      </c>
      <c r="E924" s="10">
        <v>26456</v>
      </c>
      <c r="F924" s="11">
        <f t="shared" ref="F924:F987" ca="1" si="112">(TODAY()-E924)/365</f>
        <v>51.547945205479451</v>
      </c>
      <c r="G924" s="11">
        <f t="shared" si="108"/>
        <v>6</v>
      </c>
      <c r="H924" s="11">
        <f t="shared" si="109"/>
        <v>6</v>
      </c>
      <c r="I924" s="10">
        <v>40702</v>
      </c>
      <c r="J924" s="9" t="s">
        <v>58</v>
      </c>
      <c r="K924" s="10" t="s">
        <v>129</v>
      </c>
      <c r="L924" s="10" t="s">
        <v>393</v>
      </c>
      <c r="M924" s="9" t="s">
        <v>61</v>
      </c>
      <c r="N924" s="11">
        <v>15</v>
      </c>
      <c r="O924" s="12">
        <f t="shared" ca="1" si="110"/>
        <v>12.517808219178082</v>
      </c>
      <c r="P924" s="12">
        <f t="shared" ca="1" si="111"/>
        <v>27.517808219178082</v>
      </c>
      <c r="Q924" s="12" t="s">
        <v>26</v>
      </c>
      <c r="R924" s="9" t="s">
        <v>27</v>
      </c>
      <c r="S924" s="24" t="s">
        <v>28</v>
      </c>
      <c r="T924" s="9" t="s">
        <v>72</v>
      </c>
    </row>
    <row r="925" spans="1:20" ht="33.75" customHeight="1">
      <c r="A925" s="6">
        <f t="shared" si="107"/>
        <v>924</v>
      </c>
      <c r="B925" s="17" t="s">
        <v>2497</v>
      </c>
      <c r="C925" s="8" t="s">
        <v>2498</v>
      </c>
      <c r="D925" s="9" t="s">
        <v>26</v>
      </c>
      <c r="E925" s="10">
        <v>29640</v>
      </c>
      <c r="F925" s="11">
        <f t="shared" ca="1" si="112"/>
        <v>42.824657534246576</v>
      </c>
      <c r="G925" s="11">
        <f t="shared" si="108"/>
        <v>2</v>
      </c>
      <c r="H925" s="11">
        <f t="shared" si="109"/>
        <v>23</v>
      </c>
      <c r="I925" s="10">
        <v>40707</v>
      </c>
      <c r="J925" s="9" t="s">
        <v>50</v>
      </c>
      <c r="K925" s="9" t="s">
        <v>2499</v>
      </c>
      <c r="L925" s="10" t="s">
        <v>393</v>
      </c>
      <c r="M925" s="9" t="s">
        <v>61</v>
      </c>
      <c r="N925" s="11">
        <v>5.4</v>
      </c>
      <c r="O925" s="12">
        <f t="shared" ca="1" si="110"/>
        <v>12.504109589041096</v>
      </c>
      <c r="P925" s="12">
        <f t="shared" ca="1" si="111"/>
        <v>17.904109589041099</v>
      </c>
      <c r="Q925" s="12" t="s">
        <v>26</v>
      </c>
      <c r="R925" s="9" t="s">
        <v>27</v>
      </c>
      <c r="S925" s="24" t="s">
        <v>28</v>
      </c>
      <c r="T925" s="9" t="s">
        <v>114</v>
      </c>
    </row>
    <row r="926" spans="1:20" ht="35.25" customHeight="1">
      <c r="A926" s="6">
        <f t="shared" si="107"/>
        <v>925</v>
      </c>
      <c r="B926" s="17" t="s">
        <v>2500</v>
      </c>
      <c r="C926" s="8" t="s">
        <v>2501</v>
      </c>
      <c r="D926" s="9" t="s">
        <v>26</v>
      </c>
      <c r="E926" s="10">
        <v>30463</v>
      </c>
      <c r="F926" s="11">
        <f t="shared" ca="1" si="112"/>
        <v>40.56986301369863</v>
      </c>
      <c r="G926" s="11">
        <f t="shared" si="108"/>
        <v>5</v>
      </c>
      <c r="H926" s="11">
        <f t="shared" si="109"/>
        <v>27</v>
      </c>
      <c r="I926" s="10">
        <v>40707</v>
      </c>
      <c r="J926" s="9" t="s">
        <v>22</v>
      </c>
      <c r="K926" s="9" t="s">
        <v>266</v>
      </c>
      <c r="L926" s="9" t="s">
        <v>34</v>
      </c>
      <c r="M926" s="9" t="s">
        <v>156</v>
      </c>
      <c r="N926" s="11">
        <v>7</v>
      </c>
      <c r="O926" s="12">
        <f t="shared" ca="1" si="110"/>
        <v>12.504109589041096</v>
      </c>
      <c r="P926" s="12">
        <f t="shared" ca="1" si="111"/>
        <v>19.504109589041096</v>
      </c>
      <c r="Q926" s="12" t="s">
        <v>68</v>
      </c>
      <c r="R926" s="9" t="s">
        <v>27</v>
      </c>
      <c r="S926" s="24" t="s">
        <v>28</v>
      </c>
      <c r="T926" s="9" t="s">
        <v>279</v>
      </c>
    </row>
    <row r="927" spans="1:20" ht="35.25" customHeight="1">
      <c r="A927" s="6">
        <f t="shared" si="107"/>
        <v>926</v>
      </c>
      <c r="B927" s="17" t="s">
        <v>2502</v>
      </c>
      <c r="C927" s="8" t="s">
        <v>2503</v>
      </c>
      <c r="D927" s="9" t="s">
        <v>21</v>
      </c>
      <c r="E927" s="10">
        <v>30501</v>
      </c>
      <c r="F927" s="11">
        <f t="shared" ca="1" si="112"/>
        <v>40.465753424657535</v>
      </c>
      <c r="G927" s="11">
        <f t="shared" si="108"/>
        <v>7</v>
      </c>
      <c r="H927" s="11">
        <f t="shared" si="109"/>
        <v>4</v>
      </c>
      <c r="I927" s="10">
        <v>40704</v>
      </c>
      <c r="J927" s="9" t="s">
        <v>110</v>
      </c>
      <c r="K927" s="9" t="s">
        <v>2208</v>
      </c>
      <c r="L927" s="9" t="s">
        <v>1480</v>
      </c>
      <c r="M927" s="9" t="s">
        <v>165</v>
      </c>
      <c r="N927" s="11">
        <v>5</v>
      </c>
      <c r="O927" s="12">
        <f t="shared" ca="1" si="110"/>
        <v>12.512328767123288</v>
      </c>
      <c r="P927" s="12">
        <f t="shared" ca="1" si="111"/>
        <v>17.512328767123286</v>
      </c>
      <c r="Q927" s="12" t="s">
        <v>68</v>
      </c>
      <c r="R927" s="9" t="s">
        <v>27</v>
      </c>
      <c r="S927" s="24" t="s">
        <v>28</v>
      </c>
      <c r="T927" s="9" t="s">
        <v>29</v>
      </c>
    </row>
    <row r="928" spans="1:20" ht="35.25" customHeight="1">
      <c r="A928" s="6">
        <f t="shared" si="107"/>
        <v>927</v>
      </c>
      <c r="B928" s="17" t="s">
        <v>2504</v>
      </c>
      <c r="C928" s="8" t="s">
        <v>2505</v>
      </c>
      <c r="D928" s="9" t="s">
        <v>26</v>
      </c>
      <c r="E928" s="10">
        <v>27263</v>
      </c>
      <c r="F928" s="11">
        <f t="shared" ca="1" si="112"/>
        <v>49.336986301369862</v>
      </c>
      <c r="G928" s="11">
        <f t="shared" si="108"/>
        <v>8</v>
      </c>
      <c r="H928" s="11">
        <f t="shared" si="109"/>
        <v>22</v>
      </c>
      <c r="I928" s="10">
        <v>40710</v>
      </c>
      <c r="J928" s="9" t="s">
        <v>58</v>
      </c>
      <c r="K928" s="9" t="s">
        <v>2506</v>
      </c>
      <c r="L928" s="9" t="s">
        <v>1713</v>
      </c>
      <c r="M928" s="9" t="s">
        <v>35</v>
      </c>
      <c r="N928" s="11">
        <v>14</v>
      </c>
      <c r="O928" s="11">
        <f t="shared" ca="1" si="110"/>
        <v>12.495890410958904</v>
      </c>
      <c r="P928" s="12">
        <f t="shared" ca="1" si="111"/>
        <v>26.495890410958904</v>
      </c>
      <c r="Q928" s="12" t="s">
        <v>26</v>
      </c>
      <c r="R928" s="9" t="s">
        <v>95</v>
      </c>
      <c r="S928" s="24" t="s">
        <v>28</v>
      </c>
      <c r="T928" s="9" t="s">
        <v>29</v>
      </c>
    </row>
    <row r="929" spans="1:20" ht="35.25" customHeight="1">
      <c r="A929" s="6">
        <f t="shared" si="107"/>
        <v>928</v>
      </c>
      <c r="B929" s="17" t="s">
        <v>2508</v>
      </c>
      <c r="C929" s="8" t="s">
        <v>2509</v>
      </c>
      <c r="D929" s="9" t="s">
        <v>21</v>
      </c>
      <c r="E929" s="10">
        <v>32529</v>
      </c>
      <c r="F929" s="11">
        <f t="shared" ca="1" si="112"/>
        <v>34.909589041095892</v>
      </c>
      <c r="G929" s="11">
        <f t="shared" si="108"/>
        <v>1</v>
      </c>
      <c r="H929" s="11">
        <f t="shared" si="109"/>
        <v>21</v>
      </c>
      <c r="I929" s="10">
        <v>40709</v>
      </c>
      <c r="J929" s="9" t="s">
        <v>87</v>
      </c>
      <c r="K929" s="9" t="s">
        <v>2447</v>
      </c>
      <c r="L929" s="9" t="s">
        <v>393</v>
      </c>
      <c r="M929" s="9" t="s">
        <v>165</v>
      </c>
      <c r="N929" s="11">
        <v>0</v>
      </c>
      <c r="O929" s="11">
        <f t="shared" ca="1" si="110"/>
        <v>12.498630136986302</v>
      </c>
      <c r="P929" s="12">
        <f t="shared" ca="1" si="111"/>
        <v>12.498630136986302</v>
      </c>
      <c r="Q929" s="12" t="s">
        <v>68</v>
      </c>
      <c r="R929" s="9" t="s">
        <v>356</v>
      </c>
      <c r="S929" s="24" t="s">
        <v>28</v>
      </c>
      <c r="T929" s="9" t="s">
        <v>29</v>
      </c>
    </row>
    <row r="930" spans="1:20" ht="35.25" customHeight="1">
      <c r="A930" s="6">
        <f t="shared" si="107"/>
        <v>929</v>
      </c>
      <c r="B930" s="17" t="s">
        <v>2510</v>
      </c>
      <c r="C930" s="8" t="s">
        <v>2511</v>
      </c>
      <c r="D930" s="9" t="s">
        <v>26</v>
      </c>
      <c r="E930" s="10">
        <v>32177</v>
      </c>
      <c r="F930" s="11">
        <f t="shared" ca="1" si="112"/>
        <v>35.873972602739727</v>
      </c>
      <c r="G930" s="11">
        <f t="shared" si="108"/>
        <v>2</v>
      </c>
      <c r="H930" s="11">
        <f t="shared" si="109"/>
        <v>4</v>
      </c>
      <c r="I930" s="10">
        <v>40714</v>
      </c>
      <c r="J930" s="9" t="s">
        <v>87</v>
      </c>
      <c r="K930" s="9" t="s">
        <v>2512</v>
      </c>
      <c r="L930" s="9" t="s">
        <v>213</v>
      </c>
      <c r="M930" s="9" t="s">
        <v>35</v>
      </c>
      <c r="N930" s="11">
        <v>2</v>
      </c>
      <c r="O930" s="11">
        <f t="shared" ca="1" si="110"/>
        <v>12.484931506849316</v>
      </c>
      <c r="P930" s="12">
        <f t="shared" ca="1" si="111"/>
        <v>14.484931506849316</v>
      </c>
      <c r="Q930" s="12" t="s">
        <v>68</v>
      </c>
      <c r="R930" s="9" t="s">
        <v>27</v>
      </c>
      <c r="S930" s="24" t="s">
        <v>28</v>
      </c>
      <c r="T930" s="9" t="s">
        <v>29</v>
      </c>
    </row>
    <row r="931" spans="1:20" ht="35.25" customHeight="1">
      <c r="A931" s="6">
        <f t="shared" si="107"/>
        <v>930</v>
      </c>
      <c r="B931" s="17" t="s">
        <v>2513</v>
      </c>
      <c r="C931" s="8" t="s">
        <v>2514</v>
      </c>
      <c r="D931" s="9" t="s">
        <v>2479</v>
      </c>
      <c r="E931" s="10">
        <v>25500</v>
      </c>
      <c r="F931" s="11">
        <f t="shared" ca="1" si="112"/>
        <v>54.167123287671231</v>
      </c>
      <c r="G931" s="11">
        <f t="shared" si="108"/>
        <v>10</v>
      </c>
      <c r="H931" s="11">
        <f t="shared" si="109"/>
        <v>24</v>
      </c>
      <c r="I931" s="10">
        <v>40715</v>
      </c>
      <c r="J931" s="9" t="s">
        <v>22</v>
      </c>
      <c r="K931" s="9" t="s">
        <v>2515</v>
      </c>
      <c r="L931" s="9" t="s">
        <v>2516</v>
      </c>
      <c r="M931" s="9" t="s">
        <v>134</v>
      </c>
      <c r="N931" s="11">
        <v>19</v>
      </c>
      <c r="O931" s="11">
        <f t="shared" ca="1" si="110"/>
        <v>12.482191780821918</v>
      </c>
      <c r="P931" s="12">
        <f t="shared" ca="1" si="111"/>
        <v>31.482191780821918</v>
      </c>
      <c r="Q931" s="12" t="s">
        <v>68</v>
      </c>
      <c r="R931" s="9" t="s">
        <v>442</v>
      </c>
      <c r="S931" s="24" t="s">
        <v>36</v>
      </c>
      <c r="T931" s="9" t="s">
        <v>137</v>
      </c>
    </row>
    <row r="932" spans="1:20" ht="35.25" customHeight="1">
      <c r="A932" s="6">
        <f t="shared" si="107"/>
        <v>931</v>
      </c>
      <c r="B932" s="17" t="s">
        <v>2517</v>
      </c>
      <c r="C932" s="8" t="s">
        <v>2518</v>
      </c>
      <c r="D932" s="9" t="s">
        <v>26</v>
      </c>
      <c r="E932" s="10">
        <v>30962</v>
      </c>
      <c r="F932" s="11">
        <f t="shared" ca="1" si="112"/>
        <v>39.202739726027396</v>
      </c>
      <c r="G932" s="11">
        <f t="shared" si="108"/>
        <v>10</v>
      </c>
      <c r="H932" s="11">
        <f t="shared" si="109"/>
        <v>7</v>
      </c>
      <c r="I932" s="10">
        <v>40716</v>
      </c>
      <c r="J932" s="9" t="s">
        <v>87</v>
      </c>
      <c r="K932" s="9" t="s">
        <v>1018</v>
      </c>
      <c r="L932" s="9" t="s">
        <v>147</v>
      </c>
      <c r="M932" s="9" t="s">
        <v>134</v>
      </c>
      <c r="N932" s="11">
        <v>4.2</v>
      </c>
      <c r="O932" s="11">
        <f t="shared" ca="1" si="110"/>
        <v>12.479452054794521</v>
      </c>
      <c r="P932" s="12">
        <f t="shared" ca="1" si="111"/>
        <v>16.67945205479452</v>
      </c>
      <c r="Q932" s="12" t="s">
        <v>68</v>
      </c>
      <c r="R932" s="9" t="s">
        <v>27</v>
      </c>
      <c r="S932" s="24" t="s">
        <v>28</v>
      </c>
      <c r="T932" s="9" t="s">
        <v>29</v>
      </c>
    </row>
    <row r="933" spans="1:20" ht="35.25" customHeight="1">
      <c r="A933" s="6">
        <f t="shared" si="107"/>
        <v>932</v>
      </c>
      <c r="B933" s="17" t="s">
        <v>2519</v>
      </c>
      <c r="C933" s="8" t="s">
        <v>2520</v>
      </c>
      <c r="D933" s="9" t="s">
        <v>26</v>
      </c>
      <c r="E933" s="10">
        <v>26760</v>
      </c>
      <c r="F933" s="11">
        <f t="shared" ca="1" si="112"/>
        <v>50.715068493150682</v>
      </c>
      <c r="G933" s="11">
        <f t="shared" si="108"/>
        <v>4</v>
      </c>
      <c r="H933" s="11">
        <f t="shared" si="109"/>
        <v>6</v>
      </c>
      <c r="I933" s="10">
        <v>40714</v>
      </c>
      <c r="J933" s="9" t="s">
        <v>110</v>
      </c>
      <c r="K933" s="9" t="s">
        <v>1212</v>
      </c>
      <c r="L933" s="9" t="s">
        <v>24</v>
      </c>
      <c r="M933" s="9" t="s">
        <v>35</v>
      </c>
      <c r="N933" s="11">
        <v>17</v>
      </c>
      <c r="O933" s="11">
        <f t="shared" ca="1" si="110"/>
        <v>12.484931506849316</v>
      </c>
      <c r="P933" s="12">
        <f t="shared" ca="1" si="111"/>
        <v>29.484931506849314</v>
      </c>
      <c r="Q933" s="12" t="s">
        <v>26</v>
      </c>
      <c r="R933" s="9" t="s">
        <v>27</v>
      </c>
      <c r="S933" s="24" t="s">
        <v>36</v>
      </c>
      <c r="T933" s="9" t="s">
        <v>1644</v>
      </c>
    </row>
    <row r="934" spans="1:20" ht="35.25" customHeight="1">
      <c r="A934" s="6">
        <f t="shared" si="107"/>
        <v>933</v>
      </c>
      <c r="B934" s="17" t="s">
        <v>2521</v>
      </c>
      <c r="C934" s="8" t="s">
        <v>2522</v>
      </c>
      <c r="D934" s="9" t="s">
        <v>26</v>
      </c>
      <c r="E934" s="10">
        <v>30786</v>
      </c>
      <c r="F934" s="11">
        <f t="shared" ca="1" si="112"/>
        <v>39.684931506849317</v>
      </c>
      <c r="G934" s="11">
        <f t="shared" si="108"/>
        <v>4</v>
      </c>
      <c r="H934" s="11">
        <f t="shared" si="109"/>
        <v>14</v>
      </c>
      <c r="I934" s="10">
        <v>40718</v>
      </c>
      <c r="J934" s="9" t="s">
        <v>87</v>
      </c>
      <c r="K934" s="9" t="s">
        <v>2523</v>
      </c>
      <c r="L934" s="9" t="s">
        <v>2524</v>
      </c>
      <c r="M934" s="9" t="s">
        <v>35</v>
      </c>
      <c r="N934" s="11">
        <v>6</v>
      </c>
      <c r="O934" s="11">
        <f t="shared" ca="1" si="110"/>
        <v>12.473972602739726</v>
      </c>
      <c r="P934" s="12">
        <f t="shared" ca="1" si="111"/>
        <v>18.473972602739728</v>
      </c>
      <c r="Q934" s="12" t="s">
        <v>68</v>
      </c>
      <c r="R934" s="9" t="s">
        <v>27</v>
      </c>
      <c r="S934" s="24" t="s">
        <v>36</v>
      </c>
      <c r="T934" s="9" t="s">
        <v>1644</v>
      </c>
    </row>
    <row r="935" spans="1:20" ht="35.25" customHeight="1">
      <c r="A935" s="6">
        <f t="shared" si="107"/>
        <v>934</v>
      </c>
      <c r="B935" s="17" t="s">
        <v>2525</v>
      </c>
      <c r="C935" s="8" t="s">
        <v>2526</v>
      </c>
      <c r="D935" s="9" t="s">
        <v>26</v>
      </c>
      <c r="E935" s="10">
        <v>29992</v>
      </c>
      <c r="F935" s="11">
        <f t="shared" ca="1" si="112"/>
        <v>41.860273972602741</v>
      </c>
      <c r="G935" s="11">
        <f t="shared" si="108"/>
        <v>2</v>
      </c>
      <c r="H935" s="11">
        <f t="shared" si="109"/>
        <v>10</v>
      </c>
      <c r="I935" s="10">
        <v>40710</v>
      </c>
      <c r="J935" s="9" t="s">
        <v>87</v>
      </c>
      <c r="K935" s="9" t="s">
        <v>2527</v>
      </c>
      <c r="L935" s="9" t="s">
        <v>34</v>
      </c>
      <c r="M935" s="9" t="s">
        <v>491</v>
      </c>
      <c r="N935" s="19">
        <v>5</v>
      </c>
      <c r="O935" s="11">
        <f t="shared" ca="1" si="110"/>
        <v>12.495890410958904</v>
      </c>
      <c r="P935" s="12">
        <f t="shared" ca="1" si="111"/>
        <v>17.495890410958904</v>
      </c>
      <c r="Q935" s="12" t="s">
        <v>68</v>
      </c>
      <c r="R935" s="9" t="s">
        <v>792</v>
      </c>
      <c r="S935" s="24" t="s">
        <v>36</v>
      </c>
      <c r="T935" s="9" t="s">
        <v>492</v>
      </c>
    </row>
    <row r="936" spans="1:20" ht="35.25" customHeight="1">
      <c r="A936" s="6">
        <f t="shared" si="107"/>
        <v>935</v>
      </c>
      <c r="B936" s="17" t="s">
        <v>2528</v>
      </c>
      <c r="C936" s="8" t="s">
        <v>2529</v>
      </c>
      <c r="D936" s="9" t="s">
        <v>26</v>
      </c>
      <c r="E936" s="10">
        <v>32191</v>
      </c>
      <c r="F936" s="11">
        <f t="shared" ca="1" si="112"/>
        <v>35.835616438356162</v>
      </c>
      <c r="G936" s="11">
        <f t="shared" si="108"/>
        <v>2</v>
      </c>
      <c r="H936" s="11">
        <f t="shared" si="109"/>
        <v>18</v>
      </c>
      <c r="I936" s="10">
        <v>40695</v>
      </c>
      <c r="J936" s="9" t="s">
        <v>41</v>
      </c>
      <c r="K936" s="9" t="s">
        <v>307</v>
      </c>
      <c r="L936" s="9" t="s">
        <v>24</v>
      </c>
      <c r="M936" s="9" t="s">
        <v>491</v>
      </c>
      <c r="N936" s="19">
        <v>3</v>
      </c>
      <c r="O936" s="11">
        <f t="shared" ca="1" si="110"/>
        <v>12.536986301369863</v>
      </c>
      <c r="P936" s="12">
        <f t="shared" ca="1" si="111"/>
        <v>15.536986301369863</v>
      </c>
      <c r="Q936" s="12" t="s">
        <v>68</v>
      </c>
      <c r="R936" s="9" t="s">
        <v>792</v>
      </c>
      <c r="S936" s="24" t="s">
        <v>28</v>
      </c>
      <c r="T936" s="9" t="s">
        <v>492</v>
      </c>
    </row>
    <row r="937" spans="1:20" ht="35.25" customHeight="1">
      <c r="A937" s="6">
        <f t="shared" si="107"/>
        <v>936</v>
      </c>
      <c r="B937" s="17" t="s">
        <v>2530</v>
      </c>
      <c r="C937" s="8" t="s">
        <v>2531</v>
      </c>
      <c r="D937" s="9" t="s">
        <v>26</v>
      </c>
      <c r="E937" s="10">
        <v>31743</v>
      </c>
      <c r="F937" s="11">
        <f t="shared" ca="1" si="112"/>
        <v>37.063013698630137</v>
      </c>
      <c r="G937" s="11">
        <f t="shared" si="108"/>
        <v>11</v>
      </c>
      <c r="H937" s="11">
        <f t="shared" si="109"/>
        <v>27</v>
      </c>
      <c r="I937" s="10">
        <v>40714</v>
      </c>
      <c r="J937" s="9" t="s">
        <v>87</v>
      </c>
      <c r="K937" s="9" t="s">
        <v>135</v>
      </c>
      <c r="L937" s="9" t="s">
        <v>34</v>
      </c>
      <c r="M937" s="9" t="s">
        <v>491</v>
      </c>
      <c r="N937" s="19">
        <v>4</v>
      </c>
      <c r="O937" s="11">
        <f t="shared" ref="O937:O968" ca="1" si="113">(TODAY()-I937)/365</f>
        <v>12.484931506849316</v>
      </c>
      <c r="P937" s="12">
        <f t="shared" ca="1" si="111"/>
        <v>16.484931506849314</v>
      </c>
      <c r="Q937" s="12" t="s">
        <v>26</v>
      </c>
      <c r="R937" s="9" t="s">
        <v>792</v>
      </c>
      <c r="S937" s="24" t="s">
        <v>28</v>
      </c>
      <c r="T937" s="9" t="s">
        <v>492</v>
      </c>
    </row>
    <row r="938" spans="1:20" ht="35.25" customHeight="1">
      <c r="A938" s="6">
        <f t="shared" si="107"/>
        <v>937</v>
      </c>
      <c r="B938" s="17" t="s">
        <v>2532</v>
      </c>
      <c r="C938" s="8" t="s">
        <v>2533</v>
      </c>
      <c r="D938" s="9" t="s">
        <v>26</v>
      </c>
      <c r="E938" s="10">
        <v>30510</v>
      </c>
      <c r="F938" s="11">
        <f t="shared" ca="1" si="112"/>
        <v>40.441095890410956</v>
      </c>
      <c r="G938" s="11">
        <f t="shared" si="108"/>
        <v>7</v>
      </c>
      <c r="H938" s="11">
        <f t="shared" si="109"/>
        <v>13</v>
      </c>
      <c r="I938" s="10">
        <v>40717</v>
      </c>
      <c r="J938" s="9" t="s">
        <v>110</v>
      </c>
      <c r="K938" s="9" t="s">
        <v>1212</v>
      </c>
      <c r="L938" s="9" t="s">
        <v>24</v>
      </c>
      <c r="M938" s="9" t="s">
        <v>156</v>
      </c>
      <c r="N938" s="11">
        <v>3</v>
      </c>
      <c r="O938" s="11">
        <f t="shared" ca="1" si="113"/>
        <v>12.476712328767123</v>
      </c>
      <c r="P938" s="12">
        <f t="shared" ca="1" si="111"/>
        <v>15.476712328767123</v>
      </c>
      <c r="Q938" s="12" t="s">
        <v>26</v>
      </c>
      <c r="R938" s="9" t="s">
        <v>27</v>
      </c>
      <c r="S938" s="24" t="s">
        <v>28</v>
      </c>
      <c r="T938" s="9" t="s">
        <v>29</v>
      </c>
    </row>
    <row r="939" spans="1:20" ht="35.25" customHeight="1">
      <c r="A939" s="6">
        <f t="shared" si="107"/>
        <v>938</v>
      </c>
      <c r="B939" s="17" t="s">
        <v>2534</v>
      </c>
      <c r="C939" s="8" t="s">
        <v>2535</v>
      </c>
      <c r="D939" s="9" t="s">
        <v>26</v>
      </c>
      <c r="E939" s="10">
        <v>30671</v>
      </c>
      <c r="F939" s="11">
        <f t="shared" ca="1" si="112"/>
        <v>40</v>
      </c>
      <c r="G939" s="11">
        <f t="shared" si="108"/>
        <v>12</v>
      </c>
      <c r="H939" s="11">
        <f t="shared" si="109"/>
        <v>21</v>
      </c>
      <c r="I939" s="10">
        <v>40714</v>
      </c>
      <c r="J939" s="9" t="s">
        <v>50</v>
      </c>
      <c r="K939" s="9" t="s">
        <v>2536</v>
      </c>
      <c r="L939" s="9" t="s">
        <v>231</v>
      </c>
      <c r="M939" s="9" t="s">
        <v>156</v>
      </c>
      <c r="N939" s="11">
        <v>0</v>
      </c>
      <c r="O939" s="11">
        <f t="shared" ca="1" si="113"/>
        <v>12.484931506849316</v>
      </c>
      <c r="P939" s="12">
        <f t="shared" ca="1" si="111"/>
        <v>12.484931506849316</v>
      </c>
      <c r="Q939" s="12" t="s">
        <v>26</v>
      </c>
      <c r="R939" s="9" t="s">
        <v>27</v>
      </c>
      <c r="S939" s="24" t="s">
        <v>36</v>
      </c>
      <c r="T939" s="9" t="s">
        <v>2537</v>
      </c>
    </row>
    <row r="940" spans="1:20" ht="35.25" customHeight="1">
      <c r="A940" s="6">
        <f t="shared" si="107"/>
        <v>939</v>
      </c>
      <c r="B940" s="17" t="s">
        <v>2538</v>
      </c>
      <c r="C940" s="8" t="s">
        <v>2539</v>
      </c>
      <c r="D940" s="9" t="s">
        <v>26</v>
      </c>
      <c r="E940" s="10">
        <v>31761</v>
      </c>
      <c r="F940" s="11">
        <f t="shared" ca="1" si="112"/>
        <v>37.013698630136986</v>
      </c>
      <c r="G940" s="11">
        <f t="shared" si="108"/>
        <v>12</v>
      </c>
      <c r="H940" s="11">
        <f t="shared" si="109"/>
        <v>15</v>
      </c>
      <c r="I940" s="10">
        <v>40721</v>
      </c>
      <c r="J940" s="9" t="s">
        <v>87</v>
      </c>
      <c r="K940" s="9" t="s">
        <v>2540</v>
      </c>
      <c r="L940" s="9" t="s">
        <v>704</v>
      </c>
      <c r="M940" s="9" t="s">
        <v>356</v>
      </c>
      <c r="N940" s="11">
        <v>0.3</v>
      </c>
      <c r="O940" s="11">
        <f t="shared" ca="1" si="113"/>
        <v>12.465753424657533</v>
      </c>
      <c r="P940" s="12">
        <f t="shared" ca="1" si="111"/>
        <v>12.765753424657534</v>
      </c>
      <c r="Q940" s="12" t="s">
        <v>68</v>
      </c>
      <c r="R940" s="9" t="s">
        <v>347</v>
      </c>
      <c r="S940" s="24" t="s">
        <v>28</v>
      </c>
      <c r="T940" s="9" t="s">
        <v>29</v>
      </c>
    </row>
    <row r="941" spans="1:20" ht="35.25" customHeight="1">
      <c r="A941" s="6">
        <f t="shared" si="107"/>
        <v>940</v>
      </c>
      <c r="B941" s="17" t="s">
        <v>2541</v>
      </c>
      <c r="C941" s="8" t="s">
        <v>2542</v>
      </c>
      <c r="D941" s="9" t="s">
        <v>26</v>
      </c>
      <c r="E941" s="10">
        <v>25291</v>
      </c>
      <c r="F941" s="11">
        <f t="shared" ca="1" si="112"/>
        <v>54.739726027397261</v>
      </c>
      <c r="G941" s="11">
        <f t="shared" si="108"/>
        <v>3</v>
      </c>
      <c r="H941" s="11">
        <f t="shared" si="109"/>
        <v>29</v>
      </c>
      <c r="I941" s="10">
        <v>40723</v>
      </c>
      <c r="J941" s="9" t="s">
        <v>93</v>
      </c>
      <c r="K941" s="9" t="s">
        <v>2543</v>
      </c>
      <c r="L941" s="9" t="s">
        <v>1043</v>
      </c>
      <c r="M941" s="9" t="s">
        <v>25</v>
      </c>
      <c r="N941" s="11">
        <v>19</v>
      </c>
      <c r="O941" s="11">
        <f t="shared" ca="1" si="113"/>
        <v>12.46027397260274</v>
      </c>
      <c r="P941" s="12">
        <f t="shared" ca="1" si="111"/>
        <v>31.460273972602742</v>
      </c>
      <c r="Q941" s="12" t="s">
        <v>26</v>
      </c>
      <c r="R941" s="9" t="s">
        <v>27</v>
      </c>
      <c r="S941" s="24" t="s">
        <v>28</v>
      </c>
      <c r="T941" s="9" t="s">
        <v>29</v>
      </c>
    </row>
    <row r="942" spans="1:20" ht="35.25" customHeight="1">
      <c r="A942" s="6">
        <f t="shared" si="107"/>
        <v>941</v>
      </c>
      <c r="B942" s="17" t="s">
        <v>2544</v>
      </c>
      <c r="C942" s="8" t="s">
        <v>2545</v>
      </c>
      <c r="D942" s="9" t="s">
        <v>26</v>
      </c>
      <c r="E942" s="10">
        <v>31731</v>
      </c>
      <c r="F942" s="11">
        <f t="shared" ca="1" si="112"/>
        <v>37.095890410958901</v>
      </c>
      <c r="G942" s="11">
        <f t="shared" si="108"/>
        <v>11</v>
      </c>
      <c r="H942" s="11">
        <f t="shared" si="109"/>
        <v>15</v>
      </c>
      <c r="I942" s="10">
        <v>40721</v>
      </c>
      <c r="J942" s="9" t="s">
        <v>45</v>
      </c>
      <c r="K942" s="9" t="s">
        <v>335</v>
      </c>
      <c r="L942" s="9" t="s">
        <v>213</v>
      </c>
      <c r="M942" s="9" t="s">
        <v>35</v>
      </c>
      <c r="N942" s="11">
        <v>3</v>
      </c>
      <c r="O942" s="11">
        <f t="shared" ca="1" si="113"/>
        <v>12.465753424657533</v>
      </c>
      <c r="P942" s="12">
        <f t="shared" ca="1" si="111"/>
        <v>15.465753424657533</v>
      </c>
      <c r="Q942" s="12" t="s">
        <v>68</v>
      </c>
      <c r="R942" s="9" t="s">
        <v>27</v>
      </c>
      <c r="S942" s="24" t="s">
        <v>36</v>
      </c>
      <c r="T942" s="9" t="s">
        <v>72</v>
      </c>
    </row>
    <row r="943" spans="1:20" ht="35.25" customHeight="1">
      <c r="A943" s="6">
        <f t="shared" si="107"/>
        <v>942</v>
      </c>
      <c r="B943" s="17" t="s">
        <v>2546</v>
      </c>
      <c r="C943" s="8" t="s">
        <v>2547</v>
      </c>
      <c r="D943" s="9" t="s">
        <v>26</v>
      </c>
      <c r="E943" s="10">
        <v>29374</v>
      </c>
      <c r="F943" s="11">
        <f t="shared" ca="1" si="112"/>
        <v>43.553424657534244</v>
      </c>
      <c r="G943" s="11">
        <f t="shared" si="108"/>
        <v>6</v>
      </c>
      <c r="H943" s="11">
        <f t="shared" si="109"/>
        <v>2</v>
      </c>
      <c r="I943" s="10">
        <v>40721</v>
      </c>
      <c r="J943" s="9" t="s">
        <v>87</v>
      </c>
      <c r="K943" s="9" t="s">
        <v>1989</v>
      </c>
      <c r="L943" s="9" t="s">
        <v>24</v>
      </c>
      <c r="M943" s="9" t="s">
        <v>35</v>
      </c>
      <c r="N943" s="11">
        <v>7.3</v>
      </c>
      <c r="O943" s="11">
        <f t="shared" ca="1" si="113"/>
        <v>12.465753424657533</v>
      </c>
      <c r="P943" s="12">
        <f t="shared" ca="1" si="111"/>
        <v>19.765753424657532</v>
      </c>
      <c r="Q943" s="12" t="s">
        <v>26</v>
      </c>
      <c r="R943" s="9" t="s">
        <v>27</v>
      </c>
      <c r="S943" s="24" t="s">
        <v>36</v>
      </c>
      <c r="T943" s="9" t="s">
        <v>1644</v>
      </c>
    </row>
    <row r="944" spans="1:20" ht="35.25" customHeight="1">
      <c r="A944" s="6">
        <f t="shared" si="107"/>
        <v>943</v>
      </c>
      <c r="B944" s="54" t="s">
        <v>2548</v>
      </c>
      <c r="C944" s="54" t="s">
        <v>2549</v>
      </c>
      <c r="D944" s="55" t="s">
        <v>26</v>
      </c>
      <c r="E944" s="56">
        <v>32289</v>
      </c>
      <c r="F944" s="57">
        <f t="shared" ca="1" si="112"/>
        <v>35.56712328767123</v>
      </c>
      <c r="G944" s="57">
        <f t="shared" si="108"/>
        <v>5</v>
      </c>
      <c r="H944" s="57">
        <f t="shared" si="109"/>
        <v>26</v>
      </c>
      <c r="I944" s="56">
        <v>40723</v>
      </c>
      <c r="J944" s="55" t="s">
        <v>226</v>
      </c>
      <c r="K944" s="55" t="s">
        <v>2386</v>
      </c>
      <c r="L944" s="55" t="s">
        <v>213</v>
      </c>
      <c r="M944" s="55" t="s">
        <v>35</v>
      </c>
      <c r="N944" s="57">
        <v>2.2000000000000002</v>
      </c>
      <c r="O944" s="57">
        <f t="shared" ca="1" si="113"/>
        <v>12.46027397260274</v>
      </c>
      <c r="P944" s="58">
        <f t="shared" ca="1" si="111"/>
        <v>14.660273972602742</v>
      </c>
      <c r="Q944" s="58" t="s">
        <v>68</v>
      </c>
      <c r="R944" s="55" t="s">
        <v>27</v>
      </c>
      <c r="S944" s="59" t="s">
        <v>36</v>
      </c>
      <c r="T944" s="55" t="s">
        <v>1644</v>
      </c>
    </row>
    <row r="945" spans="1:20" ht="35.25" customHeight="1">
      <c r="A945" s="6">
        <f t="shared" si="107"/>
        <v>944</v>
      </c>
      <c r="B945" s="17" t="s">
        <v>2550</v>
      </c>
      <c r="C945" s="8" t="s">
        <v>2551</v>
      </c>
      <c r="D945" s="9" t="s">
        <v>26</v>
      </c>
      <c r="E945" s="10">
        <v>31553</v>
      </c>
      <c r="F945" s="11">
        <f t="shared" ca="1" si="112"/>
        <v>37.583561643835615</v>
      </c>
      <c r="G945" s="11">
        <f t="shared" si="108"/>
        <v>5</v>
      </c>
      <c r="H945" s="11">
        <f t="shared" si="109"/>
        <v>21</v>
      </c>
      <c r="I945" s="10">
        <v>40723</v>
      </c>
      <c r="J945" s="9" t="s">
        <v>87</v>
      </c>
      <c r="K945" s="9" t="s">
        <v>2430</v>
      </c>
      <c r="L945" s="9" t="s">
        <v>213</v>
      </c>
      <c r="M945" s="9" t="s">
        <v>35</v>
      </c>
      <c r="N945" s="11">
        <v>6</v>
      </c>
      <c r="O945" s="11">
        <f t="shared" ca="1" si="113"/>
        <v>12.46027397260274</v>
      </c>
      <c r="P945" s="12">
        <f t="shared" ca="1" si="111"/>
        <v>18.460273972602742</v>
      </c>
      <c r="Q945" s="12" t="s">
        <v>68</v>
      </c>
      <c r="R945" s="9" t="s">
        <v>27</v>
      </c>
      <c r="S945" s="24" t="s">
        <v>36</v>
      </c>
      <c r="T945" s="9" t="s">
        <v>279</v>
      </c>
    </row>
    <row r="946" spans="1:20" ht="35.25" customHeight="1">
      <c r="A946" s="6">
        <f t="shared" si="107"/>
        <v>945</v>
      </c>
      <c r="B946" s="17" t="s">
        <v>2552</v>
      </c>
      <c r="C946" s="8" t="s">
        <v>2553</v>
      </c>
      <c r="D946" s="9" t="s">
        <v>26</v>
      </c>
      <c r="E946" s="10">
        <v>28964</v>
      </c>
      <c r="F946" s="11">
        <f t="shared" ca="1" si="112"/>
        <v>44.676712328767124</v>
      </c>
      <c r="G946" s="11">
        <f t="shared" si="108"/>
        <v>4</v>
      </c>
      <c r="H946" s="11">
        <f t="shared" si="109"/>
        <v>19</v>
      </c>
      <c r="I946" s="10">
        <v>40725</v>
      </c>
      <c r="J946" s="9" t="s">
        <v>110</v>
      </c>
      <c r="K946" s="9" t="s">
        <v>1812</v>
      </c>
      <c r="L946" s="9" t="s">
        <v>34</v>
      </c>
      <c r="M946" s="9" t="s">
        <v>35</v>
      </c>
      <c r="N946" s="11">
        <v>11.6</v>
      </c>
      <c r="O946" s="11">
        <f t="shared" ca="1" si="113"/>
        <v>12.454794520547946</v>
      </c>
      <c r="P946" s="12">
        <f t="shared" ca="1" si="111"/>
        <v>24.054794520547944</v>
      </c>
      <c r="Q946" s="12" t="s">
        <v>26</v>
      </c>
      <c r="R946" s="9" t="s">
        <v>27</v>
      </c>
      <c r="S946" s="24" t="s">
        <v>36</v>
      </c>
      <c r="T946" s="9" t="s">
        <v>1644</v>
      </c>
    </row>
    <row r="947" spans="1:20" ht="35.25" customHeight="1">
      <c r="A947" s="6">
        <f t="shared" si="107"/>
        <v>946</v>
      </c>
      <c r="B947" s="17" t="s">
        <v>2554</v>
      </c>
      <c r="C947" s="17" t="s">
        <v>2555</v>
      </c>
      <c r="D947" s="9" t="s">
        <v>21</v>
      </c>
      <c r="E947" s="10">
        <v>29007</v>
      </c>
      <c r="F947" s="11">
        <f t="shared" ca="1" si="112"/>
        <v>44.558904109589044</v>
      </c>
      <c r="G947" s="11">
        <f t="shared" si="108"/>
        <v>6</v>
      </c>
      <c r="H947" s="11">
        <f t="shared" si="109"/>
        <v>1</v>
      </c>
      <c r="I947" s="10">
        <v>40725</v>
      </c>
      <c r="J947" s="9" t="s">
        <v>45</v>
      </c>
      <c r="K947" s="9" t="s">
        <v>1379</v>
      </c>
      <c r="L947" s="9" t="s">
        <v>204</v>
      </c>
      <c r="M947" s="9" t="s">
        <v>25</v>
      </c>
      <c r="N947" s="11">
        <v>1.2</v>
      </c>
      <c r="O947" s="11">
        <f t="shared" ca="1" si="113"/>
        <v>12.454794520547946</v>
      </c>
      <c r="P947" s="12">
        <f t="shared" ca="1" si="111"/>
        <v>13.654794520547945</v>
      </c>
      <c r="Q947" s="12" t="s">
        <v>26</v>
      </c>
      <c r="R947" s="9" t="s">
        <v>27</v>
      </c>
      <c r="S947" s="24" t="s">
        <v>28</v>
      </c>
      <c r="T947" s="9" t="s">
        <v>29</v>
      </c>
    </row>
    <row r="948" spans="1:20" ht="35.25" customHeight="1">
      <c r="A948" s="6">
        <f t="shared" si="107"/>
        <v>947</v>
      </c>
      <c r="B948" s="17" t="s">
        <v>2556</v>
      </c>
      <c r="C948" s="17" t="s">
        <v>2557</v>
      </c>
      <c r="D948" s="9" t="s">
        <v>26</v>
      </c>
      <c r="E948" s="10">
        <v>30410</v>
      </c>
      <c r="F948" s="11">
        <f t="shared" ca="1" si="112"/>
        <v>40.715068493150682</v>
      </c>
      <c r="G948" s="11">
        <f t="shared" si="108"/>
        <v>4</v>
      </c>
      <c r="H948" s="11">
        <f t="shared" si="109"/>
        <v>4</v>
      </c>
      <c r="I948" s="10">
        <v>40725</v>
      </c>
      <c r="J948" s="9" t="s">
        <v>22</v>
      </c>
      <c r="K948" s="9" t="s">
        <v>2558</v>
      </c>
      <c r="L948" s="9" t="s">
        <v>80</v>
      </c>
      <c r="M948" s="9" t="s">
        <v>25</v>
      </c>
      <c r="N948" s="11">
        <v>5.3</v>
      </c>
      <c r="O948" s="11">
        <f t="shared" ca="1" si="113"/>
        <v>12.454794520547946</v>
      </c>
      <c r="P948" s="12">
        <f t="shared" ca="1" si="111"/>
        <v>17.754794520547946</v>
      </c>
      <c r="Q948" s="12" t="s">
        <v>68</v>
      </c>
      <c r="R948" s="9" t="s">
        <v>27</v>
      </c>
      <c r="S948" s="24" t="s">
        <v>28</v>
      </c>
      <c r="T948" s="9" t="s">
        <v>29</v>
      </c>
    </row>
    <row r="949" spans="1:20" ht="35.25" customHeight="1">
      <c r="A949" s="6">
        <f t="shared" si="107"/>
        <v>948</v>
      </c>
      <c r="B949" s="17" t="s">
        <v>2559</v>
      </c>
      <c r="C949" s="17" t="s">
        <v>2560</v>
      </c>
      <c r="D949" s="9" t="s">
        <v>26</v>
      </c>
      <c r="E949" s="10">
        <v>29962</v>
      </c>
      <c r="F949" s="11">
        <f t="shared" ca="1" si="112"/>
        <v>41.942465753424656</v>
      </c>
      <c r="G949" s="11">
        <f t="shared" si="108"/>
        <v>1</v>
      </c>
      <c r="H949" s="11">
        <f t="shared" si="109"/>
        <v>11</v>
      </c>
      <c r="I949" s="10">
        <v>40725</v>
      </c>
      <c r="J949" s="9" t="s">
        <v>87</v>
      </c>
      <c r="K949" s="9" t="s">
        <v>2561</v>
      </c>
      <c r="L949" s="9" t="s">
        <v>180</v>
      </c>
      <c r="M949" s="9" t="s">
        <v>25</v>
      </c>
      <c r="N949" s="11">
        <v>3.7</v>
      </c>
      <c r="O949" s="11">
        <f t="shared" ca="1" si="113"/>
        <v>12.454794520547946</v>
      </c>
      <c r="P949" s="12">
        <f t="shared" ca="1" si="111"/>
        <v>16.154794520547945</v>
      </c>
      <c r="Q949" s="12" t="s">
        <v>26</v>
      </c>
      <c r="R949" s="9" t="s">
        <v>27</v>
      </c>
      <c r="S949" s="24" t="s">
        <v>28</v>
      </c>
      <c r="T949" s="9" t="s">
        <v>29</v>
      </c>
    </row>
    <row r="950" spans="1:20" ht="35.25" customHeight="1">
      <c r="A950" s="6">
        <f t="shared" si="107"/>
        <v>949</v>
      </c>
      <c r="B950" s="17" t="s">
        <v>2562</v>
      </c>
      <c r="C950" s="8" t="s">
        <v>2563</v>
      </c>
      <c r="D950" s="9" t="s">
        <v>26</v>
      </c>
      <c r="E950" s="10">
        <v>24644</v>
      </c>
      <c r="F950" s="11">
        <f t="shared" ca="1" si="112"/>
        <v>56.512328767123286</v>
      </c>
      <c r="G950" s="11">
        <f t="shared" si="108"/>
        <v>6</v>
      </c>
      <c r="H950" s="11">
        <f t="shared" si="109"/>
        <v>21</v>
      </c>
      <c r="I950" s="10">
        <v>40725</v>
      </c>
      <c r="J950" s="9" t="s">
        <v>32</v>
      </c>
      <c r="K950" s="9" t="s">
        <v>2564</v>
      </c>
      <c r="L950" s="9" t="s">
        <v>55</v>
      </c>
      <c r="M950" s="9" t="s">
        <v>35</v>
      </c>
      <c r="N950" s="11">
        <v>12.2</v>
      </c>
      <c r="O950" s="11">
        <f t="shared" ca="1" si="113"/>
        <v>12.454794520547946</v>
      </c>
      <c r="P950" s="12">
        <f t="shared" ca="1" si="111"/>
        <v>24.654794520547945</v>
      </c>
      <c r="Q950" s="12" t="s">
        <v>26</v>
      </c>
      <c r="R950" s="9" t="s">
        <v>27</v>
      </c>
      <c r="S950" s="24" t="s">
        <v>28</v>
      </c>
      <c r="T950" s="9" t="s">
        <v>29</v>
      </c>
    </row>
    <row r="951" spans="1:20" ht="35.25" customHeight="1">
      <c r="A951" s="6">
        <f t="shared" si="107"/>
        <v>950</v>
      </c>
      <c r="B951" s="17" t="s">
        <v>2565</v>
      </c>
      <c r="C951" s="8" t="s">
        <v>2566</v>
      </c>
      <c r="D951" s="9" t="s">
        <v>26</v>
      </c>
      <c r="E951" s="10">
        <v>31882</v>
      </c>
      <c r="F951" s="11">
        <f t="shared" ca="1" si="112"/>
        <v>36.682191780821917</v>
      </c>
      <c r="G951" s="11">
        <f t="shared" si="108"/>
        <v>4</v>
      </c>
      <c r="H951" s="11">
        <f t="shared" si="109"/>
        <v>15</v>
      </c>
      <c r="I951" s="10">
        <v>40725</v>
      </c>
      <c r="J951" s="9" t="s">
        <v>226</v>
      </c>
      <c r="K951" s="9" t="s">
        <v>2567</v>
      </c>
      <c r="L951" s="9" t="s">
        <v>213</v>
      </c>
      <c r="M951" s="9" t="s">
        <v>35</v>
      </c>
      <c r="N951" s="11">
        <v>2.7</v>
      </c>
      <c r="O951" s="11">
        <f t="shared" ca="1" si="113"/>
        <v>12.454794520547946</v>
      </c>
      <c r="P951" s="12">
        <f t="shared" ca="1" si="111"/>
        <v>15.154794520547945</v>
      </c>
      <c r="Q951" s="12" t="s">
        <v>68</v>
      </c>
      <c r="R951" s="9" t="s">
        <v>27</v>
      </c>
      <c r="S951" s="24" t="s">
        <v>28</v>
      </c>
      <c r="T951" s="9" t="s">
        <v>29</v>
      </c>
    </row>
    <row r="952" spans="1:20" ht="35.25" customHeight="1">
      <c r="A952" s="6">
        <f t="shared" si="107"/>
        <v>951</v>
      </c>
      <c r="B952" s="17" t="s">
        <v>2568</v>
      </c>
      <c r="C952" s="8" t="s">
        <v>2569</v>
      </c>
      <c r="D952" s="9" t="s">
        <v>26</v>
      </c>
      <c r="E952" s="10">
        <v>27907</v>
      </c>
      <c r="F952" s="11">
        <f t="shared" ca="1" si="112"/>
        <v>47.57260273972603</v>
      </c>
      <c r="G952" s="11">
        <f t="shared" si="108"/>
        <v>5</v>
      </c>
      <c r="H952" s="11">
        <f t="shared" si="109"/>
        <v>27</v>
      </c>
      <c r="I952" s="10">
        <v>40728</v>
      </c>
      <c r="J952" s="9" t="s">
        <v>132</v>
      </c>
      <c r="K952" s="9" t="s">
        <v>2570</v>
      </c>
      <c r="L952" s="9" t="s">
        <v>204</v>
      </c>
      <c r="M952" s="9" t="s">
        <v>25</v>
      </c>
      <c r="N952" s="11">
        <v>14</v>
      </c>
      <c r="O952" s="11">
        <f t="shared" ca="1" si="113"/>
        <v>12.446575342465753</v>
      </c>
      <c r="P952" s="12">
        <f t="shared" ca="1" si="111"/>
        <v>26.446575342465753</v>
      </c>
      <c r="Q952" s="12" t="s">
        <v>68</v>
      </c>
      <c r="R952" s="9" t="s">
        <v>27</v>
      </c>
      <c r="S952" s="24" t="s">
        <v>28</v>
      </c>
      <c r="T952" s="9" t="s">
        <v>29</v>
      </c>
    </row>
    <row r="953" spans="1:20" ht="35.25" customHeight="1">
      <c r="A953" s="6">
        <f t="shared" si="107"/>
        <v>952</v>
      </c>
      <c r="B953" s="17" t="s">
        <v>2571</v>
      </c>
      <c r="C953" s="8" t="s">
        <v>2572</v>
      </c>
      <c r="D953" s="9" t="s">
        <v>26</v>
      </c>
      <c r="E953" s="10">
        <v>31948</v>
      </c>
      <c r="F953" s="11">
        <f t="shared" ca="1" si="112"/>
        <v>36.5013698630137</v>
      </c>
      <c r="G953" s="11">
        <f t="shared" si="108"/>
        <v>6</v>
      </c>
      <c r="H953" s="11">
        <f t="shared" si="109"/>
        <v>20</v>
      </c>
      <c r="I953" s="10">
        <v>40725</v>
      </c>
      <c r="J953" s="9" t="s">
        <v>45</v>
      </c>
      <c r="K953" s="9" t="s">
        <v>477</v>
      </c>
      <c r="L953" s="9" t="s">
        <v>34</v>
      </c>
      <c r="M953" s="9" t="s">
        <v>35</v>
      </c>
      <c r="N953" s="11">
        <v>6</v>
      </c>
      <c r="O953" s="11">
        <f t="shared" ca="1" si="113"/>
        <v>12.454794520547946</v>
      </c>
      <c r="P953" s="12">
        <f t="shared" ca="1" si="111"/>
        <v>18.454794520547946</v>
      </c>
      <c r="Q953" s="12" t="s">
        <v>68</v>
      </c>
      <c r="R953" s="9" t="s">
        <v>27</v>
      </c>
      <c r="S953" s="24" t="s">
        <v>36</v>
      </c>
      <c r="T953" s="9" t="s">
        <v>1644</v>
      </c>
    </row>
    <row r="954" spans="1:20" ht="35.25" customHeight="1">
      <c r="A954" s="6">
        <f t="shared" si="107"/>
        <v>953</v>
      </c>
      <c r="B954" s="17" t="s">
        <v>2573</v>
      </c>
      <c r="C954" s="8" t="s">
        <v>2574</v>
      </c>
      <c r="D954" s="9" t="s">
        <v>26</v>
      </c>
      <c r="E954" s="10">
        <v>31830</v>
      </c>
      <c r="F954" s="11">
        <f t="shared" ca="1" si="112"/>
        <v>36.824657534246576</v>
      </c>
      <c r="G954" s="11">
        <f t="shared" si="108"/>
        <v>2</v>
      </c>
      <c r="H954" s="11">
        <f t="shared" si="109"/>
        <v>22</v>
      </c>
      <c r="I954" s="10">
        <v>40725</v>
      </c>
      <c r="J954" s="9" t="s">
        <v>45</v>
      </c>
      <c r="K954" s="9" t="s">
        <v>477</v>
      </c>
      <c r="L954" s="9" t="s">
        <v>34</v>
      </c>
      <c r="M954" s="9" t="s">
        <v>35</v>
      </c>
      <c r="N954" s="11">
        <v>4</v>
      </c>
      <c r="O954" s="11">
        <f t="shared" ca="1" si="113"/>
        <v>12.454794520547946</v>
      </c>
      <c r="P954" s="12">
        <f t="shared" ca="1" si="111"/>
        <v>16.454794520547946</v>
      </c>
      <c r="Q954" s="12" t="s">
        <v>68</v>
      </c>
      <c r="R954" s="9" t="s">
        <v>27</v>
      </c>
      <c r="S954" s="24" t="s">
        <v>36</v>
      </c>
      <c r="T954" s="9" t="s">
        <v>1644</v>
      </c>
    </row>
    <row r="955" spans="1:20" ht="35.25" customHeight="1">
      <c r="A955" s="6">
        <f t="shared" si="107"/>
        <v>954</v>
      </c>
      <c r="B955" s="17" t="s">
        <v>2575</v>
      </c>
      <c r="C955" s="8" t="s">
        <v>2576</v>
      </c>
      <c r="D955" s="9" t="s">
        <v>26</v>
      </c>
      <c r="E955" s="10">
        <v>26261</v>
      </c>
      <c r="F955" s="11">
        <f t="shared" ca="1" si="112"/>
        <v>52.082191780821915</v>
      </c>
      <c r="G955" s="11">
        <f t="shared" si="108"/>
        <v>11</v>
      </c>
      <c r="H955" s="11">
        <f t="shared" si="109"/>
        <v>24</v>
      </c>
      <c r="I955" s="10">
        <v>40723</v>
      </c>
      <c r="J955" s="9" t="s">
        <v>318</v>
      </c>
      <c r="K955" s="9" t="s">
        <v>2083</v>
      </c>
      <c r="L955" s="9" t="s">
        <v>325</v>
      </c>
      <c r="M955" s="9" t="s">
        <v>156</v>
      </c>
      <c r="N955" s="11">
        <v>16</v>
      </c>
      <c r="O955" s="11">
        <f t="shared" ca="1" si="113"/>
        <v>12.46027397260274</v>
      </c>
      <c r="P955" s="12">
        <f t="shared" ca="1" si="111"/>
        <v>28.460273972602742</v>
      </c>
      <c r="Q955" s="12" t="s">
        <v>26</v>
      </c>
      <c r="R955" s="9" t="s">
        <v>27</v>
      </c>
      <c r="S955" s="24" t="s">
        <v>28</v>
      </c>
      <c r="T955" s="9" t="s">
        <v>29</v>
      </c>
    </row>
    <row r="956" spans="1:20" ht="35.25" customHeight="1">
      <c r="A956" s="6">
        <f t="shared" si="107"/>
        <v>955</v>
      </c>
      <c r="B956" s="17" t="s">
        <v>2577</v>
      </c>
      <c r="C956" s="8" t="s">
        <v>2578</v>
      </c>
      <c r="D956" s="9" t="s">
        <v>26</v>
      </c>
      <c r="E956" s="10">
        <v>29412</v>
      </c>
      <c r="F956" s="11">
        <f t="shared" ca="1" si="112"/>
        <v>43.449315068493149</v>
      </c>
      <c r="G956" s="11">
        <f t="shared" si="108"/>
        <v>7</v>
      </c>
      <c r="H956" s="11">
        <f t="shared" si="109"/>
        <v>10</v>
      </c>
      <c r="I956" s="10">
        <v>40723</v>
      </c>
      <c r="J956" s="9" t="s">
        <v>22</v>
      </c>
      <c r="K956" s="9" t="s">
        <v>2060</v>
      </c>
      <c r="L956" s="9" t="s">
        <v>208</v>
      </c>
      <c r="M956" s="9" t="s">
        <v>61</v>
      </c>
      <c r="N956" s="11">
        <v>3.1</v>
      </c>
      <c r="O956" s="11">
        <f t="shared" ca="1" si="113"/>
        <v>12.46027397260274</v>
      </c>
      <c r="P956" s="12">
        <f t="shared" ca="1" si="111"/>
        <v>15.56027397260274</v>
      </c>
      <c r="Q956" s="12" t="s">
        <v>68</v>
      </c>
      <c r="R956" s="9" t="s">
        <v>95</v>
      </c>
      <c r="S956" s="24" t="s">
        <v>36</v>
      </c>
      <c r="T956" s="9" t="s">
        <v>72</v>
      </c>
    </row>
    <row r="957" spans="1:20" ht="35.25" customHeight="1">
      <c r="A957" s="6">
        <f t="shared" si="107"/>
        <v>956</v>
      </c>
      <c r="B957" s="17" t="s">
        <v>2579</v>
      </c>
      <c r="C957" s="8" t="s">
        <v>2580</v>
      </c>
      <c r="D957" s="9" t="s">
        <v>26</v>
      </c>
      <c r="E957" s="10">
        <v>33504</v>
      </c>
      <c r="F957" s="11">
        <f t="shared" ca="1" si="112"/>
        <v>32.238356164383561</v>
      </c>
      <c r="G957" s="11">
        <f t="shared" si="108"/>
        <v>9</v>
      </c>
      <c r="H957" s="11">
        <f t="shared" si="109"/>
        <v>23</v>
      </c>
      <c r="I957" s="10">
        <v>40725</v>
      </c>
      <c r="J957" s="9" t="s">
        <v>2581</v>
      </c>
      <c r="K957" s="9" t="s">
        <v>2582</v>
      </c>
      <c r="L957" s="9" t="s">
        <v>34</v>
      </c>
      <c r="M957" s="9" t="s">
        <v>134</v>
      </c>
      <c r="N957" s="11">
        <v>0</v>
      </c>
      <c r="O957" s="11">
        <f t="shared" ca="1" si="113"/>
        <v>12.454794520547946</v>
      </c>
      <c r="P957" s="12">
        <f t="shared" ca="1" si="111"/>
        <v>12.454794520547946</v>
      </c>
      <c r="Q957" s="12" t="s">
        <v>68</v>
      </c>
      <c r="R957" s="9" t="s">
        <v>442</v>
      </c>
      <c r="S957" s="24" t="s">
        <v>36</v>
      </c>
      <c r="T957" s="9" t="s">
        <v>137</v>
      </c>
    </row>
    <row r="958" spans="1:20" ht="35.25" customHeight="1">
      <c r="A958" s="6">
        <f t="shared" si="107"/>
        <v>957</v>
      </c>
      <c r="B958" s="17" t="s">
        <v>2583</v>
      </c>
      <c r="C958" s="8" t="s">
        <v>2584</v>
      </c>
      <c r="D958" s="9" t="s">
        <v>26</v>
      </c>
      <c r="E958" s="10">
        <v>33017</v>
      </c>
      <c r="F958" s="11">
        <f t="shared" ca="1" si="112"/>
        <v>33.57260273972603</v>
      </c>
      <c r="G958" s="11">
        <f>MONTH(E958)</f>
        <v>5</v>
      </c>
      <c r="H958" s="11">
        <f>DAY(E958)</f>
        <v>24</v>
      </c>
      <c r="I958" s="10">
        <v>40725</v>
      </c>
      <c r="J958" s="9" t="s">
        <v>2581</v>
      </c>
      <c r="K958" s="9" t="s">
        <v>2582</v>
      </c>
      <c r="L958" s="9" t="s">
        <v>34</v>
      </c>
      <c r="M958" s="9" t="s">
        <v>134</v>
      </c>
      <c r="N958" s="11">
        <v>0</v>
      </c>
      <c r="O958" s="11">
        <f t="shared" ca="1" si="113"/>
        <v>12.454794520547946</v>
      </c>
      <c r="P958" s="12">
        <f t="shared" ca="1" si="111"/>
        <v>12.454794520547946</v>
      </c>
      <c r="Q958" s="12" t="s">
        <v>68</v>
      </c>
      <c r="R958" s="9" t="s">
        <v>442</v>
      </c>
      <c r="S958" s="24" t="s">
        <v>36</v>
      </c>
      <c r="T958" s="9" t="s">
        <v>137</v>
      </c>
    </row>
    <row r="959" spans="1:20" ht="35.25" customHeight="1">
      <c r="A959" s="6">
        <f t="shared" si="107"/>
        <v>958</v>
      </c>
      <c r="B959" s="17" t="s">
        <v>2585</v>
      </c>
      <c r="C959" s="8" t="s">
        <v>2586</v>
      </c>
      <c r="D959" s="9" t="s">
        <v>26</v>
      </c>
      <c r="E959" s="10">
        <v>31915</v>
      </c>
      <c r="F959" s="11">
        <f t="shared" ca="1" si="112"/>
        <v>36.591780821917808</v>
      </c>
      <c r="G959" s="11">
        <f>MONTH(E959)</f>
        <v>5</v>
      </c>
      <c r="H959" s="11">
        <f>DAY(E959)</f>
        <v>18</v>
      </c>
      <c r="I959" s="10">
        <v>40728</v>
      </c>
      <c r="J959" s="9" t="s">
        <v>87</v>
      </c>
      <c r="K959" s="9" t="s">
        <v>1238</v>
      </c>
      <c r="L959" s="9" t="s">
        <v>204</v>
      </c>
      <c r="M959" s="9" t="s">
        <v>134</v>
      </c>
      <c r="N959" s="11">
        <v>3</v>
      </c>
      <c r="O959" s="11">
        <f t="shared" ca="1" si="113"/>
        <v>12.446575342465753</v>
      </c>
      <c r="P959" s="12">
        <f t="shared" ca="1" si="111"/>
        <v>15.446575342465753</v>
      </c>
      <c r="Q959" s="12" t="s">
        <v>68</v>
      </c>
      <c r="R959" s="9" t="s">
        <v>27</v>
      </c>
      <c r="S959" s="24" t="s">
        <v>28</v>
      </c>
      <c r="T959" s="9" t="s">
        <v>29</v>
      </c>
    </row>
    <row r="960" spans="1:20" ht="35.25" customHeight="1">
      <c r="A960" s="6">
        <f t="shared" si="107"/>
        <v>959</v>
      </c>
      <c r="B960" s="17" t="s">
        <v>2587</v>
      </c>
      <c r="C960" s="8" t="s">
        <v>2588</v>
      </c>
      <c r="D960" s="9" t="s">
        <v>26</v>
      </c>
      <c r="E960" s="10">
        <v>30470</v>
      </c>
      <c r="F960" s="11">
        <f t="shared" ca="1" si="112"/>
        <v>40.550684931506851</v>
      </c>
      <c r="G960" s="11">
        <f t="shared" ref="G960:G1023" si="114">MONTH(E960)</f>
        <v>6</v>
      </c>
      <c r="H960" s="11">
        <f t="shared" ref="H960:H1023" si="115">DAY(E960)</f>
        <v>3</v>
      </c>
      <c r="I960" s="10">
        <v>40728</v>
      </c>
      <c r="J960" s="9" t="s">
        <v>87</v>
      </c>
      <c r="K960" s="9" t="s">
        <v>332</v>
      </c>
      <c r="L960" s="9" t="s">
        <v>34</v>
      </c>
      <c r="M960" s="9" t="s">
        <v>165</v>
      </c>
      <c r="N960" s="11">
        <v>6</v>
      </c>
      <c r="O960" s="11">
        <f t="shared" ca="1" si="113"/>
        <v>12.446575342465753</v>
      </c>
      <c r="P960" s="12">
        <f t="shared" ca="1" si="111"/>
        <v>18.446575342465753</v>
      </c>
      <c r="Q960" s="12" t="s">
        <v>26</v>
      </c>
      <c r="R960" s="9" t="s">
        <v>27</v>
      </c>
      <c r="S960" s="24" t="s">
        <v>36</v>
      </c>
      <c r="T960" s="9" t="s">
        <v>37</v>
      </c>
    </row>
    <row r="961" spans="1:20" ht="35.25" customHeight="1">
      <c r="A961" s="6">
        <f t="shared" si="107"/>
        <v>960</v>
      </c>
      <c r="B961" s="17" t="s">
        <v>2589</v>
      </c>
      <c r="C961" s="8" t="s">
        <v>2590</v>
      </c>
      <c r="D961" s="9" t="s">
        <v>26</v>
      </c>
      <c r="E961" s="10">
        <v>31233</v>
      </c>
      <c r="F961" s="11">
        <f t="shared" ca="1" si="112"/>
        <v>38.460273972602742</v>
      </c>
      <c r="G961" s="11">
        <f t="shared" si="114"/>
        <v>7</v>
      </c>
      <c r="H961" s="11">
        <f t="shared" si="115"/>
        <v>5</v>
      </c>
      <c r="I961" s="10">
        <v>40728</v>
      </c>
      <c r="J961" s="9" t="s">
        <v>45</v>
      </c>
      <c r="K961" s="9" t="s">
        <v>477</v>
      </c>
      <c r="L961" s="9" t="s">
        <v>34</v>
      </c>
      <c r="M961" s="9" t="s">
        <v>35</v>
      </c>
      <c r="N961" s="11">
        <v>5.7</v>
      </c>
      <c r="O961" s="11">
        <f t="shared" ca="1" si="113"/>
        <v>12.446575342465753</v>
      </c>
      <c r="P961" s="12">
        <f t="shared" ca="1" si="111"/>
        <v>18.146575342465752</v>
      </c>
      <c r="Q961" s="12" t="s">
        <v>68</v>
      </c>
      <c r="R961" s="9" t="s">
        <v>27</v>
      </c>
      <c r="S961" s="24" t="s">
        <v>36</v>
      </c>
      <c r="T961" s="9" t="s">
        <v>72</v>
      </c>
    </row>
    <row r="962" spans="1:20" ht="35.25" customHeight="1">
      <c r="A962" s="6">
        <f t="shared" si="107"/>
        <v>961</v>
      </c>
      <c r="B962" s="17" t="s">
        <v>2591</v>
      </c>
      <c r="C962" s="8" t="s">
        <v>2592</v>
      </c>
      <c r="D962" s="9" t="s">
        <v>26</v>
      </c>
      <c r="E962" s="10">
        <v>33048</v>
      </c>
      <c r="F962" s="11">
        <f t="shared" ca="1" si="112"/>
        <v>33.487671232876714</v>
      </c>
      <c r="G962" s="11">
        <f t="shared" si="114"/>
        <v>6</v>
      </c>
      <c r="H962" s="11">
        <f t="shared" si="115"/>
        <v>24</v>
      </c>
      <c r="I962" s="10">
        <v>40728</v>
      </c>
      <c r="J962" s="9" t="s">
        <v>974</v>
      </c>
      <c r="K962" s="9" t="s">
        <v>2593</v>
      </c>
      <c r="L962" s="9" t="s">
        <v>34</v>
      </c>
      <c r="M962" s="9" t="s">
        <v>35</v>
      </c>
      <c r="N962" s="11">
        <v>0</v>
      </c>
      <c r="O962" s="11">
        <f t="shared" ca="1" si="113"/>
        <v>12.446575342465753</v>
      </c>
      <c r="P962" s="12">
        <f t="shared" ca="1" si="111"/>
        <v>12.446575342465753</v>
      </c>
      <c r="Q962" s="12" t="s">
        <v>68</v>
      </c>
      <c r="R962" s="9" t="s">
        <v>27</v>
      </c>
      <c r="S962" s="24" t="s">
        <v>36</v>
      </c>
      <c r="T962" s="9" t="s">
        <v>1639</v>
      </c>
    </row>
    <row r="963" spans="1:20" ht="35.25" customHeight="1">
      <c r="A963" s="6">
        <f t="shared" si="107"/>
        <v>962</v>
      </c>
      <c r="B963" s="17" t="s">
        <v>2594</v>
      </c>
      <c r="C963" s="8" t="s">
        <v>2595</v>
      </c>
      <c r="D963" s="9" t="s">
        <v>26</v>
      </c>
      <c r="E963" s="10">
        <v>32644</v>
      </c>
      <c r="F963" s="11">
        <f t="shared" ca="1" si="112"/>
        <v>34.594520547945208</v>
      </c>
      <c r="G963" s="11">
        <f t="shared" si="114"/>
        <v>5</v>
      </c>
      <c r="H963" s="11">
        <f t="shared" si="115"/>
        <v>16</v>
      </c>
      <c r="I963" s="10">
        <v>40730</v>
      </c>
      <c r="J963" s="9" t="s">
        <v>226</v>
      </c>
      <c r="K963" s="61" t="s">
        <v>1152</v>
      </c>
      <c r="L963" s="9" t="s">
        <v>34</v>
      </c>
      <c r="M963" s="9" t="s">
        <v>61</v>
      </c>
      <c r="N963" s="11">
        <v>0.7</v>
      </c>
      <c r="O963" s="11">
        <f t="shared" ca="1" si="113"/>
        <v>12.441095890410958</v>
      </c>
      <c r="P963" s="12">
        <f t="shared" ca="1" si="111"/>
        <v>13.141095890410957</v>
      </c>
      <c r="Q963" s="12" t="s">
        <v>68</v>
      </c>
      <c r="R963" s="9" t="s">
        <v>27</v>
      </c>
      <c r="S963" s="24" t="s">
        <v>36</v>
      </c>
      <c r="T963" s="9" t="s">
        <v>72</v>
      </c>
    </row>
    <row r="964" spans="1:20" ht="35.25" customHeight="1">
      <c r="A964" s="6">
        <f t="shared" ref="A964:A1027" si="116">+A963+1</f>
        <v>963</v>
      </c>
      <c r="B964" s="17" t="s">
        <v>2596</v>
      </c>
      <c r="C964" s="8" t="s">
        <v>2597</v>
      </c>
      <c r="D964" s="9" t="s">
        <v>26</v>
      </c>
      <c r="E964" s="10">
        <v>29810</v>
      </c>
      <c r="F964" s="11">
        <f t="shared" ca="1" si="112"/>
        <v>42.358904109589041</v>
      </c>
      <c r="G964" s="11">
        <f t="shared" si="114"/>
        <v>8</v>
      </c>
      <c r="H964" s="11">
        <f t="shared" si="115"/>
        <v>12</v>
      </c>
      <c r="I964" s="10">
        <v>40730</v>
      </c>
      <c r="J964" s="9" t="s">
        <v>22</v>
      </c>
      <c r="K964" s="9" t="s">
        <v>827</v>
      </c>
      <c r="L964" s="9" t="s">
        <v>393</v>
      </c>
      <c r="M964" s="9" t="s">
        <v>61</v>
      </c>
      <c r="N964" s="11">
        <v>5</v>
      </c>
      <c r="O964" s="11">
        <f t="shared" ca="1" si="113"/>
        <v>12.441095890410958</v>
      </c>
      <c r="P964" s="12">
        <f t="shared" ca="1" si="111"/>
        <v>17.441095890410956</v>
      </c>
      <c r="Q964" s="12" t="s">
        <v>68</v>
      </c>
      <c r="R964" s="9" t="s">
        <v>442</v>
      </c>
      <c r="S964" s="24" t="s">
        <v>36</v>
      </c>
      <c r="T964" s="9" t="s">
        <v>892</v>
      </c>
    </row>
    <row r="965" spans="1:20" ht="35.25" customHeight="1">
      <c r="A965" s="6">
        <f t="shared" si="116"/>
        <v>964</v>
      </c>
      <c r="B965" s="17" t="s">
        <v>2598</v>
      </c>
      <c r="C965" s="8" t="s">
        <v>2599</v>
      </c>
      <c r="D965" s="9" t="s">
        <v>26</v>
      </c>
      <c r="E965" s="10">
        <v>32163</v>
      </c>
      <c r="F965" s="11">
        <f t="shared" ca="1" si="112"/>
        <v>35.912328767123284</v>
      </c>
      <c r="G965" s="11">
        <f t="shared" si="114"/>
        <v>1</v>
      </c>
      <c r="H965" s="11">
        <f t="shared" si="115"/>
        <v>21</v>
      </c>
      <c r="I965" s="10">
        <v>40735</v>
      </c>
      <c r="J965" s="9" t="s">
        <v>87</v>
      </c>
      <c r="K965" s="9" t="s">
        <v>635</v>
      </c>
      <c r="L965" s="9" t="s">
        <v>34</v>
      </c>
      <c r="M965" s="9" t="s">
        <v>61</v>
      </c>
      <c r="N965" s="11">
        <v>0</v>
      </c>
      <c r="O965" s="11">
        <f t="shared" ca="1" si="113"/>
        <v>12.427397260273972</v>
      </c>
      <c r="P965" s="12">
        <f t="shared" ca="1" si="111"/>
        <v>12.427397260273972</v>
      </c>
      <c r="Q965" s="12" t="s">
        <v>68</v>
      </c>
      <c r="R965" s="9" t="s">
        <v>27</v>
      </c>
      <c r="S965" s="24" t="s">
        <v>36</v>
      </c>
      <c r="T965" s="9" t="s">
        <v>72</v>
      </c>
    </row>
    <row r="966" spans="1:20" ht="35.25" customHeight="1">
      <c r="A966" s="6">
        <f t="shared" si="116"/>
        <v>965</v>
      </c>
      <c r="B966" s="17" t="s">
        <v>2600</v>
      </c>
      <c r="C966" s="8" t="s">
        <v>2601</v>
      </c>
      <c r="D966" s="9" t="s">
        <v>26</v>
      </c>
      <c r="E966" s="10">
        <v>29839</v>
      </c>
      <c r="F966" s="11">
        <f t="shared" ca="1" si="112"/>
        <v>42.279452054794518</v>
      </c>
      <c r="G966" s="11">
        <f t="shared" si="114"/>
        <v>9</v>
      </c>
      <c r="H966" s="11">
        <f t="shared" si="115"/>
        <v>10</v>
      </c>
      <c r="I966" s="10">
        <v>40735</v>
      </c>
      <c r="J966" s="9" t="s">
        <v>22</v>
      </c>
      <c r="K966" s="61" t="s">
        <v>2602</v>
      </c>
      <c r="L966" s="9" t="s">
        <v>389</v>
      </c>
      <c r="M966" s="9" t="s">
        <v>205</v>
      </c>
      <c r="N966" s="11">
        <v>8</v>
      </c>
      <c r="O966" s="11">
        <f t="shared" ca="1" si="113"/>
        <v>12.427397260273972</v>
      </c>
      <c r="P966" s="12">
        <f t="shared" ca="1" si="111"/>
        <v>20.42739726027397</v>
      </c>
      <c r="Q966" s="12" t="s">
        <v>68</v>
      </c>
      <c r="R966" s="9" t="s">
        <v>27</v>
      </c>
      <c r="S966" s="24" t="s">
        <v>36</v>
      </c>
      <c r="T966" s="61" t="s">
        <v>137</v>
      </c>
    </row>
    <row r="967" spans="1:20" ht="35.25" customHeight="1">
      <c r="A967" s="6">
        <f t="shared" si="116"/>
        <v>966</v>
      </c>
      <c r="B967" s="17" t="s">
        <v>2603</v>
      </c>
      <c r="C967" s="8" t="s">
        <v>2604</v>
      </c>
      <c r="D967" s="9" t="s">
        <v>26</v>
      </c>
      <c r="E967" s="10">
        <v>32663</v>
      </c>
      <c r="F967" s="11">
        <f t="shared" ca="1" si="112"/>
        <v>34.542465753424658</v>
      </c>
      <c r="G967" s="11">
        <f t="shared" si="114"/>
        <v>6</v>
      </c>
      <c r="H967" s="11">
        <f t="shared" si="115"/>
        <v>4</v>
      </c>
      <c r="I967" s="10">
        <v>40735</v>
      </c>
      <c r="J967" s="9" t="s">
        <v>87</v>
      </c>
      <c r="K967" s="9" t="s">
        <v>1559</v>
      </c>
      <c r="L967" s="9" t="s">
        <v>34</v>
      </c>
      <c r="M967" s="9" t="s">
        <v>35</v>
      </c>
      <c r="N967" s="11">
        <v>4</v>
      </c>
      <c r="O967" s="11">
        <f t="shared" ca="1" si="113"/>
        <v>12.427397260273972</v>
      </c>
      <c r="P967" s="12">
        <f t="shared" ca="1" si="111"/>
        <v>16.42739726027397</v>
      </c>
      <c r="Q967" s="12" t="s">
        <v>68</v>
      </c>
      <c r="R967" s="9" t="s">
        <v>27</v>
      </c>
      <c r="S967" s="24" t="s">
        <v>36</v>
      </c>
      <c r="T967" s="9" t="s">
        <v>279</v>
      </c>
    </row>
    <row r="968" spans="1:20" ht="35.25" customHeight="1">
      <c r="A968" s="6">
        <f t="shared" si="116"/>
        <v>967</v>
      </c>
      <c r="B968" s="17" t="s">
        <v>2605</v>
      </c>
      <c r="C968" s="8" t="s">
        <v>2606</v>
      </c>
      <c r="D968" s="9" t="s">
        <v>26</v>
      </c>
      <c r="E968" s="10">
        <v>30611</v>
      </c>
      <c r="F968" s="11">
        <f t="shared" ca="1" si="112"/>
        <v>40.164383561643838</v>
      </c>
      <c r="G968" s="11">
        <f t="shared" si="114"/>
        <v>10</v>
      </c>
      <c r="H968" s="11">
        <f t="shared" si="115"/>
        <v>22</v>
      </c>
      <c r="I968" s="10">
        <v>40735</v>
      </c>
      <c r="J968" s="9" t="s">
        <v>50</v>
      </c>
      <c r="K968" s="9" t="s">
        <v>2607</v>
      </c>
      <c r="L968" s="9" t="s">
        <v>1713</v>
      </c>
      <c r="M968" s="9" t="s">
        <v>35</v>
      </c>
      <c r="N968" s="11">
        <v>5.5</v>
      </c>
      <c r="O968" s="11">
        <f t="shared" ca="1" si="113"/>
        <v>12.427397260273972</v>
      </c>
      <c r="P968" s="12">
        <f t="shared" ca="1" si="111"/>
        <v>17.92739726027397</v>
      </c>
      <c r="Q968" s="12" t="s">
        <v>26</v>
      </c>
      <c r="R968" s="9" t="s">
        <v>95</v>
      </c>
      <c r="S968" s="24" t="s">
        <v>28</v>
      </c>
      <c r="T968" s="9" t="s">
        <v>29</v>
      </c>
    </row>
    <row r="969" spans="1:20" ht="35.25" customHeight="1">
      <c r="A969" s="6">
        <f t="shared" si="116"/>
        <v>968</v>
      </c>
      <c r="B969" s="17" t="s">
        <v>2608</v>
      </c>
      <c r="C969" s="8" t="s">
        <v>2609</v>
      </c>
      <c r="D969" s="9" t="s">
        <v>26</v>
      </c>
      <c r="E969" s="10">
        <v>28985</v>
      </c>
      <c r="F969" s="11">
        <f t="shared" ca="1" si="112"/>
        <v>44.61917808219178</v>
      </c>
      <c r="G969" s="11">
        <f t="shared" si="114"/>
        <v>5</v>
      </c>
      <c r="H969" s="11">
        <f t="shared" si="115"/>
        <v>10</v>
      </c>
      <c r="I969" s="10">
        <v>40735</v>
      </c>
      <c r="J969" s="9" t="s">
        <v>110</v>
      </c>
      <c r="K969" s="9" t="s">
        <v>1812</v>
      </c>
      <c r="L969" s="9" t="s">
        <v>34</v>
      </c>
      <c r="M969" s="9" t="s">
        <v>35</v>
      </c>
      <c r="N969" s="11">
        <v>13</v>
      </c>
      <c r="O969" s="11">
        <f t="shared" ref="O969:O979" ca="1" si="117">(TODAY()-I969)/365</f>
        <v>12.427397260273972</v>
      </c>
      <c r="P969" s="12">
        <f t="shared" ca="1" si="111"/>
        <v>25.42739726027397</v>
      </c>
      <c r="Q969" s="12" t="s">
        <v>26</v>
      </c>
      <c r="R969" s="9" t="s">
        <v>27</v>
      </c>
      <c r="S969" s="24" t="s">
        <v>36</v>
      </c>
      <c r="T969" s="9" t="s">
        <v>279</v>
      </c>
    </row>
    <row r="970" spans="1:20" ht="35.25" customHeight="1">
      <c r="A970" s="6">
        <f t="shared" si="116"/>
        <v>969</v>
      </c>
      <c r="B970" s="17" t="s">
        <v>2610</v>
      </c>
      <c r="C970" s="8" t="s">
        <v>2611</v>
      </c>
      <c r="D970" s="9" t="s">
        <v>26</v>
      </c>
      <c r="E970" s="10">
        <v>30610</v>
      </c>
      <c r="F970" s="11">
        <f t="shared" ca="1" si="112"/>
        <v>40.167123287671231</v>
      </c>
      <c r="G970" s="11">
        <f t="shared" si="114"/>
        <v>10</v>
      </c>
      <c r="H970" s="11">
        <f t="shared" si="115"/>
        <v>21</v>
      </c>
      <c r="I970" s="10">
        <v>40735</v>
      </c>
      <c r="J970" s="9" t="s">
        <v>87</v>
      </c>
      <c r="K970" s="9" t="s">
        <v>1486</v>
      </c>
      <c r="L970" s="9" t="s">
        <v>2301</v>
      </c>
      <c r="M970" s="9" t="s">
        <v>35</v>
      </c>
      <c r="N970" s="11">
        <v>6</v>
      </c>
      <c r="O970" s="11">
        <f t="shared" ca="1" si="117"/>
        <v>12.427397260273972</v>
      </c>
      <c r="P970" s="12">
        <f t="shared" ca="1" si="111"/>
        <v>18.42739726027397</v>
      </c>
      <c r="Q970" s="12" t="s">
        <v>68</v>
      </c>
      <c r="R970" s="9" t="s">
        <v>442</v>
      </c>
      <c r="S970" s="24" t="s">
        <v>36</v>
      </c>
      <c r="T970" s="9" t="s">
        <v>37</v>
      </c>
    </row>
    <row r="971" spans="1:20" ht="35.25" customHeight="1">
      <c r="A971" s="6">
        <f t="shared" si="116"/>
        <v>970</v>
      </c>
      <c r="B971" s="17" t="s">
        <v>2612</v>
      </c>
      <c r="C971" s="8" t="s">
        <v>2613</v>
      </c>
      <c r="D971" s="9" t="s">
        <v>26</v>
      </c>
      <c r="E971" s="10">
        <v>32306</v>
      </c>
      <c r="F971" s="11">
        <f t="shared" ca="1" si="112"/>
        <v>35.520547945205479</v>
      </c>
      <c r="G971" s="11">
        <f t="shared" si="114"/>
        <v>6</v>
      </c>
      <c r="H971" s="11">
        <f t="shared" si="115"/>
        <v>12</v>
      </c>
      <c r="I971" s="10">
        <v>40735</v>
      </c>
      <c r="J971" s="9" t="s">
        <v>226</v>
      </c>
      <c r="K971" s="9" t="s">
        <v>710</v>
      </c>
      <c r="L971" s="9" t="s">
        <v>55</v>
      </c>
      <c r="M971" s="9" t="s">
        <v>35</v>
      </c>
      <c r="N971" s="11">
        <v>3</v>
      </c>
      <c r="O971" s="11">
        <f t="shared" ca="1" si="117"/>
        <v>12.427397260273972</v>
      </c>
      <c r="P971" s="12">
        <f t="shared" ca="1" si="111"/>
        <v>15.427397260273972</v>
      </c>
      <c r="Q971" s="12" t="s">
        <v>68</v>
      </c>
      <c r="R971" s="9" t="s">
        <v>27</v>
      </c>
      <c r="S971" s="24" t="s">
        <v>36</v>
      </c>
      <c r="T971" s="9" t="s">
        <v>279</v>
      </c>
    </row>
    <row r="972" spans="1:20" ht="35.25" customHeight="1">
      <c r="A972" s="6">
        <f t="shared" si="116"/>
        <v>971</v>
      </c>
      <c r="B972" s="17" t="s">
        <v>2614</v>
      </c>
      <c r="C972" s="8" t="s">
        <v>2615</v>
      </c>
      <c r="D972" s="9" t="s">
        <v>26</v>
      </c>
      <c r="E972" s="10">
        <v>31131</v>
      </c>
      <c r="F972" s="11">
        <f t="shared" ca="1" si="112"/>
        <v>38.739726027397261</v>
      </c>
      <c r="G972" s="11">
        <f t="shared" si="114"/>
        <v>3</v>
      </c>
      <c r="H972" s="11">
        <f t="shared" si="115"/>
        <v>25</v>
      </c>
      <c r="I972" s="10">
        <v>40735</v>
      </c>
      <c r="J972" s="9" t="s">
        <v>110</v>
      </c>
      <c r="K972" s="9" t="s">
        <v>2616</v>
      </c>
      <c r="L972" s="9" t="s">
        <v>128</v>
      </c>
      <c r="M972" s="9" t="s">
        <v>134</v>
      </c>
      <c r="N972" s="11">
        <v>6</v>
      </c>
      <c r="O972" s="11">
        <f t="shared" ca="1" si="117"/>
        <v>12.427397260273972</v>
      </c>
      <c r="P972" s="12">
        <f t="shared" ref="P972:P976" ca="1" si="118">SUM(N972+O972)</f>
        <v>18.42739726027397</v>
      </c>
      <c r="Q972" s="12" t="s">
        <v>68</v>
      </c>
      <c r="R972" s="9" t="s">
        <v>27</v>
      </c>
      <c r="S972" s="24" t="s">
        <v>28</v>
      </c>
      <c r="T972" s="9" t="s">
        <v>29</v>
      </c>
    </row>
    <row r="973" spans="1:20" ht="35.25" customHeight="1">
      <c r="A973" s="6">
        <f t="shared" si="116"/>
        <v>972</v>
      </c>
      <c r="B973" s="17" t="s">
        <v>2617</v>
      </c>
      <c r="C973" s="8" t="s">
        <v>2618</v>
      </c>
      <c r="D973" s="9" t="s">
        <v>26</v>
      </c>
      <c r="E973" s="10">
        <v>27133</v>
      </c>
      <c r="F973" s="11">
        <f t="shared" ca="1" si="112"/>
        <v>49.69315068493151</v>
      </c>
      <c r="G973" s="11">
        <f t="shared" si="114"/>
        <v>4</v>
      </c>
      <c r="H973" s="11">
        <f t="shared" si="115"/>
        <v>14</v>
      </c>
      <c r="I973" s="10">
        <v>40740</v>
      </c>
      <c r="J973" s="9" t="s">
        <v>110</v>
      </c>
      <c r="K973" s="9" t="s">
        <v>2619</v>
      </c>
      <c r="L973" s="9" t="s">
        <v>127</v>
      </c>
      <c r="M973" s="9" t="s">
        <v>35</v>
      </c>
      <c r="N973" s="11">
        <v>15</v>
      </c>
      <c r="O973" s="11">
        <f t="shared" ca="1" si="117"/>
        <v>12.413698630136986</v>
      </c>
      <c r="P973" s="12">
        <f t="shared" ca="1" si="118"/>
        <v>27.413698630136984</v>
      </c>
      <c r="Q973" s="12" t="s">
        <v>26</v>
      </c>
      <c r="R973" s="9" t="s">
        <v>27</v>
      </c>
      <c r="S973" s="24" t="s">
        <v>28</v>
      </c>
      <c r="T973" s="9" t="s">
        <v>29</v>
      </c>
    </row>
    <row r="974" spans="1:20" ht="35.25" customHeight="1">
      <c r="A974" s="6">
        <f t="shared" si="116"/>
        <v>973</v>
      </c>
      <c r="B974" s="17" t="s">
        <v>2620</v>
      </c>
      <c r="C974" s="8" t="s">
        <v>2621</v>
      </c>
      <c r="D974" s="9" t="s">
        <v>26</v>
      </c>
      <c r="E974" s="10">
        <v>26366</v>
      </c>
      <c r="F974" s="11">
        <f t="shared" ca="1" si="112"/>
        <v>51.794520547945204</v>
      </c>
      <c r="G974" s="11">
        <f t="shared" si="114"/>
        <v>3</v>
      </c>
      <c r="H974" s="11">
        <f t="shared" si="115"/>
        <v>8</v>
      </c>
      <c r="I974" s="10">
        <v>40742</v>
      </c>
      <c r="J974" s="9" t="s">
        <v>32</v>
      </c>
      <c r="K974" s="9" t="s">
        <v>2622</v>
      </c>
      <c r="L974" s="9" t="s">
        <v>389</v>
      </c>
      <c r="M974" s="9" t="s">
        <v>205</v>
      </c>
      <c r="N974" s="11">
        <v>8</v>
      </c>
      <c r="O974" s="11">
        <f t="shared" ca="1" si="117"/>
        <v>12.408219178082192</v>
      </c>
      <c r="P974" s="12">
        <f t="shared" ca="1" si="118"/>
        <v>20.408219178082192</v>
      </c>
      <c r="Q974" s="12" t="s">
        <v>26</v>
      </c>
      <c r="R974" s="9" t="s">
        <v>27</v>
      </c>
      <c r="S974" s="24" t="s">
        <v>36</v>
      </c>
      <c r="T974" s="9" t="s">
        <v>137</v>
      </c>
    </row>
    <row r="975" spans="1:20" ht="35.25" customHeight="1">
      <c r="A975" s="6">
        <f t="shared" si="116"/>
        <v>974</v>
      </c>
      <c r="B975" s="17" t="s">
        <v>2623</v>
      </c>
      <c r="C975" s="8" t="s">
        <v>2624</v>
      </c>
      <c r="D975" s="9" t="s">
        <v>26</v>
      </c>
      <c r="E975" s="10">
        <v>31536</v>
      </c>
      <c r="F975" s="11">
        <f t="shared" ca="1" si="112"/>
        <v>37.630136986301373</v>
      </c>
      <c r="G975" s="11">
        <f t="shared" si="114"/>
        <v>5</v>
      </c>
      <c r="H975" s="11">
        <f t="shared" si="115"/>
        <v>4</v>
      </c>
      <c r="I975" s="10">
        <v>40742</v>
      </c>
      <c r="J975" s="9" t="s">
        <v>41</v>
      </c>
      <c r="K975" s="9" t="s">
        <v>863</v>
      </c>
      <c r="L975" s="9" t="s">
        <v>1603</v>
      </c>
      <c r="M975" s="9" t="s">
        <v>35</v>
      </c>
      <c r="N975" s="11">
        <v>2</v>
      </c>
      <c r="O975" s="11">
        <f t="shared" ca="1" si="117"/>
        <v>12.408219178082192</v>
      </c>
      <c r="P975" s="12">
        <f t="shared" ca="1" si="118"/>
        <v>14.408219178082192</v>
      </c>
      <c r="Q975" s="12" t="s">
        <v>68</v>
      </c>
      <c r="R975" s="9" t="s">
        <v>27</v>
      </c>
      <c r="S975" s="24" t="s">
        <v>36</v>
      </c>
      <c r="T975" s="9" t="s">
        <v>1644</v>
      </c>
    </row>
    <row r="976" spans="1:20" ht="35.25" customHeight="1">
      <c r="A976" s="6">
        <f t="shared" si="116"/>
        <v>975</v>
      </c>
      <c r="B976" s="17" t="s">
        <v>2625</v>
      </c>
      <c r="C976" s="8" t="s">
        <v>2626</v>
      </c>
      <c r="D976" s="9" t="s">
        <v>26</v>
      </c>
      <c r="E976" s="10">
        <v>32372</v>
      </c>
      <c r="F976" s="11">
        <f t="shared" ca="1" si="112"/>
        <v>35.339726027397262</v>
      </c>
      <c r="G976" s="11">
        <f t="shared" si="114"/>
        <v>8</v>
      </c>
      <c r="H976" s="11">
        <f t="shared" si="115"/>
        <v>17</v>
      </c>
      <c r="I976" s="10">
        <v>40742</v>
      </c>
      <c r="J976" s="9" t="s">
        <v>974</v>
      </c>
      <c r="K976" s="9" t="s">
        <v>2593</v>
      </c>
      <c r="L976" s="9" t="s">
        <v>122</v>
      </c>
      <c r="M976" s="9" t="s">
        <v>35</v>
      </c>
      <c r="N976" s="11">
        <v>0</v>
      </c>
      <c r="O976" s="11">
        <f t="shared" ca="1" si="117"/>
        <v>12.408219178082192</v>
      </c>
      <c r="P976" s="12">
        <f t="shared" ca="1" si="118"/>
        <v>12.408219178082192</v>
      </c>
      <c r="Q976" s="12" t="s">
        <v>68</v>
      </c>
      <c r="R976" s="9" t="s">
        <v>27</v>
      </c>
      <c r="S976" s="24" t="s">
        <v>36</v>
      </c>
      <c r="T976" s="9" t="s">
        <v>1639</v>
      </c>
    </row>
    <row r="977" spans="1:20" ht="35.25" customHeight="1">
      <c r="A977" s="6">
        <f t="shared" si="116"/>
        <v>976</v>
      </c>
      <c r="B977" s="17" t="s">
        <v>2627</v>
      </c>
      <c r="C977" s="8" t="s">
        <v>734</v>
      </c>
      <c r="D977" s="9" t="s">
        <v>26</v>
      </c>
      <c r="E977" s="10">
        <v>31943</v>
      </c>
      <c r="F977" s="11">
        <f t="shared" ca="1" si="112"/>
        <v>36.515068493150686</v>
      </c>
      <c r="G977" s="11">
        <f t="shared" si="114"/>
        <v>6</v>
      </c>
      <c r="H977" s="11">
        <f t="shared" si="115"/>
        <v>15</v>
      </c>
      <c r="I977" s="10">
        <v>40742</v>
      </c>
      <c r="J977" s="9" t="s">
        <v>45</v>
      </c>
      <c r="K977" s="9" t="s">
        <v>477</v>
      </c>
      <c r="L977" s="9" t="s">
        <v>34</v>
      </c>
      <c r="M977" s="9" t="s">
        <v>35</v>
      </c>
      <c r="N977" s="11">
        <v>4</v>
      </c>
      <c r="O977" s="11">
        <f t="shared" ca="1" si="117"/>
        <v>12.408219178082192</v>
      </c>
      <c r="P977" s="12">
        <f ca="1">SUM(N977+O977)</f>
        <v>16.408219178082192</v>
      </c>
      <c r="Q977" s="12" t="s">
        <v>68</v>
      </c>
      <c r="R977" s="9" t="s">
        <v>27</v>
      </c>
      <c r="S977" s="24" t="s">
        <v>36</v>
      </c>
      <c r="T977" s="9" t="s">
        <v>279</v>
      </c>
    </row>
    <row r="978" spans="1:20" ht="35.25" customHeight="1">
      <c r="A978" s="6">
        <f t="shared" si="116"/>
        <v>977</v>
      </c>
      <c r="B978" s="17" t="s">
        <v>2628</v>
      </c>
      <c r="C978" s="8" t="s">
        <v>2629</v>
      </c>
      <c r="D978" s="9" t="s">
        <v>26</v>
      </c>
      <c r="E978" s="10">
        <v>28977</v>
      </c>
      <c r="F978" s="11">
        <f t="shared" ca="1" si="112"/>
        <v>44.641095890410959</v>
      </c>
      <c r="G978" s="11">
        <f t="shared" si="114"/>
        <v>5</v>
      </c>
      <c r="H978" s="11">
        <f t="shared" si="115"/>
        <v>2</v>
      </c>
      <c r="I978" s="10">
        <v>40742</v>
      </c>
      <c r="J978" s="9" t="s">
        <v>87</v>
      </c>
      <c r="K978" s="61" t="s">
        <v>412</v>
      </c>
      <c r="L978" s="9" t="s">
        <v>1603</v>
      </c>
      <c r="M978" s="9" t="s">
        <v>35</v>
      </c>
      <c r="N978" s="11">
        <v>11.5</v>
      </c>
      <c r="O978" s="11">
        <f t="shared" ca="1" si="117"/>
        <v>12.408219178082192</v>
      </c>
      <c r="P978" s="12">
        <f ca="1">SUM(N978+O978)</f>
        <v>23.908219178082192</v>
      </c>
      <c r="Q978" s="12" t="s">
        <v>26</v>
      </c>
      <c r="R978" s="9" t="s">
        <v>27</v>
      </c>
      <c r="S978" s="24" t="s">
        <v>36</v>
      </c>
      <c r="T978" s="9" t="s">
        <v>1032</v>
      </c>
    </row>
    <row r="979" spans="1:20" ht="35.25" customHeight="1">
      <c r="A979" s="6">
        <f t="shared" si="116"/>
        <v>978</v>
      </c>
      <c r="B979" s="17" t="s">
        <v>2630</v>
      </c>
      <c r="C979" s="8" t="s">
        <v>2631</v>
      </c>
      <c r="D979" s="9" t="s">
        <v>26</v>
      </c>
      <c r="E979" s="10">
        <v>27943</v>
      </c>
      <c r="F979" s="11">
        <f t="shared" ca="1" si="112"/>
        <v>47.473972602739728</v>
      </c>
      <c r="G979" s="11">
        <f t="shared" si="114"/>
        <v>7</v>
      </c>
      <c r="H979" s="11">
        <f t="shared" si="115"/>
        <v>2</v>
      </c>
      <c r="I979" s="10">
        <v>40742</v>
      </c>
      <c r="J979" s="9" t="s">
        <v>110</v>
      </c>
      <c r="K979" s="9" t="s">
        <v>2208</v>
      </c>
      <c r="L979" s="9" t="s">
        <v>1480</v>
      </c>
      <c r="M979" s="9" t="s">
        <v>35</v>
      </c>
      <c r="N979" s="11">
        <v>10</v>
      </c>
      <c r="O979" s="11">
        <f t="shared" ca="1" si="117"/>
        <v>12.408219178082192</v>
      </c>
      <c r="P979" s="12">
        <f ca="1">SUM(N979+O979)</f>
        <v>22.408219178082192</v>
      </c>
      <c r="Q979" s="12" t="s">
        <v>26</v>
      </c>
      <c r="R979" s="9" t="s">
        <v>27</v>
      </c>
      <c r="S979" s="24" t="s">
        <v>36</v>
      </c>
      <c r="T979" s="9" t="s">
        <v>358</v>
      </c>
    </row>
    <row r="980" spans="1:20" ht="35.25" customHeight="1">
      <c r="A980" s="6">
        <f t="shared" si="116"/>
        <v>979</v>
      </c>
      <c r="B980" s="17" t="s">
        <v>2632</v>
      </c>
      <c r="C980" s="8" t="s">
        <v>2633</v>
      </c>
      <c r="D980" s="9" t="s">
        <v>26</v>
      </c>
      <c r="E980" s="10">
        <v>30818</v>
      </c>
      <c r="F980" s="11">
        <f t="shared" ca="1" si="112"/>
        <v>39.597260273972601</v>
      </c>
      <c r="G980" s="11">
        <f t="shared" si="114"/>
        <v>5</v>
      </c>
      <c r="H980" s="11">
        <f t="shared" si="115"/>
        <v>16</v>
      </c>
      <c r="I980" s="10">
        <v>40742</v>
      </c>
      <c r="J980" s="9" t="s">
        <v>41</v>
      </c>
      <c r="K980" s="9" t="s">
        <v>863</v>
      </c>
      <c r="L980" s="9" t="s">
        <v>1603</v>
      </c>
      <c r="M980" s="9" t="s">
        <v>35</v>
      </c>
      <c r="N980" s="11">
        <v>0</v>
      </c>
      <c r="O980" s="11">
        <v>0</v>
      </c>
      <c r="P980" s="12">
        <v>0</v>
      </c>
      <c r="Q980" s="12" t="s">
        <v>68</v>
      </c>
      <c r="R980" s="9" t="s">
        <v>627</v>
      </c>
      <c r="S980" s="24" t="s">
        <v>36</v>
      </c>
      <c r="T980" s="9" t="s">
        <v>2634</v>
      </c>
    </row>
    <row r="981" spans="1:20" ht="35.25" customHeight="1">
      <c r="A981" s="6">
        <f t="shared" si="116"/>
        <v>980</v>
      </c>
      <c r="B981" s="17" t="s">
        <v>2635</v>
      </c>
      <c r="C981" s="8" t="s">
        <v>2636</v>
      </c>
      <c r="D981" s="9" t="s">
        <v>26</v>
      </c>
      <c r="E981" s="10">
        <v>32036</v>
      </c>
      <c r="F981" s="11">
        <f t="shared" ca="1" si="112"/>
        <v>36.260273972602739</v>
      </c>
      <c r="G981" s="11">
        <f t="shared" si="114"/>
        <v>9</v>
      </c>
      <c r="H981" s="11">
        <f t="shared" si="115"/>
        <v>16</v>
      </c>
      <c r="I981" s="10">
        <v>40742</v>
      </c>
      <c r="J981" s="9" t="s">
        <v>45</v>
      </c>
      <c r="K981" s="9" t="s">
        <v>477</v>
      </c>
      <c r="L981" s="9" t="s">
        <v>34</v>
      </c>
      <c r="M981" s="9" t="s">
        <v>35</v>
      </c>
      <c r="N981" s="11">
        <v>2.2000000000000002</v>
      </c>
      <c r="O981" s="11">
        <f t="shared" ref="O981:O1012" ca="1" si="119">(TODAY()-I981)/365</f>
        <v>12.408219178082192</v>
      </c>
      <c r="P981" s="12">
        <f t="shared" ref="P981:P1044" ca="1" si="120">SUM(N981+O981)</f>
        <v>14.608219178082191</v>
      </c>
      <c r="Q981" s="12" t="s">
        <v>68</v>
      </c>
      <c r="R981" s="9" t="s">
        <v>27</v>
      </c>
      <c r="S981" s="24" t="s">
        <v>36</v>
      </c>
      <c r="T981" s="61" t="s">
        <v>2637</v>
      </c>
    </row>
    <row r="982" spans="1:20" ht="35.25" customHeight="1">
      <c r="A982" s="6">
        <f t="shared" si="116"/>
        <v>981</v>
      </c>
      <c r="B982" s="17" t="s">
        <v>2638</v>
      </c>
      <c r="C982" s="8" t="s">
        <v>2639</v>
      </c>
      <c r="D982" s="9" t="s">
        <v>26</v>
      </c>
      <c r="E982" s="10">
        <v>31775</v>
      </c>
      <c r="F982" s="11">
        <f t="shared" ca="1" si="112"/>
        <v>36.975342465753428</v>
      </c>
      <c r="G982" s="11">
        <f t="shared" si="114"/>
        <v>12</v>
      </c>
      <c r="H982" s="11">
        <f t="shared" si="115"/>
        <v>29</v>
      </c>
      <c r="I982" s="10">
        <v>40742</v>
      </c>
      <c r="J982" s="9" t="s">
        <v>41</v>
      </c>
      <c r="K982" s="9" t="s">
        <v>863</v>
      </c>
      <c r="L982" s="9" t="s">
        <v>107</v>
      </c>
      <c r="M982" s="9" t="s">
        <v>35</v>
      </c>
      <c r="N982" s="11">
        <v>1.1000000000000001</v>
      </c>
      <c r="O982" s="11">
        <f t="shared" ca="1" si="119"/>
        <v>12.408219178082192</v>
      </c>
      <c r="P982" s="12">
        <f t="shared" ca="1" si="120"/>
        <v>13.508219178082191</v>
      </c>
      <c r="Q982" s="12" t="s">
        <v>68</v>
      </c>
      <c r="R982" s="9" t="s">
        <v>442</v>
      </c>
      <c r="S982" s="24" t="s">
        <v>36</v>
      </c>
      <c r="T982" s="9" t="s">
        <v>860</v>
      </c>
    </row>
    <row r="983" spans="1:20" ht="35.25" customHeight="1">
      <c r="A983" s="6">
        <f t="shared" si="116"/>
        <v>982</v>
      </c>
      <c r="B983" s="17" t="s">
        <v>2640</v>
      </c>
      <c r="C983" s="8" t="s">
        <v>2641</v>
      </c>
      <c r="D983" s="9" t="s">
        <v>26</v>
      </c>
      <c r="E983" s="10">
        <v>30315</v>
      </c>
      <c r="F983" s="11">
        <f t="shared" ca="1" si="112"/>
        <v>40.975342465753428</v>
      </c>
      <c r="G983" s="11">
        <f t="shared" si="114"/>
        <v>12</v>
      </c>
      <c r="H983" s="11">
        <f t="shared" si="115"/>
        <v>30</v>
      </c>
      <c r="I983" s="10">
        <v>40742</v>
      </c>
      <c r="J983" s="9" t="s">
        <v>110</v>
      </c>
      <c r="K983" s="9" t="s">
        <v>278</v>
      </c>
      <c r="L983" s="9" t="s">
        <v>34</v>
      </c>
      <c r="M983" s="9" t="s">
        <v>35</v>
      </c>
      <c r="N983" s="11">
        <v>7</v>
      </c>
      <c r="O983" s="11">
        <f t="shared" ca="1" si="119"/>
        <v>12.408219178082192</v>
      </c>
      <c r="P983" s="12">
        <f t="shared" ca="1" si="120"/>
        <v>19.408219178082192</v>
      </c>
      <c r="Q983" s="12" t="s">
        <v>26</v>
      </c>
      <c r="R983" s="9" t="s">
        <v>27</v>
      </c>
      <c r="S983" s="24" t="s">
        <v>36</v>
      </c>
      <c r="T983" s="61" t="s">
        <v>2637</v>
      </c>
    </row>
    <row r="984" spans="1:20" ht="35.25" customHeight="1">
      <c r="A984" s="6">
        <f t="shared" si="116"/>
        <v>983</v>
      </c>
      <c r="B984" s="17" t="s">
        <v>2642</v>
      </c>
      <c r="C984" s="8" t="s">
        <v>2643</v>
      </c>
      <c r="D984" s="9" t="s">
        <v>26</v>
      </c>
      <c r="E984" s="10">
        <v>29723</v>
      </c>
      <c r="F984" s="11">
        <f t="shared" ca="1" si="112"/>
        <v>42.597260273972601</v>
      </c>
      <c r="G984" s="11">
        <f t="shared" si="114"/>
        <v>5</v>
      </c>
      <c r="H984" s="11">
        <f t="shared" si="115"/>
        <v>17</v>
      </c>
      <c r="I984" s="10">
        <v>40742</v>
      </c>
      <c r="J984" s="9" t="s">
        <v>32</v>
      </c>
      <c r="K984" s="9" t="s">
        <v>2644</v>
      </c>
      <c r="L984" s="9" t="s">
        <v>101</v>
      </c>
      <c r="M984" s="9" t="s">
        <v>61</v>
      </c>
      <c r="N984" s="11">
        <v>10.199999999999999</v>
      </c>
      <c r="O984" s="11">
        <f t="shared" ca="1" si="119"/>
        <v>12.408219178082192</v>
      </c>
      <c r="P984" s="12">
        <f t="shared" ca="1" si="120"/>
        <v>22.608219178082191</v>
      </c>
      <c r="Q984" s="12" t="s">
        <v>26</v>
      </c>
      <c r="R984" s="9" t="s">
        <v>27</v>
      </c>
      <c r="S984" s="24" t="s">
        <v>28</v>
      </c>
      <c r="T984" s="9" t="s">
        <v>29</v>
      </c>
    </row>
    <row r="985" spans="1:20" ht="35.25" customHeight="1">
      <c r="A985" s="6">
        <f t="shared" si="116"/>
        <v>984</v>
      </c>
      <c r="B985" s="17" t="s">
        <v>2645</v>
      </c>
      <c r="C985" s="8" t="s">
        <v>2646</v>
      </c>
      <c r="D985" s="9" t="s">
        <v>26</v>
      </c>
      <c r="E985" s="10">
        <v>31895</v>
      </c>
      <c r="F985" s="11">
        <f t="shared" ca="1" si="112"/>
        <v>36.646575342465752</v>
      </c>
      <c r="G985" s="11">
        <f t="shared" si="114"/>
        <v>4</v>
      </c>
      <c r="H985" s="11">
        <f t="shared" si="115"/>
        <v>28</v>
      </c>
      <c r="I985" s="10">
        <v>40744</v>
      </c>
      <c r="J985" s="9" t="s">
        <v>226</v>
      </c>
      <c r="K985" s="61" t="s">
        <v>2647</v>
      </c>
      <c r="L985" s="9" t="s">
        <v>1603</v>
      </c>
      <c r="M985" s="9" t="s">
        <v>35</v>
      </c>
      <c r="N985" s="11">
        <v>1</v>
      </c>
      <c r="O985" s="11">
        <f t="shared" ca="1" si="119"/>
        <v>12.402739726027397</v>
      </c>
      <c r="P985" s="12">
        <f t="shared" ca="1" si="120"/>
        <v>13.402739726027397</v>
      </c>
      <c r="Q985" s="12" t="s">
        <v>68</v>
      </c>
      <c r="R985" s="9" t="s">
        <v>27</v>
      </c>
      <c r="S985" s="24" t="s">
        <v>28</v>
      </c>
      <c r="T985" s="9" t="s">
        <v>29</v>
      </c>
    </row>
    <row r="986" spans="1:20" ht="35.25" customHeight="1">
      <c r="A986" s="6">
        <f t="shared" si="116"/>
        <v>985</v>
      </c>
      <c r="B986" s="17" t="s">
        <v>2648</v>
      </c>
      <c r="C986" s="8" t="s">
        <v>2649</v>
      </c>
      <c r="D986" s="9" t="s">
        <v>26</v>
      </c>
      <c r="E986" s="10">
        <v>28656</v>
      </c>
      <c r="F986" s="11">
        <f t="shared" ca="1" si="112"/>
        <v>45.520547945205479</v>
      </c>
      <c r="G986" s="11">
        <f t="shared" si="114"/>
        <v>6</v>
      </c>
      <c r="H986" s="11">
        <f t="shared" si="115"/>
        <v>15</v>
      </c>
      <c r="I986" s="10">
        <v>40744</v>
      </c>
      <c r="J986" s="9" t="s">
        <v>110</v>
      </c>
      <c r="K986" s="9" t="s">
        <v>2650</v>
      </c>
      <c r="L986" s="9" t="s">
        <v>1603</v>
      </c>
      <c r="M986" s="9" t="s">
        <v>35</v>
      </c>
      <c r="N986" s="11">
        <v>11</v>
      </c>
      <c r="O986" s="11">
        <f t="shared" ca="1" si="119"/>
        <v>12.402739726027397</v>
      </c>
      <c r="P986" s="12">
        <f t="shared" ca="1" si="120"/>
        <v>23.402739726027399</v>
      </c>
      <c r="Q986" s="12" t="s">
        <v>26</v>
      </c>
      <c r="R986" s="9" t="s">
        <v>27</v>
      </c>
      <c r="S986" s="24" t="s">
        <v>36</v>
      </c>
      <c r="T986" s="9" t="s">
        <v>137</v>
      </c>
    </row>
    <row r="987" spans="1:20" ht="35.25" customHeight="1">
      <c r="A987" s="6">
        <f t="shared" si="116"/>
        <v>986</v>
      </c>
      <c r="B987" s="17" t="s">
        <v>2651</v>
      </c>
      <c r="C987" s="8" t="s">
        <v>2652</v>
      </c>
      <c r="D987" s="9" t="s">
        <v>26</v>
      </c>
      <c r="E987" s="10">
        <v>31924</v>
      </c>
      <c r="F987" s="11">
        <f t="shared" ca="1" si="112"/>
        <v>36.56712328767123</v>
      </c>
      <c r="G987" s="11">
        <f t="shared" si="114"/>
        <v>5</v>
      </c>
      <c r="H987" s="11">
        <f t="shared" si="115"/>
        <v>27</v>
      </c>
      <c r="I987" s="10">
        <v>40744</v>
      </c>
      <c r="J987" s="9" t="s">
        <v>226</v>
      </c>
      <c r="K987" s="9" t="s">
        <v>2653</v>
      </c>
      <c r="L987" s="9" t="s">
        <v>652</v>
      </c>
      <c r="M987" s="9" t="s">
        <v>35</v>
      </c>
      <c r="N987" s="11">
        <v>4</v>
      </c>
      <c r="O987" s="11">
        <f t="shared" ca="1" si="119"/>
        <v>12.402739726027397</v>
      </c>
      <c r="P987" s="12">
        <f t="shared" ca="1" si="120"/>
        <v>16.402739726027399</v>
      </c>
      <c r="Q987" s="12" t="s">
        <v>68</v>
      </c>
      <c r="R987" s="9" t="s">
        <v>27</v>
      </c>
      <c r="S987" s="24" t="s">
        <v>36</v>
      </c>
      <c r="T987" s="9" t="s">
        <v>90</v>
      </c>
    </row>
    <row r="988" spans="1:20" ht="35.25" customHeight="1">
      <c r="A988" s="6">
        <f t="shared" si="116"/>
        <v>987</v>
      </c>
      <c r="B988" s="17" t="s">
        <v>2654</v>
      </c>
      <c r="C988" s="8" t="s">
        <v>2655</v>
      </c>
      <c r="D988" s="9" t="s">
        <v>26</v>
      </c>
      <c r="E988" s="10">
        <v>30112</v>
      </c>
      <c r="F988" s="11">
        <f t="shared" ref="F988:F1051" ca="1" si="121">(TODAY()-E988)/365</f>
        <v>41.531506849315072</v>
      </c>
      <c r="G988" s="11">
        <f t="shared" si="114"/>
        <v>6</v>
      </c>
      <c r="H988" s="11">
        <f t="shared" si="115"/>
        <v>10</v>
      </c>
      <c r="I988" s="10">
        <v>40744</v>
      </c>
      <c r="J988" s="9" t="s">
        <v>110</v>
      </c>
      <c r="K988" s="9" t="s">
        <v>2656</v>
      </c>
      <c r="L988" s="9" t="s">
        <v>1713</v>
      </c>
      <c r="M988" s="9" t="s">
        <v>35</v>
      </c>
      <c r="N988" s="11">
        <v>6</v>
      </c>
      <c r="O988" s="11">
        <f t="shared" ca="1" si="119"/>
        <v>12.402739726027397</v>
      </c>
      <c r="P988" s="12">
        <f t="shared" ca="1" si="120"/>
        <v>18.402739726027399</v>
      </c>
      <c r="Q988" s="12" t="s">
        <v>26</v>
      </c>
      <c r="R988" s="9" t="s">
        <v>197</v>
      </c>
      <c r="S988" s="24" t="s">
        <v>28</v>
      </c>
      <c r="T988" s="9" t="s">
        <v>29</v>
      </c>
    </row>
    <row r="989" spans="1:20" ht="35.25" customHeight="1">
      <c r="A989" s="6">
        <f t="shared" si="116"/>
        <v>988</v>
      </c>
      <c r="B989" s="17" t="s">
        <v>2657</v>
      </c>
      <c r="C989" s="8" t="s">
        <v>1866</v>
      </c>
      <c r="D989" s="9" t="s">
        <v>26</v>
      </c>
      <c r="E989" s="10">
        <v>27948</v>
      </c>
      <c r="F989" s="11">
        <f t="shared" ca="1" si="121"/>
        <v>47.460273972602742</v>
      </c>
      <c r="G989" s="11">
        <f t="shared" si="114"/>
        <v>7</v>
      </c>
      <c r="H989" s="11">
        <f t="shared" si="115"/>
        <v>7</v>
      </c>
      <c r="I989" s="10">
        <v>40745</v>
      </c>
      <c r="J989" s="9" t="s">
        <v>66</v>
      </c>
      <c r="K989" s="9" t="s">
        <v>2658</v>
      </c>
      <c r="L989" s="9" t="s">
        <v>128</v>
      </c>
      <c r="M989" s="9" t="s">
        <v>165</v>
      </c>
      <c r="N989" s="11">
        <v>12</v>
      </c>
      <c r="O989" s="11">
        <f t="shared" ca="1" si="119"/>
        <v>12.4</v>
      </c>
      <c r="P989" s="12">
        <f t="shared" ca="1" si="120"/>
        <v>24.4</v>
      </c>
      <c r="Q989" s="12" t="s">
        <v>26</v>
      </c>
      <c r="R989" s="9" t="s">
        <v>27</v>
      </c>
      <c r="S989" s="24" t="s">
        <v>28</v>
      </c>
      <c r="T989" s="9" t="s">
        <v>29</v>
      </c>
    </row>
    <row r="990" spans="1:20" ht="35.25" customHeight="1">
      <c r="A990" s="6">
        <f t="shared" si="116"/>
        <v>989</v>
      </c>
      <c r="B990" s="17" t="s">
        <v>2659</v>
      </c>
      <c r="C990" s="8" t="s">
        <v>2660</v>
      </c>
      <c r="D990" s="9" t="s">
        <v>26</v>
      </c>
      <c r="E990" s="10">
        <v>31382</v>
      </c>
      <c r="F990" s="11">
        <f t="shared" ca="1" si="121"/>
        <v>38.052054794520551</v>
      </c>
      <c r="G990" s="11">
        <f t="shared" si="114"/>
        <v>12</v>
      </c>
      <c r="H990" s="11">
        <f t="shared" si="115"/>
        <v>1</v>
      </c>
      <c r="I990" s="10">
        <v>40731</v>
      </c>
      <c r="J990" s="9" t="s">
        <v>45</v>
      </c>
      <c r="K990" s="9" t="s">
        <v>802</v>
      </c>
      <c r="L990" s="9" t="s">
        <v>34</v>
      </c>
      <c r="M990" s="9" t="s">
        <v>491</v>
      </c>
      <c r="N990" s="11">
        <v>2</v>
      </c>
      <c r="O990" s="11">
        <f t="shared" ca="1" si="119"/>
        <v>12.438356164383562</v>
      </c>
      <c r="P990" s="12">
        <f t="shared" ca="1" si="120"/>
        <v>14.438356164383562</v>
      </c>
      <c r="Q990" s="12" t="s">
        <v>68</v>
      </c>
      <c r="R990" s="9" t="s">
        <v>347</v>
      </c>
      <c r="S990" s="24" t="s">
        <v>36</v>
      </c>
      <c r="T990" s="9" t="s">
        <v>492</v>
      </c>
    </row>
    <row r="991" spans="1:20" ht="35.25" customHeight="1">
      <c r="A991" s="6">
        <f t="shared" si="116"/>
        <v>990</v>
      </c>
      <c r="B991" s="17" t="s">
        <v>2661</v>
      </c>
      <c r="C991" s="8" t="s">
        <v>2662</v>
      </c>
      <c r="D991" s="9" t="s">
        <v>26</v>
      </c>
      <c r="E991" s="10">
        <v>31722</v>
      </c>
      <c r="F991" s="11">
        <f t="shared" ca="1" si="121"/>
        <v>37.12054794520548</v>
      </c>
      <c r="G991" s="11">
        <f t="shared" si="114"/>
        <v>11</v>
      </c>
      <c r="H991" s="11">
        <f t="shared" si="115"/>
        <v>6</v>
      </c>
      <c r="I991" s="10">
        <v>40735</v>
      </c>
      <c r="J991" s="9" t="s">
        <v>45</v>
      </c>
      <c r="K991" s="9" t="s">
        <v>802</v>
      </c>
      <c r="L991" s="9" t="s">
        <v>34</v>
      </c>
      <c r="M991" s="9" t="s">
        <v>491</v>
      </c>
      <c r="N991" s="11">
        <v>3</v>
      </c>
      <c r="O991" s="11">
        <f t="shared" ca="1" si="119"/>
        <v>12.427397260273972</v>
      </c>
      <c r="P991" s="12">
        <f t="shared" ca="1" si="120"/>
        <v>15.427397260273972</v>
      </c>
      <c r="Q991" s="12" t="s">
        <v>68</v>
      </c>
      <c r="R991" s="9" t="s">
        <v>792</v>
      </c>
      <c r="S991" s="24" t="s">
        <v>36</v>
      </c>
      <c r="T991" s="9" t="s">
        <v>492</v>
      </c>
    </row>
    <row r="992" spans="1:20" ht="35.25" customHeight="1">
      <c r="A992" s="6">
        <f t="shared" si="116"/>
        <v>991</v>
      </c>
      <c r="B992" s="17" t="s">
        <v>2663</v>
      </c>
      <c r="C992" s="8" t="s">
        <v>2664</v>
      </c>
      <c r="D992" s="9" t="s">
        <v>26</v>
      </c>
      <c r="E992" s="10">
        <v>30876</v>
      </c>
      <c r="F992" s="11">
        <f t="shared" ca="1" si="121"/>
        <v>39.438356164383563</v>
      </c>
      <c r="G992" s="11">
        <f t="shared" si="114"/>
        <v>7</v>
      </c>
      <c r="H992" s="11">
        <f t="shared" si="115"/>
        <v>13</v>
      </c>
      <c r="I992" s="10">
        <v>40735</v>
      </c>
      <c r="J992" s="9" t="s">
        <v>87</v>
      </c>
      <c r="K992" s="9" t="s">
        <v>670</v>
      </c>
      <c r="L992" s="9" t="s">
        <v>34</v>
      </c>
      <c r="M992" s="9" t="s">
        <v>491</v>
      </c>
      <c r="N992" s="11">
        <v>5.3</v>
      </c>
      <c r="O992" s="11">
        <f t="shared" ca="1" si="119"/>
        <v>12.427397260273972</v>
      </c>
      <c r="P992" s="12">
        <f t="shared" ca="1" si="120"/>
        <v>17.727397260273971</v>
      </c>
      <c r="Q992" s="12" t="s">
        <v>26</v>
      </c>
      <c r="R992" s="9" t="s">
        <v>792</v>
      </c>
      <c r="S992" s="24" t="s">
        <v>36</v>
      </c>
      <c r="T992" s="9" t="s">
        <v>492</v>
      </c>
    </row>
    <row r="993" spans="1:20" ht="35.25" customHeight="1">
      <c r="A993" s="6">
        <f t="shared" si="116"/>
        <v>992</v>
      </c>
      <c r="B993" s="17" t="s">
        <v>2665</v>
      </c>
      <c r="C993" s="8" t="s">
        <v>2666</v>
      </c>
      <c r="D993" s="9" t="s">
        <v>21</v>
      </c>
      <c r="E993" s="10">
        <v>29047</v>
      </c>
      <c r="F993" s="11">
        <f t="shared" ca="1" si="121"/>
        <v>44.449315068493149</v>
      </c>
      <c r="G993" s="11">
        <f t="shared" si="114"/>
        <v>7</v>
      </c>
      <c r="H993" s="11">
        <f t="shared" si="115"/>
        <v>11</v>
      </c>
      <c r="I993" s="10">
        <v>40746</v>
      </c>
      <c r="J993" s="9" t="s">
        <v>87</v>
      </c>
      <c r="K993" s="9" t="s">
        <v>1989</v>
      </c>
      <c r="L993" s="9" t="s">
        <v>24</v>
      </c>
      <c r="M993" s="9" t="s">
        <v>25</v>
      </c>
      <c r="N993" s="11">
        <v>5</v>
      </c>
      <c r="O993" s="11">
        <f t="shared" ca="1" si="119"/>
        <v>12.397260273972602</v>
      </c>
      <c r="P993" s="12">
        <f t="shared" ca="1" si="120"/>
        <v>17.397260273972602</v>
      </c>
      <c r="Q993" s="12" t="s">
        <v>68</v>
      </c>
      <c r="R993" s="9" t="s">
        <v>27</v>
      </c>
      <c r="S993" s="24" t="s">
        <v>28</v>
      </c>
      <c r="T993" s="9" t="s">
        <v>29</v>
      </c>
    </row>
    <row r="994" spans="1:20" ht="35.25" customHeight="1">
      <c r="A994" s="6">
        <f t="shared" si="116"/>
        <v>993</v>
      </c>
      <c r="B994" s="17" t="s">
        <v>2667</v>
      </c>
      <c r="C994" s="8" t="s">
        <v>2668</v>
      </c>
      <c r="D994" s="9" t="s">
        <v>26</v>
      </c>
      <c r="E994" s="10">
        <v>23539</v>
      </c>
      <c r="F994" s="11">
        <f t="shared" ca="1" si="121"/>
        <v>59.539726027397258</v>
      </c>
      <c r="G994" s="11">
        <f t="shared" si="114"/>
        <v>6</v>
      </c>
      <c r="H994" s="11">
        <f t="shared" si="115"/>
        <v>11</v>
      </c>
      <c r="I994" s="10">
        <v>40749</v>
      </c>
      <c r="J994" s="9" t="s">
        <v>58</v>
      </c>
      <c r="K994" s="9" t="s">
        <v>2122</v>
      </c>
      <c r="L994" s="9" t="s">
        <v>55</v>
      </c>
      <c r="M994" s="9" t="s">
        <v>35</v>
      </c>
      <c r="N994" s="11">
        <v>23</v>
      </c>
      <c r="O994" s="11">
        <f t="shared" ca="1" si="119"/>
        <v>12.389041095890411</v>
      </c>
      <c r="P994" s="12">
        <f t="shared" ca="1" si="120"/>
        <v>35.389041095890413</v>
      </c>
      <c r="Q994" s="12" t="s">
        <v>26</v>
      </c>
      <c r="R994" s="9" t="s">
        <v>27</v>
      </c>
      <c r="S994" s="24" t="s">
        <v>36</v>
      </c>
      <c r="T994" s="9" t="s">
        <v>137</v>
      </c>
    </row>
    <row r="995" spans="1:20" ht="35.25" customHeight="1">
      <c r="A995" s="6">
        <f t="shared" si="116"/>
        <v>994</v>
      </c>
      <c r="B995" s="17" t="s">
        <v>2669</v>
      </c>
      <c r="C995" s="17" t="s">
        <v>2670</v>
      </c>
      <c r="D995" s="6" t="s">
        <v>26</v>
      </c>
      <c r="E995" s="18">
        <v>32273</v>
      </c>
      <c r="F995" s="19">
        <f t="shared" ca="1" si="121"/>
        <v>35.610958904109587</v>
      </c>
      <c r="G995" s="19">
        <f t="shared" si="114"/>
        <v>5</v>
      </c>
      <c r="H995" s="19">
        <f t="shared" si="115"/>
        <v>10</v>
      </c>
      <c r="I995" s="18">
        <v>40749</v>
      </c>
      <c r="J995" s="6" t="s">
        <v>41</v>
      </c>
      <c r="K995" s="6" t="s">
        <v>863</v>
      </c>
      <c r="L995" s="6" t="s">
        <v>1603</v>
      </c>
      <c r="M995" s="6" t="s">
        <v>35</v>
      </c>
      <c r="N995" s="19">
        <v>1.4</v>
      </c>
      <c r="O995" s="19">
        <f t="shared" ca="1" si="119"/>
        <v>12.389041095890411</v>
      </c>
      <c r="P995" s="20">
        <f t="shared" ca="1" si="120"/>
        <v>13.789041095890411</v>
      </c>
      <c r="Q995" s="20" t="s">
        <v>68</v>
      </c>
      <c r="R995" s="6" t="s">
        <v>27</v>
      </c>
      <c r="S995" s="21" t="s">
        <v>36</v>
      </c>
      <c r="T995" s="6" t="s">
        <v>186</v>
      </c>
    </row>
    <row r="996" spans="1:20" ht="35.25" customHeight="1">
      <c r="A996" s="6">
        <f t="shared" si="116"/>
        <v>995</v>
      </c>
      <c r="B996" s="17" t="s">
        <v>2671</v>
      </c>
      <c r="C996" s="8" t="s">
        <v>2672</v>
      </c>
      <c r="D996" s="9" t="s">
        <v>26</v>
      </c>
      <c r="E996" s="10">
        <v>30971</v>
      </c>
      <c r="F996" s="11">
        <f t="shared" ca="1" si="121"/>
        <v>39.178082191780824</v>
      </c>
      <c r="G996" s="11">
        <f t="shared" si="114"/>
        <v>10</v>
      </c>
      <c r="H996" s="11">
        <f t="shared" si="115"/>
        <v>16</v>
      </c>
      <c r="I996" s="10">
        <v>40749</v>
      </c>
      <c r="J996" s="9" t="s">
        <v>974</v>
      </c>
      <c r="K996" s="9" t="s">
        <v>2673</v>
      </c>
      <c r="L996" s="9" t="s">
        <v>1551</v>
      </c>
      <c r="M996" s="9" t="s">
        <v>35</v>
      </c>
      <c r="N996" s="11">
        <v>1.1000000000000001</v>
      </c>
      <c r="O996" s="11">
        <f t="shared" ca="1" si="119"/>
        <v>12.389041095890411</v>
      </c>
      <c r="P996" s="12">
        <f t="shared" ca="1" si="120"/>
        <v>13.489041095890411</v>
      </c>
      <c r="Q996" s="12" t="s">
        <v>68</v>
      </c>
      <c r="R996" s="9" t="s">
        <v>27</v>
      </c>
      <c r="S996" s="24" t="s">
        <v>36</v>
      </c>
      <c r="T996" s="9" t="s">
        <v>186</v>
      </c>
    </row>
    <row r="997" spans="1:20" ht="35.25" customHeight="1">
      <c r="A997" s="6">
        <f t="shared" si="116"/>
        <v>996</v>
      </c>
      <c r="B997" s="17" t="s">
        <v>2674</v>
      </c>
      <c r="C997" s="8" t="s">
        <v>2675</v>
      </c>
      <c r="D997" s="9" t="s">
        <v>26</v>
      </c>
      <c r="E997" s="10">
        <v>26834</v>
      </c>
      <c r="F997" s="11">
        <f t="shared" ca="1" si="121"/>
        <v>50.512328767123286</v>
      </c>
      <c r="G997" s="11">
        <f t="shared" si="114"/>
        <v>6</v>
      </c>
      <c r="H997" s="11">
        <f t="shared" si="115"/>
        <v>19</v>
      </c>
      <c r="I997" s="10">
        <v>40756</v>
      </c>
      <c r="J997" s="9" t="s">
        <v>318</v>
      </c>
      <c r="K997" s="9" t="s">
        <v>2083</v>
      </c>
      <c r="L997" s="9" t="s">
        <v>60</v>
      </c>
      <c r="M997" s="9" t="s">
        <v>356</v>
      </c>
      <c r="N997" s="11">
        <v>12</v>
      </c>
      <c r="O997" s="11">
        <f t="shared" ca="1" si="119"/>
        <v>12.36986301369863</v>
      </c>
      <c r="P997" s="12">
        <f t="shared" ca="1" si="120"/>
        <v>24.36986301369863</v>
      </c>
      <c r="Q997" s="12" t="s">
        <v>26</v>
      </c>
      <c r="R997" s="9" t="s">
        <v>95</v>
      </c>
      <c r="S997" s="24" t="s">
        <v>28</v>
      </c>
      <c r="T997" s="9" t="s">
        <v>29</v>
      </c>
    </row>
    <row r="998" spans="1:20" ht="35.25" customHeight="1">
      <c r="A998" s="6">
        <f t="shared" si="116"/>
        <v>997</v>
      </c>
      <c r="B998" s="17" t="s">
        <v>2676</v>
      </c>
      <c r="C998" s="8" t="s">
        <v>2677</v>
      </c>
      <c r="D998" s="9" t="s">
        <v>26</v>
      </c>
      <c r="E998" s="10">
        <v>31930</v>
      </c>
      <c r="F998" s="11">
        <f t="shared" ca="1" si="121"/>
        <v>36.550684931506851</v>
      </c>
      <c r="G998" s="11">
        <f t="shared" si="114"/>
        <v>6</v>
      </c>
      <c r="H998" s="11">
        <f t="shared" si="115"/>
        <v>2</v>
      </c>
      <c r="I998" s="10">
        <v>40756</v>
      </c>
      <c r="J998" s="9" t="s">
        <v>87</v>
      </c>
      <c r="K998" s="9" t="s">
        <v>2117</v>
      </c>
      <c r="L998" s="9" t="s">
        <v>213</v>
      </c>
      <c r="M998" s="9" t="s">
        <v>35</v>
      </c>
      <c r="N998" s="11">
        <v>4</v>
      </c>
      <c r="O998" s="11">
        <f t="shared" ca="1" si="119"/>
        <v>12.36986301369863</v>
      </c>
      <c r="P998" s="12">
        <f t="shared" ca="1" si="120"/>
        <v>16.36986301369863</v>
      </c>
      <c r="Q998" s="12" t="s">
        <v>68</v>
      </c>
      <c r="R998" s="9" t="s">
        <v>442</v>
      </c>
      <c r="S998" s="24" t="s">
        <v>36</v>
      </c>
      <c r="T998" s="9" t="s">
        <v>72</v>
      </c>
    </row>
    <row r="999" spans="1:20" ht="35.25" customHeight="1">
      <c r="A999" s="6">
        <f t="shared" si="116"/>
        <v>998</v>
      </c>
      <c r="B999" s="17" t="s">
        <v>2678</v>
      </c>
      <c r="C999" s="8" t="s">
        <v>2679</v>
      </c>
      <c r="D999" s="9" t="s">
        <v>26</v>
      </c>
      <c r="E999" s="10">
        <v>23516</v>
      </c>
      <c r="F999" s="11">
        <f t="shared" ca="1" si="121"/>
        <v>59.602739726027394</v>
      </c>
      <c r="G999" s="11">
        <f t="shared" si="114"/>
        <v>5</v>
      </c>
      <c r="H999" s="11">
        <f t="shared" si="115"/>
        <v>19</v>
      </c>
      <c r="I999" s="10">
        <v>40756</v>
      </c>
      <c r="J999" s="9" t="s">
        <v>66</v>
      </c>
      <c r="K999" s="9" t="s">
        <v>2680</v>
      </c>
      <c r="L999" s="9" t="s">
        <v>2681</v>
      </c>
      <c r="M999" s="9" t="s">
        <v>35</v>
      </c>
      <c r="N999" s="11">
        <v>23</v>
      </c>
      <c r="O999" s="11">
        <f t="shared" ca="1" si="119"/>
        <v>12.36986301369863</v>
      </c>
      <c r="P999" s="12">
        <f t="shared" ca="1" si="120"/>
        <v>35.369863013698634</v>
      </c>
      <c r="Q999" s="12" t="s">
        <v>26</v>
      </c>
      <c r="R999" s="9" t="s">
        <v>27</v>
      </c>
      <c r="S999" s="24" t="s">
        <v>28</v>
      </c>
      <c r="T999" s="9" t="s">
        <v>29</v>
      </c>
    </row>
    <row r="1000" spans="1:20" ht="35.25" customHeight="1">
      <c r="A1000" s="6">
        <f t="shared" si="116"/>
        <v>999</v>
      </c>
      <c r="B1000" s="17" t="s">
        <v>2682</v>
      </c>
      <c r="C1000" s="8" t="s">
        <v>2683</v>
      </c>
      <c r="D1000" s="9" t="s">
        <v>26</v>
      </c>
      <c r="E1000" s="10">
        <v>28243</v>
      </c>
      <c r="F1000" s="11">
        <f t="shared" ca="1" si="121"/>
        <v>46.652054794520545</v>
      </c>
      <c r="G1000" s="11">
        <f t="shared" si="114"/>
        <v>4</v>
      </c>
      <c r="H1000" s="11">
        <f t="shared" si="115"/>
        <v>28</v>
      </c>
      <c r="I1000" s="10">
        <v>40756</v>
      </c>
      <c r="J1000" s="9" t="s">
        <v>110</v>
      </c>
      <c r="K1000" s="9" t="s">
        <v>2684</v>
      </c>
      <c r="L1000" s="9" t="s">
        <v>724</v>
      </c>
      <c r="M1000" s="9" t="s">
        <v>134</v>
      </c>
      <c r="N1000" s="11">
        <v>8.6999999999999993</v>
      </c>
      <c r="O1000" s="11">
        <f t="shared" ca="1" si="119"/>
        <v>12.36986301369863</v>
      </c>
      <c r="P1000" s="12">
        <f t="shared" ca="1" si="120"/>
        <v>21.06986301369863</v>
      </c>
      <c r="Q1000" s="12" t="s">
        <v>26</v>
      </c>
      <c r="R1000" s="9" t="s">
        <v>95</v>
      </c>
      <c r="S1000" s="24" t="s">
        <v>36</v>
      </c>
      <c r="T1000" s="9" t="s">
        <v>137</v>
      </c>
    </row>
    <row r="1001" spans="1:20" ht="35.25" customHeight="1">
      <c r="A1001" s="6">
        <f t="shared" si="116"/>
        <v>1000</v>
      </c>
      <c r="B1001" s="17" t="s">
        <v>2685</v>
      </c>
      <c r="C1001" s="8" t="s">
        <v>2686</v>
      </c>
      <c r="D1001" s="9" t="s">
        <v>26</v>
      </c>
      <c r="E1001" s="10">
        <v>25600</v>
      </c>
      <c r="F1001" s="11">
        <f t="shared" ca="1" si="121"/>
        <v>53.893150684931506</v>
      </c>
      <c r="G1001" s="11">
        <f t="shared" si="114"/>
        <v>2</v>
      </c>
      <c r="H1001" s="11">
        <f t="shared" si="115"/>
        <v>1</v>
      </c>
      <c r="I1001" s="10">
        <v>40756</v>
      </c>
      <c r="J1001" s="9" t="s">
        <v>87</v>
      </c>
      <c r="K1001" s="9" t="s">
        <v>2687</v>
      </c>
      <c r="L1001" s="9" t="s">
        <v>204</v>
      </c>
      <c r="M1001" s="9" t="s">
        <v>134</v>
      </c>
      <c r="N1001" s="11">
        <v>19</v>
      </c>
      <c r="O1001" s="11">
        <f t="shared" ca="1" si="119"/>
        <v>12.36986301369863</v>
      </c>
      <c r="P1001" s="12">
        <f t="shared" ca="1" si="120"/>
        <v>31.36986301369863</v>
      </c>
      <c r="Q1001" s="12" t="s">
        <v>26</v>
      </c>
      <c r="R1001" s="9" t="s">
        <v>27</v>
      </c>
      <c r="S1001" s="24" t="s">
        <v>36</v>
      </c>
      <c r="T1001" s="9" t="s">
        <v>137</v>
      </c>
    </row>
    <row r="1002" spans="1:20" ht="35.25" customHeight="1">
      <c r="A1002" s="6">
        <f t="shared" si="116"/>
        <v>1001</v>
      </c>
      <c r="B1002" s="17" t="s">
        <v>2688</v>
      </c>
      <c r="C1002" s="8" t="s">
        <v>2689</v>
      </c>
      <c r="D1002" s="9" t="s">
        <v>26</v>
      </c>
      <c r="E1002" s="10">
        <v>32344</v>
      </c>
      <c r="F1002" s="11">
        <f t="shared" ca="1" si="121"/>
        <v>35.416438356164385</v>
      </c>
      <c r="G1002" s="11">
        <f t="shared" si="114"/>
        <v>7</v>
      </c>
      <c r="H1002" s="11">
        <f t="shared" si="115"/>
        <v>20</v>
      </c>
      <c r="I1002" s="10">
        <v>40752</v>
      </c>
      <c r="J1002" s="9" t="s">
        <v>2460</v>
      </c>
      <c r="K1002" s="9" t="s">
        <v>2690</v>
      </c>
      <c r="L1002" s="9" t="s">
        <v>34</v>
      </c>
      <c r="M1002" s="9" t="s">
        <v>491</v>
      </c>
      <c r="N1002" s="11">
        <v>0</v>
      </c>
      <c r="O1002" s="11">
        <f t="shared" ca="1" si="119"/>
        <v>12.38082191780822</v>
      </c>
      <c r="P1002" s="12">
        <f t="shared" ca="1" si="120"/>
        <v>12.38082191780822</v>
      </c>
      <c r="Q1002" s="12" t="s">
        <v>68</v>
      </c>
      <c r="R1002" s="9" t="s">
        <v>347</v>
      </c>
      <c r="S1002" s="24" t="s">
        <v>36</v>
      </c>
      <c r="T1002" s="9" t="s">
        <v>492</v>
      </c>
    </row>
    <row r="1003" spans="1:20" ht="35.25" customHeight="1">
      <c r="A1003" s="6">
        <f t="shared" si="116"/>
        <v>1002</v>
      </c>
      <c r="B1003" s="17" t="s">
        <v>2691</v>
      </c>
      <c r="C1003" s="8" t="s">
        <v>2692</v>
      </c>
      <c r="D1003" s="9" t="s">
        <v>26</v>
      </c>
      <c r="E1003" s="10">
        <v>28764</v>
      </c>
      <c r="F1003" s="11">
        <f t="shared" ca="1" si="121"/>
        <v>45.224657534246575</v>
      </c>
      <c r="G1003" s="11">
        <f t="shared" si="114"/>
        <v>10</v>
      </c>
      <c r="H1003" s="11">
        <f t="shared" si="115"/>
        <v>1</v>
      </c>
      <c r="I1003" s="10">
        <v>40756</v>
      </c>
      <c r="J1003" s="9" t="s">
        <v>50</v>
      </c>
      <c r="K1003" s="9" t="s">
        <v>2507</v>
      </c>
      <c r="L1003" s="9" t="s">
        <v>34</v>
      </c>
      <c r="M1003" s="9" t="s">
        <v>491</v>
      </c>
      <c r="N1003" s="11">
        <v>8.1999999999999993</v>
      </c>
      <c r="O1003" s="11">
        <f t="shared" ca="1" si="119"/>
        <v>12.36986301369863</v>
      </c>
      <c r="P1003" s="12">
        <f t="shared" ca="1" si="120"/>
        <v>20.56986301369863</v>
      </c>
      <c r="Q1003" s="12" t="s">
        <v>26</v>
      </c>
      <c r="R1003" s="9" t="s">
        <v>792</v>
      </c>
      <c r="S1003" s="24" t="s">
        <v>36</v>
      </c>
      <c r="T1003" s="9" t="s">
        <v>492</v>
      </c>
    </row>
    <row r="1004" spans="1:20" ht="35.25" customHeight="1">
      <c r="A1004" s="6">
        <f t="shared" si="116"/>
        <v>1003</v>
      </c>
      <c r="B1004" s="17" t="s">
        <v>2693</v>
      </c>
      <c r="C1004" s="8" t="s">
        <v>2694</v>
      </c>
      <c r="D1004" s="9" t="s">
        <v>26</v>
      </c>
      <c r="E1004" s="10">
        <v>31823</v>
      </c>
      <c r="F1004" s="11">
        <f t="shared" ca="1" si="121"/>
        <v>36.843835616438355</v>
      </c>
      <c r="G1004" s="11">
        <f t="shared" si="114"/>
        <v>2</v>
      </c>
      <c r="H1004" s="11">
        <f t="shared" si="115"/>
        <v>15</v>
      </c>
      <c r="I1004" s="10">
        <v>40756</v>
      </c>
      <c r="J1004" s="9" t="s">
        <v>87</v>
      </c>
      <c r="K1004" s="9" t="s">
        <v>1559</v>
      </c>
      <c r="L1004" s="9" t="s">
        <v>34</v>
      </c>
      <c r="M1004" s="9" t="s">
        <v>491</v>
      </c>
      <c r="N1004" s="11">
        <v>2</v>
      </c>
      <c r="O1004" s="11">
        <f t="shared" ca="1" si="119"/>
        <v>12.36986301369863</v>
      </c>
      <c r="P1004" s="12">
        <f t="shared" ca="1" si="120"/>
        <v>14.36986301369863</v>
      </c>
      <c r="Q1004" s="12" t="s">
        <v>26</v>
      </c>
      <c r="R1004" s="9" t="s">
        <v>792</v>
      </c>
      <c r="S1004" s="24" t="s">
        <v>36</v>
      </c>
      <c r="T1004" s="9" t="s">
        <v>492</v>
      </c>
    </row>
    <row r="1005" spans="1:20" ht="35.25" customHeight="1">
      <c r="A1005" s="6">
        <f t="shared" si="116"/>
        <v>1004</v>
      </c>
      <c r="B1005" s="17" t="s">
        <v>2695</v>
      </c>
      <c r="C1005" s="8" t="s">
        <v>2696</v>
      </c>
      <c r="D1005" s="9" t="s">
        <v>26</v>
      </c>
      <c r="E1005" s="10">
        <v>23175</v>
      </c>
      <c r="F1005" s="11">
        <f t="shared" ca="1" si="121"/>
        <v>60.536986301369865</v>
      </c>
      <c r="G1005" s="11">
        <f t="shared" si="114"/>
        <v>6</v>
      </c>
      <c r="H1005" s="11">
        <f t="shared" si="115"/>
        <v>13</v>
      </c>
      <c r="I1005" s="10">
        <v>40758</v>
      </c>
      <c r="J1005" s="9" t="s">
        <v>66</v>
      </c>
      <c r="K1005" s="9" t="s">
        <v>2697</v>
      </c>
      <c r="L1005" s="9" t="s">
        <v>2698</v>
      </c>
      <c r="M1005" s="9" t="s">
        <v>35</v>
      </c>
      <c r="N1005" s="11">
        <v>30</v>
      </c>
      <c r="O1005" s="11">
        <f t="shared" ca="1" si="119"/>
        <v>12.364383561643836</v>
      </c>
      <c r="P1005" s="12">
        <f t="shared" ca="1" si="120"/>
        <v>42.364383561643834</v>
      </c>
      <c r="Q1005" s="12" t="s">
        <v>26</v>
      </c>
      <c r="R1005" s="9" t="s">
        <v>27</v>
      </c>
      <c r="S1005" s="24" t="s">
        <v>28</v>
      </c>
      <c r="T1005" s="9" t="s">
        <v>29</v>
      </c>
    </row>
    <row r="1006" spans="1:20" ht="35.25" customHeight="1">
      <c r="A1006" s="6">
        <f t="shared" si="116"/>
        <v>1005</v>
      </c>
      <c r="B1006" s="17" t="s">
        <v>2699</v>
      </c>
      <c r="C1006" s="8" t="s">
        <v>2700</v>
      </c>
      <c r="D1006" s="9" t="s">
        <v>26</v>
      </c>
      <c r="E1006" s="10">
        <v>30811</v>
      </c>
      <c r="F1006" s="11">
        <f t="shared" ca="1" si="121"/>
        <v>39.61643835616438</v>
      </c>
      <c r="G1006" s="11">
        <f t="shared" si="114"/>
        <v>5</v>
      </c>
      <c r="H1006" s="11">
        <f t="shared" si="115"/>
        <v>9</v>
      </c>
      <c r="I1006" s="10">
        <v>40758</v>
      </c>
      <c r="J1006" s="9" t="s">
        <v>87</v>
      </c>
      <c r="K1006" s="9" t="s">
        <v>998</v>
      </c>
      <c r="L1006" s="9" t="s">
        <v>724</v>
      </c>
      <c r="M1006" s="9" t="s">
        <v>134</v>
      </c>
      <c r="N1006" s="11">
        <v>7</v>
      </c>
      <c r="O1006" s="11">
        <f t="shared" ca="1" si="119"/>
        <v>12.364383561643836</v>
      </c>
      <c r="P1006" s="12">
        <f t="shared" ca="1" si="120"/>
        <v>19.364383561643834</v>
      </c>
      <c r="Q1006" s="12" t="s">
        <v>68</v>
      </c>
      <c r="R1006" s="9" t="s">
        <v>27</v>
      </c>
      <c r="S1006" s="24" t="s">
        <v>36</v>
      </c>
      <c r="T1006" s="9" t="s">
        <v>137</v>
      </c>
    </row>
    <row r="1007" spans="1:20" ht="35.25" customHeight="1">
      <c r="A1007" s="6">
        <f t="shared" si="116"/>
        <v>1006</v>
      </c>
      <c r="B1007" s="17" t="s">
        <v>2701</v>
      </c>
      <c r="C1007" s="8" t="s">
        <v>2702</v>
      </c>
      <c r="D1007" s="9" t="s">
        <v>26</v>
      </c>
      <c r="E1007" s="10">
        <v>27162</v>
      </c>
      <c r="F1007" s="11">
        <f t="shared" ca="1" si="121"/>
        <v>49.613698630136987</v>
      </c>
      <c r="G1007" s="11">
        <f t="shared" si="114"/>
        <v>5</v>
      </c>
      <c r="H1007" s="11">
        <f t="shared" si="115"/>
        <v>13</v>
      </c>
      <c r="I1007" s="10">
        <v>40760</v>
      </c>
      <c r="J1007" s="9" t="s">
        <v>110</v>
      </c>
      <c r="K1007" s="9" t="s">
        <v>2703</v>
      </c>
      <c r="L1007" s="9" t="s">
        <v>213</v>
      </c>
      <c r="M1007" s="9" t="s">
        <v>35</v>
      </c>
      <c r="N1007" s="11">
        <v>17</v>
      </c>
      <c r="O1007" s="11">
        <f t="shared" ca="1" si="119"/>
        <v>12.358904109589041</v>
      </c>
      <c r="P1007" s="12">
        <f t="shared" ca="1" si="120"/>
        <v>29.358904109589041</v>
      </c>
      <c r="Q1007" s="12" t="s">
        <v>26</v>
      </c>
      <c r="R1007" s="9" t="s">
        <v>95</v>
      </c>
      <c r="S1007" s="24" t="s">
        <v>28</v>
      </c>
      <c r="T1007" s="9" t="s">
        <v>29</v>
      </c>
    </row>
    <row r="1008" spans="1:20" ht="35.25" customHeight="1">
      <c r="A1008" s="6">
        <f t="shared" si="116"/>
        <v>1007</v>
      </c>
      <c r="B1008" s="17" t="s">
        <v>2704</v>
      </c>
      <c r="C1008" s="8" t="s">
        <v>2705</v>
      </c>
      <c r="D1008" s="9" t="s">
        <v>26</v>
      </c>
      <c r="E1008" s="10">
        <v>33061</v>
      </c>
      <c r="F1008" s="11">
        <f t="shared" ca="1" si="121"/>
        <v>33.452054794520549</v>
      </c>
      <c r="G1008" s="11">
        <f t="shared" si="114"/>
        <v>7</v>
      </c>
      <c r="H1008" s="11">
        <f t="shared" si="115"/>
        <v>7</v>
      </c>
      <c r="I1008" s="10">
        <v>40756</v>
      </c>
      <c r="J1008" s="9" t="s">
        <v>2460</v>
      </c>
      <c r="K1008" s="9" t="s">
        <v>2706</v>
      </c>
      <c r="L1008" s="9" t="s">
        <v>34</v>
      </c>
      <c r="M1008" s="9" t="s">
        <v>61</v>
      </c>
      <c r="N1008" s="11">
        <v>0</v>
      </c>
      <c r="O1008" s="11">
        <f t="shared" ca="1" si="119"/>
        <v>12.36986301369863</v>
      </c>
      <c r="P1008" s="12">
        <f t="shared" ca="1" si="120"/>
        <v>12.36986301369863</v>
      </c>
      <c r="Q1008" s="12" t="s">
        <v>68</v>
      </c>
      <c r="R1008" s="9" t="s">
        <v>27</v>
      </c>
      <c r="S1008" s="24" t="s">
        <v>36</v>
      </c>
      <c r="T1008" s="9" t="s">
        <v>72</v>
      </c>
    </row>
    <row r="1009" spans="1:20" ht="35.25" customHeight="1">
      <c r="A1009" s="6">
        <f t="shared" si="116"/>
        <v>1008</v>
      </c>
      <c r="B1009" s="17" t="s">
        <v>2707</v>
      </c>
      <c r="C1009" s="8" t="s">
        <v>2708</v>
      </c>
      <c r="D1009" s="9" t="s">
        <v>26</v>
      </c>
      <c r="E1009" s="10">
        <v>33000</v>
      </c>
      <c r="F1009" s="11">
        <f t="shared" ca="1" si="121"/>
        <v>33.61917808219178</v>
      </c>
      <c r="G1009" s="11">
        <f t="shared" si="114"/>
        <v>5</v>
      </c>
      <c r="H1009" s="11">
        <f t="shared" si="115"/>
        <v>7</v>
      </c>
      <c r="I1009" s="10">
        <v>40756</v>
      </c>
      <c r="J1009" s="9" t="s">
        <v>2460</v>
      </c>
      <c r="K1009" s="9" t="s">
        <v>2706</v>
      </c>
      <c r="L1009" s="9" t="s">
        <v>34</v>
      </c>
      <c r="M1009" s="9" t="s">
        <v>61</v>
      </c>
      <c r="N1009" s="11">
        <v>0</v>
      </c>
      <c r="O1009" s="11">
        <f t="shared" ca="1" si="119"/>
        <v>12.36986301369863</v>
      </c>
      <c r="P1009" s="12">
        <f t="shared" ca="1" si="120"/>
        <v>12.36986301369863</v>
      </c>
      <c r="Q1009" s="12" t="s">
        <v>68</v>
      </c>
      <c r="R1009" s="9" t="s">
        <v>27</v>
      </c>
      <c r="S1009" s="24" t="s">
        <v>36</v>
      </c>
      <c r="T1009" s="9" t="s">
        <v>72</v>
      </c>
    </row>
    <row r="1010" spans="1:20" ht="35.25" customHeight="1">
      <c r="A1010" s="6">
        <f t="shared" si="116"/>
        <v>1009</v>
      </c>
      <c r="B1010" s="17" t="s">
        <v>2709</v>
      </c>
      <c r="C1010" s="8" t="s">
        <v>2710</v>
      </c>
      <c r="D1010" s="9" t="s">
        <v>26</v>
      </c>
      <c r="E1010" s="10">
        <v>25708</v>
      </c>
      <c r="F1010" s="11">
        <f t="shared" ca="1" si="121"/>
        <v>53.597260273972601</v>
      </c>
      <c r="G1010" s="11">
        <f t="shared" si="114"/>
        <v>5</v>
      </c>
      <c r="H1010" s="11">
        <f t="shared" si="115"/>
        <v>20</v>
      </c>
      <c r="I1010" s="10">
        <v>40758</v>
      </c>
      <c r="J1010" s="9" t="s">
        <v>110</v>
      </c>
      <c r="K1010" s="9" t="s">
        <v>275</v>
      </c>
      <c r="L1010" s="9" t="s">
        <v>231</v>
      </c>
      <c r="M1010" s="9" t="s">
        <v>61</v>
      </c>
      <c r="N1010" s="11">
        <v>8</v>
      </c>
      <c r="O1010" s="11">
        <f t="shared" ca="1" si="119"/>
        <v>12.364383561643836</v>
      </c>
      <c r="P1010" s="12">
        <f t="shared" ca="1" si="120"/>
        <v>20.364383561643834</v>
      </c>
      <c r="Q1010" s="12" t="s">
        <v>26</v>
      </c>
      <c r="R1010" s="9" t="s">
        <v>27</v>
      </c>
      <c r="S1010" s="24" t="s">
        <v>28</v>
      </c>
      <c r="T1010" s="9" t="s">
        <v>114</v>
      </c>
    </row>
    <row r="1011" spans="1:20" ht="35.25" customHeight="1">
      <c r="A1011" s="6">
        <f t="shared" si="116"/>
        <v>1010</v>
      </c>
      <c r="B1011" s="17" t="s">
        <v>2711</v>
      </c>
      <c r="C1011" s="8" t="s">
        <v>2190</v>
      </c>
      <c r="D1011" s="9" t="s">
        <v>26</v>
      </c>
      <c r="E1011" s="10">
        <v>29740</v>
      </c>
      <c r="F1011" s="11">
        <f t="shared" ca="1" si="121"/>
        <v>42.550684931506851</v>
      </c>
      <c r="G1011" s="11">
        <f t="shared" si="114"/>
        <v>6</v>
      </c>
      <c r="H1011" s="11">
        <f t="shared" si="115"/>
        <v>3</v>
      </c>
      <c r="I1011" s="10">
        <v>40763</v>
      </c>
      <c r="J1011" s="9" t="s">
        <v>22</v>
      </c>
      <c r="K1011" s="9" t="s">
        <v>2712</v>
      </c>
      <c r="L1011" s="9" t="s">
        <v>652</v>
      </c>
      <c r="M1011" s="9" t="s">
        <v>35</v>
      </c>
      <c r="N1011" s="11">
        <v>11</v>
      </c>
      <c r="O1011" s="11">
        <f t="shared" ca="1" si="119"/>
        <v>12.35068493150685</v>
      </c>
      <c r="P1011" s="12">
        <f t="shared" ca="1" si="120"/>
        <v>23.350684931506848</v>
      </c>
      <c r="Q1011" s="12" t="s">
        <v>26</v>
      </c>
      <c r="R1011" s="9" t="s">
        <v>27</v>
      </c>
      <c r="S1011" s="24" t="s">
        <v>28</v>
      </c>
      <c r="T1011" s="9" t="s">
        <v>29</v>
      </c>
    </row>
    <row r="1012" spans="1:20" ht="35.25" customHeight="1">
      <c r="A1012" s="6">
        <f t="shared" si="116"/>
        <v>1011</v>
      </c>
      <c r="B1012" s="17" t="s">
        <v>2713</v>
      </c>
      <c r="C1012" s="8" t="s">
        <v>2714</v>
      </c>
      <c r="D1012" s="9" t="s">
        <v>26</v>
      </c>
      <c r="E1012" s="10">
        <v>31883</v>
      </c>
      <c r="F1012" s="11">
        <f t="shared" ca="1" si="121"/>
        <v>36.679452054794524</v>
      </c>
      <c r="G1012" s="11">
        <f t="shared" si="114"/>
        <v>4</v>
      </c>
      <c r="H1012" s="11">
        <f t="shared" si="115"/>
        <v>16</v>
      </c>
      <c r="I1012" s="10">
        <v>40763</v>
      </c>
      <c r="J1012" s="9" t="s">
        <v>974</v>
      </c>
      <c r="K1012" s="9" t="s">
        <v>2593</v>
      </c>
      <c r="L1012" s="9" t="s">
        <v>34</v>
      </c>
      <c r="M1012" s="9" t="s">
        <v>35</v>
      </c>
      <c r="N1012" s="11">
        <v>2</v>
      </c>
      <c r="O1012" s="11">
        <f t="shared" ca="1" si="119"/>
        <v>12.35068493150685</v>
      </c>
      <c r="P1012" s="12">
        <f t="shared" ca="1" si="120"/>
        <v>14.35068493150685</v>
      </c>
      <c r="Q1012" s="12" t="s">
        <v>68</v>
      </c>
      <c r="R1012" s="9" t="s">
        <v>27</v>
      </c>
      <c r="S1012" s="24" t="s">
        <v>36</v>
      </c>
      <c r="T1012" s="9" t="s">
        <v>1639</v>
      </c>
    </row>
    <row r="1013" spans="1:20" ht="35.25" customHeight="1">
      <c r="A1013" s="6">
        <f t="shared" si="116"/>
        <v>1012</v>
      </c>
      <c r="B1013" s="17" t="s">
        <v>2715</v>
      </c>
      <c r="C1013" s="8" t="s">
        <v>2716</v>
      </c>
      <c r="D1013" s="9" t="s">
        <v>26</v>
      </c>
      <c r="E1013" s="10">
        <v>30426</v>
      </c>
      <c r="F1013" s="11">
        <f t="shared" ca="1" si="121"/>
        <v>40.671232876712331</v>
      </c>
      <c r="G1013" s="11">
        <f t="shared" si="114"/>
        <v>4</v>
      </c>
      <c r="H1013" s="11">
        <f t="shared" si="115"/>
        <v>20</v>
      </c>
      <c r="I1013" s="10">
        <v>40764</v>
      </c>
      <c r="J1013" s="9" t="s">
        <v>50</v>
      </c>
      <c r="K1013" s="9" t="s">
        <v>2717</v>
      </c>
      <c r="L1013" s="9" t="s">
        <v>724</v>
      </c>
      <c r="M1013" s="9" t="s">
        <v>134</v>
      </c>
      <c r="N1013" s="53">
        <v>6.1</v>
      </c>
      <c r="O1013" s="11">
        <f t="shared" ref="O1013:O1044" ca="1" si="122">(TODAY()-I1013)/365</f>
        <v>12.347945205479451</v>
      </c>
      <c r="P1013" s="12">
        <f t="shared" ca="1" si="120"/>
        <v>18.447945205479449</v>
      </c>
      <c r="Q1013" s="12" t="s">
        <v>68</v>
      </c>
      <c r="R1013" s="9" t="s">
        <v>27</v>
      </c>
      <c r="S1013" s="24" t="s">
        <v>36</v>
      </c>
      <c r="T1013" s="9" t="s">
        <v>137</v>
      </c>
    </row>
    <row r="1014" spans="1:20" ht="35.25" customHeight="1">
      <c r="A1014" s="6">
        <f t="shared" si="116"/>
        <v>1013</v>
      </c>
      <c r="B1014" s="17" t="s">
        <v>2718</v>
      </c>
      <c r="C1014" s="8" t="s">
        <v>2719</v>
      </c>
      <c r="D1014" s="9" t="s">
        <v>26</v>
      </c>
      <c r="E1014" s="10">
        <v>32726</v>
      </c>
      <c r="F1014" s="11">
        <f t="shared" ca="1" si="121"/>
        <v>34.369863013698627</v>
      </c>
      <c r="G1014" s="11">
        <f t="shared" si="114"/>
        <v>8</v>
      </c>
      <c r="H1014" s="11">
        <f t="shared" si="115"/>
        <v>6</v>
      </c>
      <c r="I1014" s="10">
        <v>40764</v>
      </c>
      <c r="J1014" s="9" t="s">
        <v>2460</v>
      </c>
      <c r="K1014" s="9" t="s">
        <v>2720</v>
      </c>
      <c r="L1014" s="9" t="s">
        <v>329</v>
      </c>
      <c r="M1014" s="9" t="s">
        <v>134</v>
      </c>
      <c r="N1014" s="11">
        <v>0</v>
      </c>
      <c r="O1014" s="11">
        <f t="shared" ca="1" si="122"/>
        <v>12.347945205479451</v>
      </c>
      <c r="P1014" s="12">
        <f t="shared" ca="1" si="120"/>
        <v>12.347945205479451</v>
      </c>
      <c r="Q1014" s="12" t="s">
        <v>68</v>
      </c>
      <c r="R1014" s="9" t="s">
        <v>27</v>
      </c>
      <c r="S1014" s="24" t="s">
        <v>28</v>
      </c>
      <c r="T1014" s="9" t="s">
        <v>29</v>
      </c>
    </row>
    <row r="1015" spans="1:20" ht="35.25" customHeight="1">
      <c r="A1015" s="6">
        <f t="shared" si="116"/>
        <v>1014</v>
      </c>
      <c r="B1015" s="17" t="s">
        <v>2721</v>
      </c>
      <c r="C1015" s="8" t="s">
        <v>2722</v>
      </c>
      <c r="D1015" s="9" t="s">
        <v>26</v>
      </c>
      <c r="E1015" s="10">
        <v>32147</v>
      </c>
      <c r="F1015" s="11">
        <f t="shared" ca="1" si="121"/>
        <v>35.956164383561642</v>
      </c>
      <c r="G1015" s="11">
        <f t="shared" si="114"/>
        <v>1</v>
      </c>
      <c r="H1015" s="11">
        <f t="shared" si="115"/>
        <v>5</v>
      </c>
      <c r="I1015" s="10">
        <v>40763</v>
      </c>
      <c r="J1015" s="9" t="s">
        <v>87</v>
      </c>
      <c r="K1015" s="9" t="s">
        <v>1559</v>
      </c>
      <c r="L1015" s="9" t="s">
        <v>34</v>
      </c>
      <c r="M1015" s="9" t="s">
        <v>491</v>
      </c>
      <c r="N1015" s="11">
        <v>3.7</v>
      </c>
      <c r="O1015" s="11">
        <f t="shared" ca="1" si="122"/>
        <v>12.35068493150685</v>
      </c>
      <c r="P1015" s="12">
        <f t="shared" ca="1" si="120"/>
        <v>16.050684931506851</v>
      </c>
      <c r="Q1015" s="12" t="s">
        <v>68</v>
      </c>
      <c r="R1015" s="9" t="s">
        <v>347</v>
      </c>
      <c r="S1015" s="24" t="s">
        <v>36</v>
      </c>
      <c r="T1015" s="9" t="s">
        <v>492</v>
      </c>
    </row>
    <row r="1016" spans="1:20" ht="35.25" customHeight="1">
      <c r="A1016" s="6">
        <f t="shared" si="116"/>
        <v>1015</v>
      </c>
      <c r="B1016" s="17" t="s">
        <v>2723</v>
      </c>
      <c r="C1016" s="8" t="s">
        <v>2724</v>
      </c>
      <c r="D1016" s="9" t="s">
        <v>26</v>
      </c>
      <c r="E1016" s="10">
        <v>30388</v>
      </c>
      <c r="F1016" s="11">
        <f t="shared" ca="1" si="121"/>
        <v>40.775342465753425</v>
      </c>
      <c r="G1016" s="11">
        <f t="shared" si="114"/>
        <v>3</v>
      </c>
      <c r="H1016" s="11">
        <f t="shared" si="115"/>
        <v>13</v>
      </c>
      <c r="I1016" s="10">
        <v>40765</v>
      </c>
      <c r="J1016" s="9" t="s">
        <v>1055</v>
      </c>
      <c r="K1016" s="9" t="s">
        <v>2499</v>
      </c>
      <c r="L1016" s="9" t="s">
        <v>393</v>
      </c>
      <c r="M1016" s="9" t="s">
        <v>61</v>
      </c>
      <c r="N1016" s="11">
        <v>5</v>
      </c>
      <c r="O1016" s="11">
        <f t="shared" ca="1" si="122"/>
        <v>12.345205479452055</v>
      </c>
      <c r="P1016" s="12">
        <f t="shared" ca="1" si="120"/>
        <v>17.345205479452055</v>
      </c>
      <c r="Q1016" s="12" t="s">
        <v>26</v>
      </c>
      <c r="R1016" s="9" t="s">
        <v>27</v>
      </c>
      <c r="S1016" s="24" t="s">
        <v>36</v>
      </c>
      <c r="T1016" s="9" t="s">
        <v>72</v>
      </c>
    </row>
    <row r="1017" spans="1:20" ht="35.25" customHeight="1">
      <c r="A1017" s="6">
        <f t="shared" si="116"/>
        <v>1016</v>
      </c>
      <c r="B1017" s="17" t="s">
        <v>2725</v>
      </c>
      <c r="C1017" s="8" t="s">
        <v>2726</v>
      </c>
      <c r="D1017" s="9" t="s">
        <v>26</v>
      </c>
      <c r="E1017" s="10">
        <v>32379</v>
      </c>
      <c r="F1017" s="11">
        <f t="shared" ca="1" si="121"/>
        <v>35.320547945205476</v>
      </c>
      <c r="G1017" s="11">
        <f t="shared" si="114"/>
        <v>8</v>
      </c>
      <c r="H1017" s="11">
        <f t="shared" si="115"/>
        <v>24</v>
      </c>
      <c r="I1017" s="10">
        <v>40766</v>
      </c>
      <c r="J1017" s="9" t="s">
        <v>226</v>
      </c>
      <c r="K1017" s="9" t="s">
        <v>1152</v>
      </c>
      <c r="L1017" s="9" t="s">
        <v>34</v>
      </c>
      <c r="M1017" s="9" t="s">
        <v>61</v>
      </c>
      <c r="N1017" s="11">
        <v>1</v>
      </c>
      <c r="O1017" s="11">
        <f t="shared" ca="1" si="122"/>
        <v>12.342465753424657</v>
      </c>
      <c r="P1017" s="12">
        <f t="shared" ca="1" si="120"/>
        <v>13.342465753424657</v>
      </c>
      <c r="Q1017" s="12" t="s">
        <v>68</v>
      </c>
      <c r="R1017" s="9" t="s">
        <v>27</v>
      </c>
      <c r="S1017" s="24" t="s">
        <v>36</v>
      </c>
      <c r="T1017" s="9" t="s">
        <v>72</v>
      </c>
    </row>
    <row r="1018" spans="1:20" ht="35.25" customHeight="1">
      <c r="A1018" s="6">
        <f t="shared" si="116"/>
        <v>1017</v>
      </c>
      <c r="B1018" s="17" t="s">
        <v>2727</v>
      </c>
      <c r="C1018" s="8" t="s">
        <v>2728</v>
      </c>
      <c r="D1018" s="9" t="s">
        <v>21</v>
      </c>
      <c r="E1018" s="10">
        <v>31681</v>
      </c>
      <c r="F1018" s="11">
        <f t="shared" ca="1" si="121"/>
        <v>37.232876712328768</v>
      </c>
      <c r="G1018" s="11">
        <f t="shared" si="114"/>
        <v>9</v>
      </c>
      <c r="H1018" s="11">
        <f t="shared" si="115"/>
        <v>26</v>
      </c>
      <c r="I1018" s="10">
        <v>40767</v>
      </c>
      <c r="J1018" s="9" t="s">
        <v>87</v>
      </c>
      <c r="K1018" s="9" t="s">
        <v>2729</v>
      </c>
      <c r="L1018" s="9" t="s">
        <v>34</v>
      </c>
      <c r="M1018" s="9" t="s">
        <v>156</v>
      </c>
      <c r="N1018" s="11">
        <v>7.7</v>
      </c>
      <c r="O1018" s="11">
        <f t="shared" ca="1" si="122"/>
        <v>12.33972602739726</v>
      </c>
      <c r="P1018" s="12">
        <f t="shared" ca="1" si="120"/>
        <v>20.039726027397261</v>
      </c>
      <c r="Q1018" s="12" t="s">
        <v>68</v>
      </c>
      <c r="R1018" s="9" t="s">
        <v>27</v>
      </c>
      <c r="S1018" s="24" t="s">
        <v>28</v>
      </c>
      <c r="T1018" s="9" t="s">
        <v>29</v>
      </c>
    </row>
    <row r="1019" spans="1:20" ht="35.25" customHeight="1">
      <c r="A1019" s="6">
        <f t="shared" si="116"/>
        <v>1018</v>
      </c>
      <c r="B1019" s="17" t="s">
        <v>2730</v>
      </c>
      <c r="C1019" s="8" t="s">
        <v>2731</v>
      </c>
      <c r="D1019" s="9" t="s">
        <v>26</v>
      </c>
      <c r="E1019" s="10">
        <v>31539</v>
      </c>
      <c r="F1019" s="11">
        <f t="shared" ca="1" si="121"/>
        <v>37.62191780821918</v>
      </c>
      <c r="G1019" s="11">
        <f t="shared" si="114"/>
        <v>5</v>
      </c>
      <c r="H1019" s="11">
        <f t="shared" si="115"/>
        <v>7</v>
      </c>
      <c r="I1019" s="10">
        <v>40771</v>
      </c>
      <c r="J1019" s="9" t="s">
        <v>110</v>
      </c>
      <c r="K1019" s="9" t="s">
        <v>278</v>
      </c>
      <c r="L1019" s="9" t="s">
        <v>34</v>
      </c>
      <c r="M1019" s="9" t="s">
        <v>61</v>
      </c>
      <c r="N1019" s="11">
        <v>4.5999999999999996</v>
      </c>
      <c r="O1019" s="11">
        <f t="shared" ca="1" si="122"/>
        <v>12.328767123287671</v>
      </c>
      <c r="P1019" s="12">
        <f t="shared" ca="1" si="120"/>
        <v>16.92876712328767</v>
      </c>
      <c r="Q1019" s="12" t="s">
        <v>68</v>
      </c>
      <c r="R1019" s="9" t="s">
        <v>27</v>
      </c>
      <c r="S1019" s="24" t="s">
        <v>36</v>
      </c>
      <c r="T1019" s="9" t="s">
        <v>72</v>
      </c>
    </row>
    <row r="1020" spans="1:20" ht="35.25" customHeight="1">
      <c r="A1020" s="6">
        <f t="shared" si="116"/>
        <v>1019</v>
      </c>
      <c r="B1020" s="17" t="s">
        <v>2732</v>
      </c>
      <c r="C1020" s="8" t="s">
        <v>2733</v>
      </c>
      <c r="D1020" s="9" t="s">
        <v>26</v>
      </c>
      <c r="E1020" s="10">
        <v>24668</v>
      </c>
      <c r="F1020" s="11">
        <f t="shared" ca="1" si="121"/>
        <v>56.446575342465756</v>
      </c>
      <c r="G1020" s="11">
        <f t="shared" si="114"/>
        <v>7</v>
      </c>
      <c r="H1020" s="11">
        <f t="shared" si="115"/>
        <v>15</v>
      </c>
      <c r="I1020" s="10">
        <v>40772</v>
      </c>
      <c r="J1020" s="9" t="s">
        <v>318</v>
      </c>
      <c r="K1020" s="9" t="s">
        <v>319</v>
      </c>
      <c r="L1020" s="9" t="s">
        <v>128</v>
      </c>
      <c r="M1020" s="9" t="s">
        <v>35</v>
      </c>
      <c r="N1020" s="11">
        <v>17</v>
      </c>
      <c r="O1020" s="11">
        <f t="shared" ca="1" si="122"/>
        <v>12.326027397260274</v>
      </c>
      <c r="P1020" s="12">
        <f t="shared" ca="1" si="120"/>
        <v>29.326027397260276</v>
      </c>
      <c r="Q1020" s="12" t="s">
        <v>26</v>
      </c>
      <c r="R1020" s="9" t="s">
        <v>27</v>
      </c>
      <c r="S1020" s="24" t="s">
        <v>28</v>
      </c>
      <c r="T1020" s="9" t="s">
        <v>29</v>
      </c>
    </row>
    <row r="1021" spans="1:20" ht="35.25" customHeight="1">
      <c r="A1021" s="6">
        <f t="shared" si="116"/>
        <v>1020</v>
      </c>
      <c r="B1021" s="17" t="s">
        <v>2734</v>
      </c>
      <c r="C1021" s="8" t="s">
        <v>2735</v>
      </c>
      <c r="D1021" s="9" t="s">
        <v>26</v>
      </c>
      <c r="E1021" s="10">
        <v>29548</v>
      </c>
      <c r="F1021" s="11">
        <f t="shared" ca="1" si="121"/>
        <v>43.076712328767123</v>
      </c>
      <c r="G1021" s="11">
        <f t="shared" si="114"/>
        <v>11</v>
      </c>
      <c r="H1021" s="11">
        <f t="shared" si="115"/>
        <v>23</v>
      </c>
      <c r="I1021" s="10">
        <v>40773</v>
      </c>
      <c r="J1021" s="9" t="s">
        <v>45</v>
      </c>
      <c r="K1021" s="9" t="s">
        <v>2736</v>
      </c>
      <c r="L1021" s="9" t="s">
        <v>213</v>
      </c>
      <c r="M1021" s="9" t="s">
        <v>35</v>
      </c>
      <c r="N1021" s="11">
        <v>4</v>
      </c>
      <c r="O1021" s="11">
        <f t="shared" ca="1" si="122"/>
        <v>12.323287671232876</v>
      </c>
      <c r="P1021" s="12">
        <f t="shared" ca="1" si="120"/>
        <v>16.323287671232876</v>
      </c>
      <c r="Q1021" s="12" t="s">
        <v>26</v>
      </c>
      <c r="R1021" s="9" t="s">
        <v>27</v>
      </c>
      <c r="S1021" s="24" t="s">
        <v>28</v>
      </c>
      <c r="T1021" s="9" t="s">
        <v>29</v>
      </c>
    </row>
    <row r="1022" spans="1:20" ht="35.25" customHeight="1">
      <c r="A1022" s="6">
        <f t="shared" si="116"/>
        <v>1021</v>
      </c>
      <c r="B1022" s="17" t="s">
        <v>2737</v>
      </c>
      <c r="C1022" s="8" t="s">
        <v>2738</v>
      </c>
      <c r="D1022" s="9" t="s">
        <v>26</v>
      </c>
      <c r="E1022" s="10">
        <v>31728</v>
      </c>
      <c r="F1022" s="11">
        <f t="shared" ca="1" si="121"/>
        <v>37.104109589041094</v>
      </c>
      <c r="G1022" s="11">
        <f t="shared" si="114"/>
        <v>11</v>
      </c>
      <c r="H1022" s="11">
        <f t="shared" si="115"/>
        <v>12</v>
      </c>
      <c r="I1022" s="10">
        <v>40773</v>
      </c>
      <c r="J1022" s="9" t="s">
        <v>41</v>
      </c>
      <c r="K1022" s="9" t="s">
        <v>863</v>
      </c>
      <c r="L1022" s="9" t="s">
        <v>1603</v>
      </c>
      <c r="M1022" s="9" t="s">
        <v>35</v>
      </c>
      <c r="N1022" s="11">
        <v>3.5</v>
      </c>
      <c r="O1022" s="11">
        <f t="shared" ca="1" si="122"/>
        <v>12.323287671232876</v>
      </c>
      <c r="P1022" s="12">
        <f t="shared" ca="1" si="120"/>
        <v>15.823287671232876</v>
      </c>
      <c r="Q1022" s="12" t="s">
        <v>68</v>
      </c>
      <c r="R1022" s="9" t="s">
        <v>27</v>
      </c>
      <c r="S1022" s="24" t="s">
        <v>36</v>
      </c>
      <c r="T1022" s="9" t="s">
        <v>1639</v>
      </c>
    </row>
    <row r="1023" spans="1:20" ht="35.25" customHeight="1">
      <c r="A1023" s="6">
        <f t="shared" si="116"/>
        <v>1022</v>
      </c>
      <c r="B1023" s="17" t="s">
        <v>2739</v>
      </c>
      <c r="C1023" s="8" t="s">
        <v>2740</v>
      </c>
      <c r="D1023" s="9" t="s">
        <v>26</v>
      </c>
      <c r="E1023" s="10">
        <v>26086</v>
      </c>
      <c r="F1023" s="11">
        <f t="shared" ca="1" si="121"/>
        <v>52.561643835616437</v>
      </c>
      <c r="G1023" s="11">
        <f t="shared" si="114"/>
        <v>6</v>
      </c>
      <c r="H1023" s="11">
        <f t="shared" si="115"/>
        <v>2</v>
      </c>
      <c r="I1023" s="10">
        <v>40773</v>
      </c>
      <c r="J1023" s="9" t="s">
        <v>32</v>
      </c>
      <c r="K1023" s="9" t="s">
        <v>2439</v>
      </c>
      <c r="L1023" s="9" t="s">
        <v>34</v>
      </c>
      <c r="M1023" s="9" t="s">
        <v>35</v>
      </c>
      <c r="N1023" s="11">
        <v>20</v>
      </c>
      <c r="O1023" s="11">
        <f t="shared" ca="1" si="122"/>
        <v>12.323287671232876</v>
      </c>
      <c r="P1023" s="12">
        <f t="shared" ca="1" si="120"/>
        <v>32.323287671232876</v>
      </c>
      <c r="Q1023" s="12" t="s">
        <v>26</v>
      </c>
      <c r="R1023" s="9" t="s">
        <v>27</v>
      </c>
      <c r="S1023" s="24" t="s">
        <v>36</v>
      </c>
      <c r="T1023" s="9" t="s">
        <v>37</v>
      </c>
    </row>
    <row r="1024" spans="1:20" ht="35.25" customHeight="1">
      <c r="A1024" s="6">
        <f t="shared" si="116"/>
        <v>1023</v>
      </c>
      <c r="B1024" s="54" t="s">
        <v>2741</v>
      </c>
      <c r="C1024" s="54" t="s">
        <v>2742</v>
      </c>
      <c r="D1024" s="55" t="s">
        <v>26</v>
      </c>
      <c r="E1024" s="56">
        <v>24578</v>
      </c>
      <c r="F1024" s="57">
        <f t="shared" ca="1" si="121"/>
        <v>56.69315068493151</v>
      </c>
      <c r="G1024" s="57">
        <f t="shared" ref="G1024:G1027" si="123">MONTH(E1024)</f>
        <v>4</v>
      </c>
      <c r="H1024" s="57">
        <f t="shared" ref="H1024:H1027" si="124">DAY(E1024)</f>
        <v>16</v>
      </c>
      <c r="I1024" s="56">
        <v>40773</v>
      </c>
      <c r="J1024" s="55" t="s">
        <v>66</v>
      </c>
      <c r="K1024" s="55" t="s">
        <v>489</v>
      </c>
      <c r="L1024" s="55" t="s">
        <v>34</v>
      </c>
      <c r="M1024" s="55" t="s">
        <v>35</v>
      </c>
      <c r="N1024" s="57">
        <v>24</v>
      </c>
      <c r="O1024" s="57">
        <f t="shared" ca="1" si="122"/>
        <v>12.323287671232876</v>
      </c>
      <c r="P1024" s="58">
        <f t="shared" ca="1" si="120"/>
        <v>36.323287671232876</v>
      </c>
      <c r="Q1024" s="58" t="s">
        <v>26</v>
      </c>
      <c r="R1024" s="55" t="s">
        <v>27</v>
      </c>
      <c r="S1024" s="59" t="s">
        <v>36</v>
      </c>
      <c r="T1024" s="55" t="s">
        <v>279</v>
      </c>
    </row>
    <row r="1025" spans="1:20" ht="35.25" customHeight="1">
      <c r="A1025" s="6">
        <f t="shared" si="116"/>
        <v>1024</v>
      </c>
      <c r="B1025" s="17" t="s">
        <v>2743</v>
      </c>
      <c r="C1025" s="8" t="s">
        <v>2744</v>
      </c>
      <c r="D1025" s="9" t="s">
        <v>26</v>
      </c>
      <c r="E1025" s="10">
        <v>29163</v>
      </c>
      <c r="F1025" s="11">
        <f t="shared" ca="1" si="121"/>
        <v>44.131506849315066</v>
      </c>
      <c r="G1025" s="11">
        <f t="shared" si="123"/>
        <v>11</v>
      </c>
      <c r="H1025" s="11">
        <f t="shared" si="124"/>
        <v>4</v>
      </c>
      <c r="I1025" s="10">
        <v>40775</v>
      </c>
      <c r="J1025" s="9" t="s">
        <v>318</v>
      </c>
      <c r="K1025" s="9" t="s">
        <v>2745</v>
      </c>
      <c r="L1025" s="9" t="s">
        <v>393</v>
      </c>
      <c r="M1025" s="9" t="s">
        <v>61</v>
      </c>
      <c r="N1025" s="11">
        <v>16</v>
      </c>
      <c r="O1025" s="11">
        <f t="shared" ca="1" si="122"/>
        <v>12.317808219178081</v>
      </c>
      <c r="P1025" s="12">
        <f t="shared" ca="1" si="120"/>
        <v>28.317808219178083</v>
      </c>
      <c r="Q1025" s="12" t="s">
        <v>26</v>
      </c>
      <c r="R1025" s="9" t="s">
        <v>27</v>
      </c>
      <c r="S1025" s="24" t="s">
        <v>28</v>
      </c>
      <c r="T1025" s="9" t="s">
        <v>29</v>
      </c>
    </row>
    <row r="1026" spans="1:20" ht="35.25" customHeight="1">
      <c r="A1026" s="6">
        <f t="shared" si="116"/>
        <v>1025</v>
      </c>
      <c r="B1026" s="17" t="s">
        <v>2746</v>
      </c>
      <c r="C1026" s="8" t="s">
        <v>2747</v>
      </c>
      <c r="D1026" s="9" t="s">
        <v>26</v>
      </c>
      <c r="E1026" s="10">
        <v>27702</v>
      </c>
      <c r="F1026" s="11">
        <f t="shared" ca="1" si="121"/>
        <v>48.134246575342466</v>
      </c>
      <c r="G1026" s="11">
        <f t="shared" si="123"/>
        <v>11</v>
      </c>
      <c r="H1026" s="11">
        <f t="shared" si="124"/>
        <v>4</v>
      </c>
      <c r="I1026" s="10">
        <v>40777</v>
      </c>
      <c r="J1026" s="9" t="s">
        <v>22</v>
      </c>
      <c r="K1026" s="9" t="s">
        <v>230</v>
      </c>
      <c r="L1026" s="9" t="s">
        <v>231</v>
      </c>
      <c r="M1026" s="9" t="s">
        <v>156</v>
      </c>
      <c r="N1026" s="11">
        <v>14</v>
      </c>
      <c r="O1026" s="11">
        <f t="shared" ca="1" si="122"/>
        <v>12.312328767123288</v>
      </c>
      <c r="P1026" s="12">
        <f t="shared" ca="1" si="120"/>
        <v>26.31232876712329</v>
      </c>
      <c r="Q1026" s="12" t="s">
        <v>68</v>
      </c>
      <c r="R1026" s="9" t="s">
        <v>27</v>
      </c>
      <c r="S1026" s="24" t="s">
        <v>28</v>
      </c>
      <c r="T1026" s="9" t="s">
        <v>186</v>
      </c>
    </row>
    <row r="1027" spans="1:20" ht="35.25" customHeight="1">
      <c r="A1027" s="6">
        <f t="shared" si="116"/>
        <v>1026</v>
      </c>
      <c r="B1027" s="17" t="s">
        <v>2748</v>
      </c>
      <c r="C1027" s="8" t="s">
        <v>2749</v>
      </c>
      <c r="D1027" s="9" t="s">
        <v>26</v>
      </c>
      <c r="E1027" s="10">
        <v>27971</v>
      </c>
      <c r="F1027" s="11">
        <f t="shared" ca="1" si="121"/>
        <v>47.397260273972606</v>
      </c>
      <c r="G1027" s="11">
        <f t="shared" si="123"/>
        <v>7</v>
      </c>
      <c r="H1027" s="11">
        <f t="shared" si="124"/>
        <v>30</v>
      </c>
      <c r="I1027" s="10">
        <v>40777</v>
      </c>
      <c r="J1027" s="9" t="s">
        <v>58</v>
      </c>
      <c r="K1027" s="9" t="s">
        <v>79</v>
      </c>
      <c r="L1027" s="9" t="s">
        <v>34</v>
      </c>
      <c r="M1027" s="9" t="s">
        <v>35</v>
      </c>
      <c r="N1027" s="11">
        <v>11.4</v>
      </c>
      <c r="O1027" s="11">
        <f t="shared" ca="1" si="122"/>
        <v>12.312328767123288</v>
      </c>
      <c r="P1027" s="12">
        <f t="shared" ca="1" si="120"/>
        <v>23.712328767123289</v>
      </c>
      <c r="Q1027" s="12" t="s">
        <v>26</v>
      </c>
      <c r="R1027" s="9" t="s">
        <v>27</v>
      </c>
      <c r="S1027" s="24" t="s">
        <v>36</v>
      </c>
      <c r="T1027" s="9" t="s">
        <v>279</v>
      </c>
    </row>
    <row r="1028" spans="1:20" ht="35.25" customHeight="1">
      <c r="A1028" s="6">
        <f t="shared" ref="A1028:A1091" si="125">+A1027+1</f>
        <v>1027</v>
      </c>
      <c r="B1028" s="17" t="s">
        <v>2750</v>
      </c>
      <c r="C1028" s="8" t="s">
        <v>2751</v>
      </c>
      <c r="D1028" s="9" t="s">
        <v>26</v>
      </c>
      <c r="E1028" s="10">
        <v>30026</v>
      </c>
      <c r="F1028" s="11">
        <f t="shared" ca="1" si="121"/>
        <v>41.767123287671232</v>
      </c>
      <c r="G1028" s="11">
        <f>MONTH(E1028)</f>
        <v>3</v>
      </c>
      <c r="H1028" s="11">
        <f>DAY(E1028)</f>
        <v>16</v>
      </c>
      <c r="I1028" s="10">
        <v>40777</v>
      </c>
      <c r="J1028" s="9" t="s">
        <v>87</v>
      </c>
      <c r="K1028" s="9" t="s">
        <v>1486</v>
      </c>
      <c r="L1028" s="9" t="s">
        <v>290</v>
      </c>
      <c r="M1028" s="9" t="s">
        <v>35</v>
      </c>
      <c r="N1028" s="11">
        <v>5</v>
      </c>
      <c r="O1028" s="11">
        <f t="shared" ca="1" si="122"/>
        <v>12.312328767123288</v>
      </c>
      <c r="P1028" s="12">
        <f t="shared" ca="1" si="120"/>
        <v>17.31232876712329</v>
      </c>
      <c r="Q1028" s="12" t="s">
        <v>26</v>
      </c>
      <c r="R1028" s="9" t="s">
        <v>27</v>
      </c>
      <c r="S1028" s="24" t="s">
        <v>36</v>
      </c>
      <c r="T1028" s="9" t="s">
        <v>72</v>
      </c>
    </row>
    <row r="1029" spans="1:20" ht="35.25" customHeight="1">
      <c r="A1029" s="6">
        <f t="shared" si="125"/>
        <v>1028</v>
      </c>
      <c r="B1029" s="17" t="s">
        <v>2752</v>
      </c>
      <c r="C1029" s="8" t="s">
        <v>2753</v>
      </c>
      <c r="D1029" s="9" t="s">
        <v>26</v>
      </c>
      <c r="E1029" s="10">
        <v>30477</v>
      </c>
      <c r="F1029" s="11">
        <f t="shared" ca="1" si="121"/>
        <v>40.531506849315072</v>
      </c>
      <c r="G1029" s="11">
        <f>MONTH(E1029)</f>
        <v>6</v>
      </c>
      <c r="H1029" s="11">
        <f>DAY(E1029)</f>
        <v>10</v>
      </c>
      <c r="I1029" s="10">
        <v>40777</v>
      </c>
      <c r="J1029" s="9" t="s">
        <v>87</v>
      </c>
      <c r="K1029" s="9" t="s">
        <v>1226</v>
      </c>
      <c r="L1029" s="9" t="s">
        <v>34</v>
      </c>
      <c r="M1029" s="9" t="s">
        <v>35</v>
      </c>
      <c r="N1029" s="11">
        <v>7.3</v>
      </c>
      <c r="O1029" s="11">
        <f t="shared" ca="1" si="122"/>
        <v>12.312328767123288</v>
      </c>
      <c r="P1029" s="12">
        <f t="shared" ca="1" si="120"/>
        <v>19.612328767123287</v>
      </c>
      <c r="Q1029" s="12" t="s">
        <v>68</v>
      </c>
      <c r="R1029" s="9" t="s">
        <v>27</v>
      </c>
      <c r="S1029" s="24" t="s">
        <v>36</v>
      </c>
      <c r="T1029" s="9" t="s">
        <v>1644</v>
      </c>
    </row>
    <row r="1030" spans="1:20" ht="35.25" customHeight="1">
      <c r="A1030" s="6">
        <f t="shared" si="125"/>
        <v>1029</v>
      </c>
      <c r="B1030" s="17" t="s">
        <v>2754</v>
      </c>
      <c r="C1030" s="8" t="s">
        <v>2755</v>
      </c>
      <c r="D1030" s="9" t="s">
        <v>26</v>
      </c>
      <c r="E1030" s="10">
        <v>31566</v>
      </c>
      <c r="F1030" s="11">
        <f t="shared" ca="1" si="121"/>
        <v>37.547945205479451</v>
      </c>
      <c r="G1030" s="11">
        <f>MONTH(E1030)</f>
        <v>6</v>
      </c>
      <c r="H1030" s="11">
        <f>DAY(E1030)</f>
        <v>3</v>
      </c>
      <c r="I1030" s="10">
        <v>40777</v>
      </c>
      <c r="J1030" s="9" t="s">
        <v>87</v>
      </c>
      <c r="K1030" s="9" t="s">
        <v>412</v>
      </c>
      <c r="L1030" s="9" t="s">
        <v>1603</v>
      </c>
      <c r="M1030" s="9" t="s">
        <v>35</v>
      </c>
      <c r="N1030" s="11">
        <v>5</v>
      </c>
      <c r="O1030" s="11">
        <f t="shared" ca="1" si="122"/>
        <v>12.312328767123288</v>
      </c>
      <c r="P1030" s="12">
        <f t="shared" ca="1" si="120"/>
        <v>17.31232876712329</v>
      </c>
      <c r="Q1030" s="12" t="s">
        <v>68</v>
      </c>
      <c r="R1030" s="9" t="s">
        <v>627</v>
      </c>
      <c r="S1030" s="24" t="s">
        <v>36</v>
      </c>
      <c r="T1030" s="9" t="s">
        <v>1644</v>
      </c>
    </row>
    <row r="1031" spans="1:20" ht="35.25" customHeight="1">
      <c r="A1031" s="6">
        <f t="shared" si="125"/>
        <v>1030</v>
      </c>
      <c r="B1031" s="17" t="s">
        <v>2756</v>
      </c>
      <c r="C1031" s="8" t="s">
        <v>2757</v>
      </c>
      <c r="D1031" s="9" t="s">
        <v>21</v>
      </c>
      <c r="E1031" s="10">
        <v>31915</v>
      </c>
      <c r="F1031" s="11">
        <f t="shared" ca="1" si="121"/>
        <v>36.591780821917808</v>
      </c>
      <c r="G1031" s="11">
        <f>MONTH(E1031)</f>
        <v>5</v>
      </c>
      <c r="H1031" s="11">
        <f>DAY(E1031)</f>
        <v>18</v>
      </c>
      <c r="I1031" s="10">
        <v>40779</v>
      </c>
      <c r="J1031" s="9" t="s">
        <v>87</v>
      </c>
      <c r="K1031" s="9" t="s">
        <v>635</v>
      </c>
      <c r="L1031" s="9" t="s">
        <v>34</v>
      </c>
      <c r="M1031" s="9" t="s">
        <v>61</v>
      </c>
      <c r="N1031" s="11">
        <v>6.1</v>
      </c>
      <c r="O1031" s="11">
        <f t="shared" ca="1" si="122"/>
        <v>12.306849315068494</v>
      </c>
      <c r="P1031" s="12">
        <f t="shared" ca="1" si="120"/>
        <v>18.406849315068492</v>
      </c>
      <c r="Q1031" s="12" t="s">
        <v>68</v>
      </c>
      <c r="R1031" s="9" t="s">
        <v>27</v>
      </c>
      <c r="S1031" s="24" t="s">
        <v>28</v>
      </c>
      <c r="T1031" s="9" t="s">
        <v>29</v>
      </c>
    </row>
    <row r="1032" spans="1:20" ht="35.25" customHeight="1">
      <c r="A1032" s="6">
        <f t="shared" si="125"/>
        <v>1031</v>
      </c>
      <c r="B1032" s="17" t="s">
        <v>2758</v>
      </c>
      <c r="C1032" s="8" t="s">
        <v>2759</v>
      </c>
      <c r="D1032" s="9" t="s">
        <v>26</v>
      </c>
      <c r="E1032" s="10">
        <v>30135</v>
      </c>
      <c r="F1032" s="11">
        <f t="shared" ca="1" si="121"/>
        <v>41.468493150684928</v>
      </c>
      <c r="G1032" s="11">
        <f t="shared" ref="G1032:G1095" si="126">MONTH(E1032)</f>
        <v>7</v>
      </c>
      <c r="H1032" s="11">
        <f t="shared" ref="H1032:H1095" si="127">DAY(E1032)</f>
        <v>3</v>
      </c>
      <c r="I1032" s="10">
        <v>40779</v>
      </c>
      <c r="J1032" s="9" t="s">
        <v>87</v>
      </c>
      <c r="K1032" s="9" t="s">
        <v>2430</v>
      </c>
      <c r="L1032" s="9" t="s">
        <v>2760</v>
      </c>
      <c r="M1032" s="9" t="s">
        <v>35</v>
      </c>
      <c r="N1032" s="53">
        <v>5.0999999999999996</v>
      </c>
      <c r="O1032" s="11">
        <f t="shared" ca="1" si="122"/>
        <v>12.306849315068494</v>
      </c>
      <c r="P1032" s="12">
        <f t="shared" ca="1" si="120"/>
        <v>17.406849315068492</v>
      </c>
      <c r="Q1032" s="12" t="s">
        <v>68</v>
      </c>
      <c r="R1032" s="9" t="s">
        <v>27</v>
      </c>
      <c r="S1032" s="24" t="s">
        <v>36</v>
      </c>
      <c r="T1032" s="9" t="s">
        <v>37</v>
      </c>
    </row>
    <row r="1033" spans="1:20" ht="35.25" customHeight="1">
      <c r="A1033" s="6">
        <f t="shared" si="125"/>
        <v>1032</v>
      </c>
      <c r="B1033" s="17" t="s">
        <v>2761</v>
      </c>
      <c r="C1033" s="8" t="s">
        <v>2762</v>
      </c>
      <c r="D1033" s="9" t="s">
        <v>26</v>
      </c>
      <c r="E1033" s="10">
        <v>31202</v>
      </c>
      <c r="F1033" s="11">
        <f t="shared" ca="1" si="121"/>
        <v>38.545205479452058</v>
      </c>
      <c r="G1033" s="11">
        <f t="shared" si="126"/>
        <v>6</v>
      </c>
      <c r="H1033" s="11">
        <f t="shared" si="127"/>
        <v>4</v>
      </c>
      <c r="I1033" s="10">
        <v>40779</v>
      </c>
      <c r="J1033" s="9" t="s">
        <v>87</v>
      </c>
      <c r="K1033" s="9" t="s">
        <v>1226</v>
      </c>
      <c r="L1033" s="9" t="s">
        <v>34</v>
      </c>
      <c r="M1033" s="9" t="s">
        <v>35</v>
      </c>
      <c r="N1033" s="11">
        <v>7</v>
      </c>
      <c r="O1033" s="11">
        <f t="shared" ca="1" si="122"/>
        <v>12.306849315068494</v>
      </c>
      <c r="P1033" s="12">
        <f t="shared" ca="1" si="120"/>
        <v>19.306849315068494</v>
      </c>
      <c r="Q1033" s="12" t="s">
        <v>68</v>
      </c>
      <c r="R1033" s="9" t="s">
        <v>27</v>
      </c>
      <c r="S1033" s="24" t="s">
        <v>36</v>
      </c>
      <c r="T1033" s="9" t="s">
        <v>90</v>
      </c>
    </row>
    <row r="1034" spans="1:20" ht="35.25" customHeight="1">
      <c r="A1034" s="6">
        <f t="shared" si="125"/>
        <v>1033</v>
      </c>
      <c r="B1034" s="17" t="s">
        <v>2763</v>
      </c>
      <c r="C1034" s="8" t="s">
        <v>2764</v>
      </c>
      <c r="D1034" s="9" t="s">
        <v>26</v>
      </c>
      <c r="E1034" s="10">
        <v>29213</v>
      </c>
      <c r="F1034" s="11">
        <f t="shared" ca="1" si="121"/>
        <v>43.994520547945207</v>
      </c>
      <c r="G1034" s="11">
        <f t="shared" si="126"/>
        <v>12</v>
      </c>
      <c r="H1034" s="11">
        <f t="shared" si="127"/>
        <v>24</v>
      </c>
      <c r="I1034" s="10">
        <v>40779</v>
      </c>
      <c r="J1034" s="9" t="s">
        <v>22</v>
      </c>
      <c r="K1034" s="9" t="s">
        <v>2765</v>
      </c>
      <c r="L1034" s="9" t="s">
        <v>1480</v>
      </c>
      <c r="M1034" s="9" t="s">
        <v>35</v>
      </c>
      <c r="N1034" s="11">
        <v>12</v>
      </c>
      <c r="O1034" s="11">
        <f t="shared" ca="1" si="122"/>
        <v>12.306849315068494</v>
      </c>
      <c r="P1034" s="12">
        <f t="shared" ca="1" si="120"/>
        <v>24.306849315068494</v>
      </c>
      <c r="Q1034" s="12" t="s">
        <v>68</v>
      </c>
      <c r="R1034" s="9" t="s">
        <v>27</v>
      </c>
      <c r="S1034" s="24" t="s">
        <v>28</v>
      </c>
      <c r="T1034" s="9" t="s">
        <v>29</v>
      </c>
    </row>
    <row r="1035" spans="1:20" ht="35.25" customHeight="1">
      <c r="A1035" s="6">
        <f t="shared" si="125"/>
        <v>1034</v>
      </c>
      <c r="B1035" s="17" t="s">
        <v>2766</v>
      </c>
      <c r="C1035" s="8" t="s">
        <v>2767</v>
      </c>
      <c r="D1035" s="9" t="s">
        <v>26</v>
      </c>
      <c r="E1035" s="10">
        <v>29587</v>
      </c>
      <c r="F1035" s="11">
        <f t="shared" ca="1" si="121"/>
        <v>42.969863013698628</v>
      </c>
      <c r="G1035" s="11">
        <f t="shared" si="126"/>
        <v>1</v>
      </c>
      <c r="H1035" s="11">
        <f t="shared" si="127"/>
        <v>1</v>
      </c>
      <c r="I1035" s="10">
        <v>40779</v>
      </c>
      <c r="J1035" s="9" t="s">
        <v>110</v>
      </c>
      <c r="K1035" s="9" t="s">
        <v>523</v>
      </c>
      <c r="L1035" s="9" t="s">
        <v>34</v>
      </c>
      <c r="M1035" s="9" t="s">
        <v>491</v>
      </c>
      <c r="N1035" s="11">
        <v>10.4</v>
      </c>
      <c r="O1035" s="11">
        <f t="shared" ca="1" si="122"/>
        <v>12.306849315068494</v>
      </c>
      <c r="P1035" s="12">
        <f t="shared" ca="1" si="120"/>
        <v>22.706849315068496</v>
      </c>
      <c r="Q1035" s="12" t="s">
        <v>68</v>
      </c>
      <c r="R1035" s="9" t="s">
        <v>347</v>
      </c>
      <c r="S1035" s="24" t="s">
        <v>36</v>
      </c>
      <c r="T1035" s="9" t="s">
        <v>492</v>
      </c>
    </row>
    <row r="1036" spans="1:20" ht="35.25" customHeight="1">
      <c r="A1036" s="6">
        <f t="shared" si="125"/>
        <v>1035</v>
      </c>
      <c r="B1036" s="17" t="s">
        <v>2768</v>
      </c>
      <c r="C1036" s="17" t="s">
        <v>2769</v>
      </c>
      <c r="D1036" s="6" t="s">
        <v>26</v>
      </c>
      <c r="E1036" s="18">
        <v>28696</v>
      </c>
      <c r="F1036" s="19">
        <f t="shared" ca="1" si="121"/>
        <v>45.410958904109592</v>
      </c>
      <c r="G1036" s="19">
        <f t="shared" si="126"/>
        <v>7</v>
      </c>
      <c r="H1036" s="19">
        <f t="shared" si="127"/>
        <v>25</v>
      </c>
      <c r="I1036" s="18">
        <v>40780</v>
      </c>
      <c r="J1036" s="6" t="s">
        <v>226</v>
      </c>
      <c r="K1036" s="6" t="s">
        <v>710</v>
      </c>
      <c r="L1036" s="6" t="s">
        <v>389</v>
      </c>
      <c r="M1036" s="6" t="s">
        <v>205</v>
      </c>
      <c r="N1036" s="19">
        <v>9.6999999999999993</v>
      </c>
      <c r="O1036" s="19">
        <f t="shared" ca="1" si="122"/>
        <v>12.304109589041095</v>
      </c>
      <c r="P1036" s="20">
        <f t="shared" ca="1" si="120"/>
        <v>22.004109589041093</v>
      </c>
      <c r="Q1036" s="20" t="s">
        <v>68</v>
      </c>
      <c r="R1036" s="6" t="s">
        <v>27</v>
      </c>
      <c r="S1036" s="21" t="s">
        <v>36</v>
      </c>
      <c r="T1036" s="6" t="s">
        <v>137</v>
      </c>
    </row>
    <row r="1037" spans="1:20" ht="35.25" customHeight="1">
      <c r="A1037" s="6">
        <f t="shared" si="125"/>
        <v>1036</v>
      </c>
      <c r="B1037" s="60" t="s">
        <v>2770</v>
      </c>
      <c r="C1037" s="8" t="s">
        <v>2771</v>
      </c>
      <c r="D1037" s="9" t="s">
        <v>26</v>
      </c>
      <c r="E1037" s="10">
        <v>32166</v>
      </c>
      <c r="F1037" s="11">
        <f t="shared" ca="1" si="121"/>
        <v>35.904109589041099</v>
      </c>
      <c r="G1037" s="11">
        <f t="shared" si="126"/>
        <v>1</v>
      </c>
      <c r="H1037" s="11">
        <f t="shared" si="127"/>
        <v>24</v>
      </c>
      <c r="I1037" s="10">
        <v>40780</v>
      </c>
      <c r="J1037" s="9" t="s">
        <v>87</v>
      </c>
      <c r="K1037" s="9" t="s">
        <v>998</v>
      </c>
      <c r="L1037" s="9" t="s">
        <v>724</v>
      </c>
      <c r="M1037" s="9" t="s">
        <v>134</v>
      </c>
      <c r="N1037" s="11">
        <v>6.3</v>
      </c>
      <c r="O1037" s="11">
        <f t="shared" ca="1" si="122"/>
        <v>12.304109589041095</v>
      </c>
      <c r="P1037" s="12">
        <f t="shared" ca="1" si="120"/>
        <v>18.604109589041094</v>
      </c>
      <c r="Q1037" s="12" t="s">
        <v>68</v>
      </c>
      <c r="R1037" s="9" t="s">
        <v>27</v>
      </c>
      <c r="S1037" s="24" t="s">
        <v>36</v>
      </c>
      <c r="T1037" s="9" t="s">
        <v>137</v>
      </c>
    </row>
    <row r="1038" spans="1:20" ht="35.25" customHeight="1">
      <c r="A1038" s="6">
        <f t="shared" si="125"/>
        <v>1037</v>
      </c>
      <c r="B1038" s="17" t="s">
        <v>2772</v>
      </c>
      <c r="C1038" s="8" t="s">
        <v>2773</v>
      </c>
      <c r="D1038" s="9" t="s">
        <v>26</v>
      </c>
      <c r="E1038" s="10">
        <v>30797</v>
      </c>
      <c r="F1038" s="11">
        <f t="shared" ca="1" si="121"/>
        <v>39.654794520547945</v>
      </c>
      <c r="G1038" s="11">
        <f t="shared" si="126"/>
        <v>4</v>
      </c>
      <c r="H1038" s="11">
        <f t="shared" si="127"/>
        <v>25</v>
      </c>
      <c r="I1038" s="10">
        <v>40788</v>
      </c>
      <c r="J1038" s="9" t="s">
        <v>22</v>
      </c>
      <c r="K1038" s="9" t="s">
        <v>2393</v>
      </c>
      <c r="L1038" s="9" t="s">
        <v>389</v>
      </c>
      <c r="M1038" s="9" t="s">
        <v>205</v>
      </c>
      <c r="N1038" s="11">
        <v>9</v>
      </c>
      <c r="O1038" s="11">
        <f t="shared" ca="1" si="122"/>
        <v>12.282191780821918</v>
      </c>
      <c r="P1038" s="12">
        <f t="shared" ca="1" si="120"/>
        <v>21.282191780821918</v>
      </c>
      <c r="Q1038" s="12" t="s">
        <v>26</v>
      </c>
      <c r="R1038" s="9" t="s">
        <v>27</v>
      </c>
      <c r="S1038" s="24" t="s">
        <v>28</v>
      </c>
      <c r="T1038" s="24" t="s">
        <v>29</v>
      </c>
    </row>
    <row r="1039" spans="1:20" ht="35.25" customHeight="1">
      <c r="A1039" s="6">
        <f t="shared" si="125"/>
        <v>1038</v>
      </c>
      <c r="B1039" s="17" t="s">
        <v>2774</v>
      </c>
      <c r="C1039" s="8" t="s">
        <v>2775</v>
      </c>
      <c r="D1039" s="9" t="s">
        <v>26</v>
      </c>
      <c r="E1039" s="10">
        <v>26345</v>
      </c>
      <c r="F1039" s="11">
        <f t="shared" ca="1" si="121"/>
        <v>51.852054794520548</v>
      </c>
      <c r="G1039" s="11">
        <f t="shared" si="126"/>
        <v>2</v>
      </c>
      <c r="H1039" s="11">
        <f t="shared" si="127"/>
        <v>16</v>
      </c>
      <c r="I1039" s="10">
        <v>40788</v>
      </c>
      <c r="J1039" s="9" t="s">
        <v>318</v>
      </c>
      <c r="K1039" s="9" t="s">
        <v>931</v>
      </c>
      <c r="L1039" s="9" t="s">
        <v>34</v>
      </c>
      <c r="M1039" s="9" t="s">
        <v>61</v>
      </c>
      <c r="N1039" s="11">
        <v>15</v>
      </c>
      <c r="O1039" s="11">
        <f t="shared" ca="1" si="122"/>
        <v>12.282191780821918</v>
      </c>
      <c r="P1039" s="12">
        <f t="shared" ca="1" si="120"/>
        <v>27.282191780821918</v>
      </c>
      <c r="Q1039" s="12" t="s">
        <v>26</v>
      </c>
      <c r="R1039" s="9" t="s">
        <v>95</v>
      </c>
      <c r="S1039" s="24" t="s">
        <v>36</v>
      </c>
      <c r="T1039" s="9" t="s">
        <v>72</v>
      </c>
    </row>
    <row r="1040" spans="1:20" ht="35.25" customHeight="1">
      <c r="A1040" s="6">
        <f t="shared" si="125"/>
        <v>1039</v>
      </c>
      <c r="B1040" s="17" t="s">
        <v>2776</v>
      </c>
      <c r="C1040" s="8" t="s">
        <v>2777</v>
      </c>
      <c r="D1040" s="9" t="s">
        <v>26</v>
      </c>
      <c r="E1040" s="10">
        <v>32015</v>
      </c>
      <c r="F1040" s="11">
        <f t="shared" ca="1" si="121"/>
        <v>36.317808219178083</v>
      </c>
      <c r="G1040" s="11">
        <f t="shared" si="126"/>
        <v>8</v>
      </c>
      <c r="H1040" s="11">
        <f t="shared" si="127"/>
        <v>26</v>
      </c>
      <c r="I1040" s="10">
        <v>40788</v>
      </c>
      <c r="J1040" s="9" t="s">
        <v>87</v>
      </c>
      <c r="K1040" s="9" t="s">
        <v>2447</v>
      </c>
      <c r="L1040" s="9" t="s">
        <v>393</v>
      </c>
      <c r="M1040" s="9" t="s">
        <v>61</v>
      </c>
      <c r="N1040" s="11">
        <v>0</v>
      </c>
      <c r="O1040" s="11">
        <f t="shared" ca="1" si="122"/>
        <v>12.282191780821918</v>
      </c>
      <c r="P1040" s="12">
        <f t="shared" ca="1" si="120"/>
        <v>12.282191780821918</v>
      </c>
      <c r="Q1040" s="12" t="s">
        <v>68</v>
      </c>
      <c r="R1040" s="9" t="s">
        <v>442</v>
      </c>
      <c r="S1040" s="24" t="s">
        <v>36</v>
      </c>
      <c r="T1040" s="9" t="s">
        <v>892</v>
      </c>
    </row>
    <row r="1041" spans="1:20" ht="35.25" customHeight="1">
      <c r="A1041" s="6">
        <f t="shared" si="125"/>
        <v>1040</v>
      </c>
      <c r="B1041" s="17" t="s">
        <v>2778</v>
      </c>
      <c r="C1041" s="8" t="s">
        <v>2779</v>
      </c>
      <c r="D1041" s="9" t="s">
        <v>26</v>
      </c>
      <c r="E1041" s="10">
        <v>24405</v>
      </c>
      <c r="F1041" s="11">
        <f t="shared" ca="1" si="121"/>
        <v>57.167123287671231</v>
      </c>
      <c r="G1041" s="11">
        <f t="shared" si="126"/>
        <v>10</v>
      </c>
      <c r="H1041" s="11">
        <f t="shared" si="127"/>
        <v>25</v>
      </c>
      <c r="I1041" s="10">
        <v>40791</v>
      </c>
      <c r="J1041" s="9" t="s">
        <v>22</v>
      </c>
      <c r="K1041" s="9" t="s">
        <v>2780</v>
      </c>
      <c r="L1041" s="9" t="s">
        <v>389</v>
      </c>
      <c r="M1041" s="9" t="s">
        <v>205</v>
      </c>
      <c r="N1041" s="11">
        <v>21</v>
      </c>
      <c r="O1041" s="11">
        <f t="shared" ca="1" si="122"/>
        <v>12.273972602739725</v>
      </c>
      <c r="P1041" s="12">
        <f t="shared" ca="1" si="120"/>
        <v>33.273972602739725</v>
      </c>
      <c r="Q1041" s="12" t="s">
        <v>26</v>
      </c>
      <c r="R1041" s="9" t="s">
        <v>95</v>
      </c>
      <c r="S1041" s="24" t="s">
        <v>36</v>
      </c>
      <c r="T1041" s="9" t="s">
        <v>137</v>
      </c>
    </row>
    <row r="1042" spans="1:20" ht="35.25" customHeight="1">
      <c r="A1042" s="6">
        <f t="shared" si="125"/>
        <v>1041</v>
      </c>
      <c r="B1042" s="17" t="s">
        <v>2781</v>
      </c>
      <c r="C1042" s="8" t="s">
        <v>2782</v>
      </c>
      <c r="D1042" s="9" t="s">
        <v>26</v>
      </c>
      <c r="E1042" s="10">
        <v>28445</v>
      </c>
      <c r="F1042" s="11">
        <f t="shared" ca="1" si="121"/>
        <v>46.098630136986301</v>
      </c>
      <c r="G1042" s="11">
        <f t="shared" si="126"/>
        <v>11</v>
      </c>
      <c r="H1042" s="11">
        <f t="shared" si="127"/>
        <v>16</v>
      </c>
      <c r="I1042" s="10">
        <v>40791</v>
      </c>
      <c r="J1042" s="9" t="s">
        <v>50</v>
      </c>
      <c r="K1042" s="9" t="s">
        <v>2783</v>
      </c>
      <c r="L1042" s="9" t="s">
        <v>1480</v>
      </c>
      <c r="M1042" s="9" t="s">
        <v>35</v>
      </c>
      <c r="N1042" s="11">
        <v>10.6</v>
      </c>
      <c r="O1042" s="11">
        <f t="shared" ca="1" si="122"/>
        <v>12.273972602739725</v>
      </c>
      <c r="P1042" s="12">
        <f t="shared" ca="1" si="120"/>
        <v>22.873972602739727</v>
      </c>
      <c r="Q1042" s="12" t="s">
        <v>26</v>
      </c>
      <c r="R1042" s="9" t="s">
        <v>27</v>
      </c>
      <c r="S1042" s="24" t="s">
        <v>36</v>
      </c>
      <c r="T1042" s="24" t="s">
        <v>186</v>
      </c>
    </row>
    <row r="1043" spans="1:20" ht="35.25" customHeight="1">
      <c r="A1043" s="6">
        <f t="shared" si="125"/>
        <v>1042</v>
      </c>
      <c r="B1043" s="17" t="s">
        <v>2784</v>
      </c>
      <c r="C1043" s="8" t="s">
        <v>2285</v>
      </c>
      <c r="D1043" s="9" t="s">
        <v>26</v>
      </c>
      <c r="E1043" s="10">
        <v>31954</v>
      </c>
      <c r="F1043" s="11">
        <f t="shared" ca="1" si="121"/>
        <v>36.484931506849314</v>
      </c>
      <c r="G1043" s="11">
        <f t="shared" si="126"/>
        <v>6</v>
      </c>
      <c r="H1043" s="11">
        <f t="shared" si="127"/>
        <v>26</v>
      </c>
      <c r="I1043" s="10">
        <v>40791</v>
      </c>
      <c r="J1043" s="9" t="s">
        <v>45</v>
      </c>
      <c r="K1043" s="9" t="s">
        <v>2785</v>
      </c>
      <c r="L1043" s="9" t="s">
        <v>1002</v>
      </c>
      <c r="M1043" s="9" t="s">
        <v>35</v>
      </c>
      <c r="N1043" s="11">
        <v>7</v>
      </c>
      <c r="O1043" s="11">
        <f t="shared" ca="1" si="122"/>
        <v>12.273972602739725</v>
      </c>
      <c r="P1043" s="12">
        <f t="shared" ca="1" si="120"/>
        <v>19.273972602739725</v>
      </c>
      <c r="Q1043" s="12" t="s">
        <v>68</v>
      </c>
      <c r="R1043" s="9" t="s">
        <v>27</v>
      </c>
      <c r="S1043" s="24" t="s">
        <v>28</v>
      </c>
      <c r="T1043" s="9" t="s">
        <v>29</v>
      </c>
    </row>
    <row r="1044" spans="1:20" ht="35.25" customHeight="1">
      <c r="A1044" s="6">
        <f t="shared" si="125"/>
        <v>1043</v>
      </c>
      <c r="B1044" s="17" t="s">
        <v>2786</v>
      </c>
      <c r="C1044" s="8" t="s">
        <v>2787</v>
      </c>
      <c r="D1044" s="9" t="s">
        <v>26</v>
      </c>
      <c r="E1044" s="10">
        <v>31243</v>
      </c>
      <c r="F1044" s="11">
        <f t="shared" ca="1" si="121"/>
        <v>38.43287671232877</v>
      </c>
      <c r="G1044" s="11">
        <f t="shared" si="126"/>
        <v>7</v>
      </c>
      <c r="H1044" s="11">
        <f t="shared" si="127"/>
        <v>15</v>
      </c>
      <c r="I1044" s="10">
        <v>40791</v>
      </c>
      <c r="J1044" s="9" t="s">
        <v>87</v>
      </c>
      <c r="K1044" s="9" t="s">
        <v>2527</v>
      </c>
      <c r="L1044" s="9" t="s">
        <v>34</v>
      </c>
      <c r="M1044" s="9" t="s">
        <v>35</v>
      </c>
      <c r="N1044" s="11">
        <v>7.3</v>
      </c>
      <c r="O1044" s="11">
        <f t="shared" ca="1" si="122"/>
        <v>12.273972602739725</v>
      </c>
      <c r="P1044" s="12">
        <f t="shared" ca="1" si="120"/>
        <v>19.573972602739726</v>
      </c>
      <c r="Q1044" s="12" t="s">
        <v>68</v>
      </c>
      <c r="R1044" s="9" t="s">
        <v>27</v>
      </c>
      <c r="S1044" s="24" t="s">
        <v>36</v>
      </c>
      <c r="T1044" s="9" t="s">
        <v>1644</v>
      </c>
    </row>
    <row r="1045" spans="1:20" ht="35.25" customHeight="1">
      <c r="A1045" s="6">
        <f t="shared" si="125"/>
        <v>1044</v>
      </c>
      <c r="B1045" s="17" t="s">
        <v>2788</v>
      </c>
      <c r="C1045" s="8" t="s">
        <v>2789</v>
      </c>
      <c r="D1045" s="9" t="s">
        <v>26</v>
      </c>
      <c r="E1045" s="10">
        <v>31855</v>
      </c>
      <c r="F1045" s="11">
        <f t="shared" ca="1" si="121"/>
        <v>36.756164383561647</v>
      </c>
      <c r="G1045" s="11">
        <f t="shared" si="126"/>
        <v>3</v>
      </c>
      <c r="H1045" s="11">
        <f t="shared" si="127"/>
        <v>19</v>
      </c>
      <c r="I1045" s="10">
        <v>40791</v>
      </c>
      <c r="J1045" s="9" t="s">
        <v>41</v>
      </c>
      <c r="K1045" s="9" t="s">
        <v>863</v>
      </c>
      <c r="L1045" s="9" t="s">
        <v>1603</v>
      </c>
      <c r="M1045" s="9" t="s">
        <v>35</v>
      </c>
      <c r="N1045" s="11">
        <v>2</v>
      </c>
      <c r="O1045" s="11">
        <f t="shared" ref="O1045:O1076" ca="1" si="128">(TODAY()-I1045)/365</f>
        <v>12.273972602739725</v>
      </c>
      <c r="P1045" s="12">
        <f t="shared" ref="P1045:P1108" ca="1" si="129">SUM(N1045+O1045)</f>
        <v>14.273972602739725</v>
      </c>
      <c r="Q1045" s="12" t="s">
        <v>68</v>
      </c>
      <c r="R1045" s="9" t="s">
        <v>27</v>
      </c>
      <c r="S1045" s="24" t="s">
        <v>36</v>
      </c>
      <c r="T1045" s="9" t="s">
        <v>72</v>
      </c>
    </row>
    <row r="1046" spans="1:20" ht="35.25" customHeight="1">
      <c r="A1046" s="6">
        <f t="shared" si="125"/>
        <v>1045</v>
      </c>
      <c r="B1046" s="17" t="s">
        <v>2790</v>
      </c>
      <c r="C1046" s="8" t="s">
        <v>2791</v>
      </c>
      <c r="D1046" s="9" t="s">
        <v>26</v>
      </c>
      <c r="E1046" s="10">
        <v>31510</v>
      </c>
      <c r="F1046" s="11">
        <f t="shared" ca="1" si="121"/>
        <v>37.701369863013696</v>
      </c>
      <c r="G1046" s="11">
        <f t="shared" si="126"/>
        <v>4</v>
      </c>
      <c r="H1046" s="11">
        <f t="shared" si="127"/>
        <v>8</v>
      </c>
      <c r="I1046" s="10">
        <v>40791</v>
      </c>
      <c r="J1046" s="9" t="s">
        <v>226</v>
      </c>
      <c r="K1046" s="9" t="s">
        <v>710</v>
      </c>
      <c r="L1046" s="9" t="s">
        <v>55</v>
      </c>
      <c r="M1046" s="9" t="s">
        <v>35</v>
      </c>
      <c r="N1046" s="11">
        <v>4.2</v>
      </c>
      <c r="O1046" s="11">
        <f t="shared" ca="1" si="128"/>
        <v>12.273972602739725</v>
      </c>
      <c r="P1046" s="12">
        <f t="shared" ca="1" si="129"/>
        <v>16.473972602739725</v>
      </c>
      <c r="Q1046" s="12" t="s">
        <v>68</v>
      </c>
      <c r="R1046" s="9" t="s">
        <v>27</v>
      </c>
      <c r="S1046" s="24" t="s">
        <v>36</v>
      </c>
      <c r="T1046" s="9" t="s">
        <v>1644</v>
      </c>
    </row>
    <row r="1047" spans="1:20" ht="35.25" customHeight="1">
      <c r="A1047" s="6">
        <f t="shared" si="125"/>
        <v>1046</v>
      </c>
      <c r="B1047" s="17" t="s">
        <v>2792</v>
      </c>
      <c r="C1047" s="8" t="s">
        <v>2793</v>
      </c>
      <c r="D1047" s="9" t="s">
        <v>26</v>
      </c>
      <c r="E1047" s="10">
        <v>30711</v>
      </c>
      <c r="F1047" s="11">
        <f t="shared" ca="1" si="121"/>
        <v>39.890410958904113</v>
      </c>
      <c r="G1047" s="11">
        <f t="shared" si="126"/>
        <v>1</v>
      </c>
      <c r="H1047" s="11">
        <f t="shared" si="127"/>
        <v>30</v>
      </c>
      <c r="I1047" s="10">
        <v>40791</v>
      </c>
      <c r="J1047" s="9" t="s">
        <v>45</v>
      </c>
      <c r="K1047" s="9" t="s">
        <v>802</v>
      </c>
      <c r="L1047" s="9" t="s">
        <v>122</v>
      </c>
      <c r="M1047" s="9" t="s">
        <v>35</v>
      </c>
      <c r="N1047" s="11">
        <v>3.9</v>
      </c>
      <c r="O1047" s="11">
        <f t="shared" ca="1" si="128"/>
        <v>12.273972602739725</v>
      </c>
      <c r="P1047" s="12">
        <f t="shared" ca="1" si="129"/>
        <v>16.173972602739724</v>
      </c>
      <c r="Q1047" s="12" t="s">
        <v>68</v>
      </c>
      <c r="R1047" s="9" t="s">
        <v>27</v>
      </c>
      <c r="S1047" s="24" t="s">
        <v>36</v>
      </c>
      <c r="T1047" s="9" t="s">
        <v>2794</v>
      </c>
    </row>
    <row r="1048" spans="1:20" ht="35.25" customHeight="1">
      <c r="A1048" s="6">
        <f t="shared" si="125"/>
        <v>1047</v>
      </c>
      <c r="B1048" s="17" t="s">
        <v>2795</v>
      </c>
      <c r="C1048" s="8" t="s">
        <v>2796</v>
      </c>
      <c r="D1048" s="9" t="s">
        <v>26</v>
      </c>
      <c r="E1048" s="10">
        <v>32333</v>
      </c>
      <c r="F1048" s="11">
        <f t="shared" ca="1" si="121"/>
        <v>35.446575342465756</v>
      </c>
      <c r="G1048" s="11">
        <f t="shared" si="126"/>
        <v>7</v>
      </c>
      <c r="H1048" s="11">
        <f t="shared" si="127"/>
        <v>9</v>
      </c>
      <c r="I1048" s="10">
        <v>40791</v>
      </c>
      <c r="J1048" s="9" t="s">
        <v>45</v>
      </c>
      <c r="K1048" s="9" t="s">
        <v>2797</v>
      </c>
      <c r="L1048" s="9" t="s">
        <v>1713</v>
      </c>
      <c r="M1048" s="9" t="s">
        <v>35</v>
      </c>
      <c r="N1048" s="11">
        <v>0.1</v>
      </c>
      <c r="O1048" s="11">
        <f t="shared" ca="1" si="128"/>
        <v>12.273972602739725</v>
      </c>
      <c r="P1048" s="12">
        <f t="shared" ca="1" si="129"/>
        <v>12.373972602739725</v>
      </c>
      <c r="Q1048" s="12" t="s">
        <v>68</v>
      </c>
      <c r="R1048" s="9" t="s">
        <v>27</v>
      </c>
      <c r="S1048" s="24" t="s">
        <v>36</v>
      </c>
      <c r="T1048" s="9" t="s">
        <v>90</v>
      </c>
    </row>
    <row r="1049" spans="1:20" ht="35.25" customHeight="1">
      <c r="A1049" s="6">
        <f t="shared" si="125"/>
        <v>1048</v>
      </c>
      <c r="B1049" s="17" t="s">
        <v>2798</v>
      </c>
      <c r="C1049" s="8" t="s">
        <v>2799</v>
      </c>
      <c r="D1049" s="9" t="s">
        <v>26</v>
      </c>
      <c r="E1049" s="10">
        <v>29854</v>
      </c>
      <c r="F1049" s="11">
        <f t="shared" ca="1" si="121"/>
        <v>42.238356164383561</v>
      </c>
      <c r="G1049" s="11">
        <f t="shared" si="126"/>
        <v>9</v>
      </c>
      <c r="H1049" s="11">
        <f t="shared" si="127"/>
        <v>25</v>
      </c>
      <c r="I1049" s="10">
        <v>40791</v>
      </c>
      <c r="J1049" s="9" t="s">
        <v>110</v>
      </c>
      <c r="K1049" s="9" t="s">
        <v>278</v>
      </c>
      <c r="L1049" s="9" t="s">
        <v>34</v>
      </c>
      <c r="M1049" s="9" t="s">
        <v>35</v>
      </c>
      <c r="N1049" s="11">
        <v>10</v>
      </c>
      <c r="O1049" s="11">
        <f t="shared" ca="1" si="128"/>
        <v>12.273972602739725</v>
      </c>
      <c r="P1049" s="12">
        <f t="shared" ca="1" si="129"/>
        <v>22.273972602739725</v>
      </c>
      <c r="Q1049" s="12" t="s">
        <v>26</v>
      </c>
      <c r="R1049" s="9" t="s">
        <v>27</v>
      </c>
      <c r="S1049" s="24" t="s">
        <v>36</v>
      </c>
      <c r="T1049" s="9" t="s">
        <v>1639</v>
      </c>
    </row>
    <row r="1050" spans="1:20" ht="35.25" customHeight="1">
      <c r="A1050" s="6">
        <f t="shared" si="125"/>
        <v>1049</v>
      </c>
      <c r="B1050" s="17" t="s">
        <v>2800</v>
      </c>
      <c r="C1050" s="8" t="s">
        <v>2801</v>
      </c>
      <c r="D1050" s="9" t="s">
        <v>26</v>
      </c>
      <c r="E1050" s="10">
        <v>31168</v>
      </c>
      <c r="F1050" s="11">
        <f t="shared" ca="1" si="121"/>
        <v>38.638356164383559</v>
      </c>
      <c r="G1050" s="11">
        <f t="shared" si="126"/>
        <v>5</v>
      </c>
      <c r="H1050" s="11">
        <f t="shared" si="127"/>
        <v>1</v>
      </c>
      <c r="I1050" s="10">
        <v>40791</v>
      </c>
      <c r="J1050" s="9" t="s">
        <v>87</v>
      </c>
      <c r="K1050" s="9" t="s">
        <v>2447</v>
      </c>
      <c r="L1050" s="9" t="s">
        <v>393</v>
      </c>
      <c r="M1050" s="9" t="s">
        <v>61</v>
      </c>
      <c r="N1050" s="11">
        <v>0</v>
      </c>
      <c r="O1050" s="11">
        <f t="shared" ca="1" si="128"/>
        <v>12.273972602739725</v>
      </c>
      <c r="P1050" s="12">
        <f t="shared" ca="1" si="129"/>
        <v>12.273972602739725</v>
      </c>
      <c r="Q1050" s="12" t="s">
        <v>68</v>
      </c>
      <c r="R1050" s="9" t="s">
        <v>27</v>
      </c>
      <c r="S1050" s="24" t="s">
        <v>36</v>
      </c>
      <c r="T1050" s="9" t="s">
        <v>72</v>
      </c>
    </row>
    <row r="1051" spans="1:20" ht="35.25" customHeight="1">
      <c r="A1051" s="6">
        <f t="shared" si="125"/>
        <v>1050</v>
      </c>
      <c r="B1051" s="17" t="s">
        <v>2802</v>
      </c>
      <c r="C1051" s="8" t="s">
        <v>2803</v>
      </c>
      <c r="D1051" s="9" t="s">
        <v>26</v>
      </c>
      <c r="E1051" s="10">
        <v>31159</v>
      </c>
      <c r="F1051" s="11">
        <f t="shared" ca="1" si="121"/>
        <v>38.663013698630138</v>
      </c>
      <c r="G1051" s="11">
        <f t="shared" si="126"/>
        <v>4</v>
      </c>
      <c r="H1051" s="11">
        <f t="shared" si="127"/>
        <v>22</v>
      </c>
      <c r="I1051" s="10">
        <v>40791</v>
      </c>
      <c r="J1051" s="9" t="s">
        <v>226</v>
      </c>
      <c r="K1051" s="9" t="s">
        <v>1152</v>
      </c>
      <c r="L1051" s="9" t="s">
        <v>34</v>
      </c>
      <c r="M1051" s="9" t="s">
        <v>35</v>
      </c>
      <c r="N1051" s="11">
        <v>2.2000000000000002</v>
      </c>
      <c r="O1051" s="11">
        <f t="shared" ca="1" si="128"/>
        <v>12.273972602739725</v>
      </c>
      <c r="P1051" s="12">
        <f t="shared" ca="1" si="129"/>
        <v>14.473972602739725</v>
      </c>
      <c r="Q1051" s="12" t="s">
        <v>68</v>
      </c>
      <c r="R1051" s="9" t="s">
        <v>27</v>
      </c>
      <c r="S1051" s="24" t="s">
        <v>36</v>
      </c>
      <c r="T1051" s="9" t="s">
        <v>1644</v>
      </c>
    </row>
    <row r="1052" spans="1:20" ht="35.25" customHeight="1">
      <c r="A1052" s="6">
        <f t="shared" si="125"/>
        <v>1051</v>
      </c>
      <c r="B1052" s="17" t="s">
        <v>2804</v>
      </c>
      <c r="C1052" s="8" t="s">
        <v>2805</v>
      </c>
      <c r="D1052" s="9" t="s">
        <v>26</v>
      </c>
      <c r="E1052" s="10">
        <v>21732</v>
      </c>
      <c r="F1052" s="11">
        <f t="shared" ref="F1052:F1115" ca="1" si="130">(TODAY()-E1052)/365</f>
        <v>64.490410958904107</v>
      </c>
      <c r="G1052" s="11">
        <f t="shared" si="126"/>
        <v>7</v>
      </c>
      <c r="H1052" s="11">
        <f t="shared" si="127"/>
        <v>1</v>
      </c>
      <c r="I1052" s="10">
        <v>40798</v>
      </c>
      <c r="J1052" s="9" t="s">
        <v>318</v>
      </c>
      <c r="K1052" s="9" t="s">
        <v>142</v>
      </c>
      <c r="L1052" s="9" t="s">
        <v>118</v>
      </c>
      <c r="M1052" s="9" t="s">
        <v>134</v>
      </c>
      <c r="N1052" s="11">
        <v>16.7</v>
      </c>
      <c r="O1052" s="11">
        <f t="shared" ca="1" si="128"/>
        <v>12.254794520547945</v>
      </c>
      <c r="P1052" s="12">
        <f t="shared" ca="1" si="129"/>
        <v>28.954794520547942</v>
      </c>
      <c r="Q1052" s="12" t="s">
        <v>26</v>
      </c>
      <c r="R1052" s="9" t="s">
        <v>27</v>
      </c>
      <c r="S1052" s="24" t="s">
        <v>28</v>
      </c>
      <c r="T1052" s="9" t="s">
        <v>29</v>
      </c>
    </row>
    <row r="1053" spans="1:20" ht="35.25" customHeight="1">
      <c r="A1053" s="6">
        <f t="shared" si="125"/>
        <v>1052</v>
      </c>
      <c r="B1053" s="17" t="s">
        <v>2806</v>
      </c>
      <c r="C1053" s="8" t="s">
        <v>2807</v>
      </c>
      <c r="D1053" s="9" t="s">
        <v>26</v>
      </c>
      <c r="E1053" s="10">
        <v>25557</v>
      </c>
      <c r="F1053" s="11">
        <f t="shared" ca="1" si="130"/>
        <v>54.010958904109586</v>
      </c>
      <c r="G1053" s="11">
        <f t="shared" si="126"/>
        <v>12</v>
      </c>
      <c r="H1053" s="11">
        <f t="shared" si="127"/>
        <v>20</v>
      </c>
      <c r="I1053" s="10">
        <v>40798</v>
      </c>
      <c r="J1053" s="9" t="s">
        <v>66</v>
      </c>
      <c r="K1053" s="9" t="s">
        <v>2808</v>
      </c>
      <c r="L1053" s="9" t="s">
        <v>1566</v>
      </c>
      <c r="M1053" s="9" t="s">
        <v>134</v>
      </c>
      <c r="N1053" s="11">
        <v>18</v>
      </c>
      <c r="O1053" s="11">
        <f t="shared" ca="1" si="128"/>
        <v>12.254794520547945</v>
      </c>
      <c r="P1053" s="12">
        <f t="shared" ca="1" si="129"/>
        <v>30.254794520547946</v>
      </c>
      <c r="Q1053" s="12" t="s">
        <v>26</v>
      </c>
      <c r="R1053" s="9" t="s">
        <v>560</v>
      </c>
      <c r="S1053" s="24" t="s">
        <v>36</v>
      </c>
      <c r="T1053" s="9" t="s">
        <v>137</v>
      </c>
    </row>
    <row r="1054" spans="1:20" ht="35.25" customHeight="1">
      <c r="A1054" s="6">
        <f t="shared" si="125"/>
        <v>1053</v>
      </c>
      <c r="B1054" s="17" t="s">
        <v>2809</v>
      </c>
      <c r="C1054" s="8" t="s">
        <v>2810</v>
      </c>
      <c r="D1054" s="9" t="s">
        <v>26</v>
      </c>
      <c r="E1054" s="10">
        <v>30327</v>
      </c>
      <c r="F1054" s="11">
        <f t="shared" ca="1" si="130"/>
        <v>40.942465753424656</v>
      </c>
      <c r="G1054" s="11">
        <f t="shared" si="126"/>
        <v>1</v>
      </c>
      <c r="H1054" s="11">
        <f t="shared" si="127"/>
        <v>11</v>
      </c>
      <c r="I1054" s="10">
        <v>40798</v>
      </c>
      <c r="J1054" s="9" t="s">
        <v>87</v>
      </c>
      <c r="K1054" s="9" t="s">
        <v>1238</v>
      </c>
      <c r="L1054" s="9" t="s">
        <v>204</v>
      </c>
      <c r="M1054" s="9" t="s">
        <v>35</v>
      </c>
      <c r="N1054" s="11">
        <v>4</v>
      </c>
      <c r="O1054" s="11">
        <f t="shared" ca="1" si="128"/>
        <v>12.254794520547945</v>
      </c>
      <c r="P1054" s="12">
        <f t="shared" ca="1" si="129"/>
        <v>16.254794520547946</v>
      </c>
      <c r="Q1054" s="12" t="s">
        <v>68</v>
      </c>
      <c r="R1054" s="9" t="s">
        <v>27</v>
      </c>
      <c r="S1054" s="24" t="s">
        <v>28</v>
      </c>
      <c r="T1054" s="9" t="s">
        <v>29</v>
      </c>
    </row>
    <row r="1055" spans="1:20" ht="35.25" customHeight="1">
      <c r="A1055" s="6">
        <f t="shared" si="125"/>
        <v>1054</v>
      </c>
      <c r="B1055" s="17" t="s">
        <v>2811</v>
      </c>
      <c r="C1055" s="8" t="s">
        <v>2812</v>
      </c>
      <c r="D1055" s="9" t="s">
        <v>26</v>
      </c>
      <c r="E1055" s="10">
        <v>31567</v>
      </c>
      <c r="F1055" s="11">
        <f t="shared" ca="1" si="130"/>
        <v>37.545205479452058</v>
      </c>
      <c r="G1055" s="11">
        <f t="shared" si="126"/>
        <v>6</v>
      </c>
      <c r="H1055" s="11">
        <f t="shared" si="127"/>
        <v>4</v>
      </c>
      <c r="I1055" s="10">
        <v>40800</v>
      </c>
      <c r="J1055" s="9" t="s">
        <v>974</v>
      </c>
      <c r="K1055" s="9" t="s">
        <v>2813</v>
      </c>
      <c r="L1055" s="9" t="s">
        <v>2681</v>
      </c>
      <c r="M1055" s="9" t="s">
        <v>35</v>
      </c>
      <c r="N1055" s="11">
        <v>0.2</v>
      </c>
      <c r="O1055" s="11">
        <f t="shared" ca="1" si="128"/>
        <v>12.24931506849315</v>
      </c>
      <c r="P1055" s="12">
        <f t="shared" ca="1" si="129"/>
        <v>12.449315068493149</v>
      </c>
      <c r="Q1055" s="12" t="s">
        <v>68</v>
      </c>
      <c r="R1055" s="9" t="s">
        <v>27</v>
      </c>
      <c r="S1055" s="24" t="s">
        <v>28</v>
      </c>
      <c r="T1055" s="9" t="s">
        <v>29</v>
      </c>
    </row>
    <row r="1056" spans="1:20" ht="35.25" customHeight="1">
      <c r="A1056" s="6">
        <f t="shared" si="125"/>
        <v>1055</v>
      </c>
      <c r="B1056" s="17" t="s">
        <v>2814</v>
      </c>
      <c r="C1056" s="8" t="s">
        <v>2815</v>
      </c>
      <c r="D1056" s="9" t="s">
        <v>26</v>
      </c>
      <c r="E1056" s="10">
        <v>30361</v>
      </c>
      <c r="F1056" s="11">
        <f t="shared" ca="1" si="130"/>
        <v>40.849315068493148</v>
      </c>
      <c r="G1056" s="11">
        <f t="shared" si="126"/>
        <v>2</v>
      </c>
      <c r="H1056" s="11">
        <f t="shared" si="127"/>
        <v>14</v>
      </c>
      <c r="I1056" s="10">
        <v>40801</v>
      </c>
      <c r="J1056" s="9" t="s">
        <v>110</v>
      </c>
      <c r="K1056" s="9" t="s">
        <v>1812</v>
      </c>
      <c r="L1056" s="9" t="s">
        <v>34</v>
      </c>
      <c r="M1056" s="9" t="s">
        <v>156</v>
      </c>
      <c r="N1056" s="11">
        <v>2</v>
      </c>
      <c r="O1056" s="11">
        <f t="shared" ca="1" si="128"/>
        <v>12.246575342465754</v>
      </c>
      <c r="P1056" s="12">
        <f t="shared" ca="1" si="129"/>
        <v>14.246575342465754</v>
      </c>
      <c r="Q1056" s="12" t="s">
        <v>26</v>
      </c>
      <c r="R1056" s="9" t="s">
        <v>27</v>
      </c>
      <c r="S1056" s="24" t="s">
        <v>28</v>
      </c>
      <c r="T1056" s="9" t="s">
        <v>29</v>
      </c>
    </row>
    <row r="1057" spans="1:20" ht="35.25" customHeight="1">
      <c r="A1057" s="6">
        <f t="shared" si="125"/>
        <v>1056</v>
      </c>
      <c r="B1057" s="17" t="s">
        <v>2816</v>
      </c>
      <c r="C1057" s="8" t="s">
        <v>2817</v>
      </c>
      <c r="D1057" s="9" t="s">
        <v>26</v>
      </c>
      <c r="E1057" s="10">
        <v>30847</v>
      </c>
      <c r="F1057" s="11">
        <f t="shared" ca="1" si="130"/>
        <v>39.517808219178079</v>
      </c>
      <c r="G1057" s="11">
        <f t="shared" si="126"/>
        <v>6</v>
      </c>
      <c r="H1057" s="11">
        <f t="shared" si="127"/>
        <v>14</v>
      </c>
      <c r="I1057" s="10">
        <v>40801</v>
      </c>
      <c r="J1057" s="9" t="s">
        <v>1055</v>
      </c>
      <c r="K1057" s="9" t="s">
        <v>2499</v>
      </c>
      <c r="L1057" s="9" t="s">
        <v>325</v>
      </c>
      <c r="M1057" s="9" t="s">
        <v>165</v>
      </c>
      <c r="N1057" s="11">
        <v>4.5999999999999996</v>
      </c>
      <c r="O1057" s="11">
        <f t="shared" ca="1" si="128"/>
        <v>12.246575342465754</v>
      </c>
      <c r="P1057" s="12">
        <f t="shared" ca="1" si="129"/>
        <v>16.846575342465755</v>
      </c>
      <c r="Q1057" s="12" t="s">
        <v>26</v>
      </c>
      <c r="R1057" s="9" t="s">
        <v>27</v>
      </c>
      <c r="S1057" s="24" t="s">
        <v>28</v>
      </c>
      <c r="T1057" s="9" t="s">
        <v>29</v>
      </c>
    </row>
    <row r="1058" spans="1:20" ht="35.25" customHeight="1">
      <c r="A1058" s="6">
        <f t="shared" si="125"/>
        <v>1057</v>
      </c>
      <c r="B1058" s="17" t="s">
        <v>2818</v>
      </c>
      <c r="C1058" s="8" t="s">
        <v>2819</v>
      </c>
      <c r="D1058" s="9" t="s">
        <v>26</v>
      </c>
      <c r="E1058" s="10">
        <v>30926</v>
      </c>
      <c r="F1058" s="11">
        <f t="shared" ca="1" si="130"/>
        <v>39.301369863013697</v>
      </c>
      <c r="G1058" s="11">
        <f t="shared" si="126"/>
        <v>9</v>
      </c>
      <c r="H1058" s="11">
        <f t="shared" si="127"/>
        <v>1</v>
      </c>
      <c r="I1058" s="10">
        <v>40801</v>
      </c>
      <c r="J1058" s="9" t="s">
        <v>1055</v>
      </c>
      <c r="K1058" s="9" t="s">
        <v>2499</v>
      </c>
      <c r="L1058" s="9" t="s">
        <v>393</v>
      </c>
      <c r="M1058" s="9" t="s">
        <v>61</v>
      </c>
      <c r="N1058" s="11">
        <v>2.7</v>
      </c>
      <c r="O1058" s="11">
        <f t="shared" ca="1" si="128"/>
        <v>12.246575342465754</v>
      </c>
      <c r="P1058" s="12">
        <f t="shared" ca="1" si="129"/>
        <v>14.946575342465753</v>
      </c>
      <c r="Q1058" s="12" t="s">
        <v>68</v>
      </c>
      <c r="R1058" s="9" t="s">
        <v>27</v>
      </c>
      <c r="S1058" s="24" t="s">
        <v>36</v>
      </c>
      <c r="T1058" s="9" t="s">
        <v>72</v>
      </c>
    </row>
    <row r="1059" spans="1:20" ht="35.25" customHeight="1">
      <c r="A1059" s="6">
        <f t="shared" si="125"/>
        <v>1058</v>
      </c>
      <c r="B1059" s="17" t="s">
        <v>2820</v>
      </c>
      <c r="C1059" s="8" t="s">
        <v>2821</v>
      </c>
      <c r="D1059" s="9" t="s">
        <v>26</v>
      </c>
      <c r="E1059" s="10">
        <v>32393</v>
      </c>
      <c r="F1059" s="11">
        <f t="shared" ca="1" si="130"/>
        <v>35.282191780821918</v>
      </c>
      <c r="G1059" s="11">
        <f t="shared" si="126"/>
        <v>9</v>
      </c>
      <c r="H1059" s="11">
        <f t="shared" si="127"/>
        <v>7</v>
      </c>
      <c r="I1059" s="10">
        <v>40798</v>
      </c>
      <c r="J1059" s="9" t="s">
        <v>2581</v>
      </c>
      <c r="K1059" s="9" t="s">
        <v>2582</v>
      </c>
      <c r="L1059" s="9" t="s">
        <v>34</v>
      </c>
      <c r="M1059" s="9" t="s">
        <v>134</v>
      </c>
      <c r="N1059" s="11">
        <v>0</v>
      </c>
      <c r="O1059" s="11">
        <f t="shared" ca="1" si="128"/>
        <v>12.254794520547945</v>
      </c>
      <c r="P1059" s="12">
        <f t="shared" ca="1" si="129"/>
        <v>12.254794520547945</v>
      </c>
      <c r="Q1059" s="12" t="s">
        <v>68</v>
      </c>
      <c r="R1059" s="9" t="s">
        <v>27</v>
      </c>
      <c r="S1059" s="24" t="s">
        <v>36</v>
      </c>
      <c r="T1059" s="9" t="s">
        <v>137</v>
      </c>
    </row>
    <row r="1060" spans="1:20" ht="35.25" customHeight="1">
      <c r="A1060" s="6">
        <f t="shared" si="125"/>
        <v>1059</v>
      </c>
      <c r="B1060" s="17" t="s">
        <v>2822</v>
      </c>
      <c r="C1060" s="8" t="s">
        <v>2823</v>
      </c>
      <c r="D1060" s="9" t="s">
        <v>26</v>
      </c>
      <c r="E1060" s="10">
        <v>29361</v>
      </c>
      <c r="F1060" s="11">
        <f t="shared" ca="1" si="130"/>
        <v>43.589041095890408</v>
      </c>
      <c r="G1060" s="11">
        <f t="shared" si="126"/>
        <v>5</v>
      </c>
      <c r="H1060" s="11">
        <f t="shared" si="127"/>
        <v>20</v>
      </c>
      <c r="I1060" s="10">
        <v>40805</v>
      </c>
      <c r="J1060" s="9" t="s">
        <v>22</v>
      </c>
      <c r="K1060" s="9" t="s">
        <v>1428</v>
      </c>
      <c r="L1060" s="9" t="s">
        <v>34</v>
      </c>
      <c r="M1060" s="9" t="s">
        <v>35</v>
      </c>
      <c r="N1060" s="11">
        <v>10.5</v>
      </c>
      <c r="O1060" s="11">
        <f t="shared" ca="1" si="128"/>
        <v>12.235616438356164</v>
      </c>
      <c r="P1060" s="12">
        <f t="shared" ca="1" si="129"/>
        <v>22.735616438356164</v>
      </c>
      <c r="Q1060" s="12" t="s">
        <v>26</v>
      </c>
      <c r="R1060" s="9" t="s">
        <v>27</v>
      </c>
      <c r="S1060" s="24" t="s">
        <v>36</v>
      </c>
      <c r="T1060" s="9" t="s">
        <v>1644</v>
      </c>
    </row>
    <row r="1061" spans="1:20" ht="35.25" customHeight="1">
      <c r="A1061" s="6">
        <f t="shared" si="125"/>
        <v>1060</v>
      </c>
      <c r="B1061" s="17" t="s">
        <v>2824</v>
      </c>
      <c r="C1061" s="8" t="s">
        <v>2825</v>
      </c>
      <c r="D1061" s="9" t="s">
        <v>26</v>
      </c>
      <c r="E1061" s="10">
        <v>29109</v>
      </c>
      <c r="F1061" s="11">
        <f t="shared" ca="1" si="130"/>
        <v>44.279452054794518</v>
      </c>
      <c r="G1061" s="11">
        <f t="shared" si="126"/>
        <v>9</v>
      </c>
      <c r="H1061" s="11">
        <f t="shared" si="127"/>
        <v>11</v>
      </c>
      <c r="I1061" s="10">
        <v>40805</v>
      </c>
      <c r="J1061" s="9" t="s">
        <v>110</v>
      </c>
      <c r="K1061" s="9" t="s">
        <v>2208</v>
      </c>
      <c r="L1061" s="9" t="s">
        <v>1480</v>
      </c>
      <c r="M1061" s="9" t="s">
        <v>35</v>
      </c>
      <c r="N1061" s="11">
        <v>7.3</v>
      </c>
      <c r="O1061" s="11">
        <f t="shared" ca="1" si="128"/>
        <v>12.235616438356164</v>
      </c>
      <c r="P1061" s="12">
        <f t="shared" ca="1" si="129"/>
        <v>19.535616438356165</v>
      </c>
      <c r="Q1061" s="12" t="s">
        <v>26</v>
      </c>
      <c r="R1061" s="9" t="s">
        <v>627</v>
      </c>
      <c r="S1061" s="24" t="s">
        <v>36</v>
      </c>
      <c r="T1061" s="9" t="s">
        <v>72</v>
      </c>
    </row>
    <row r="1062" spans="1:20" ht="35.25" customHeight="1">
      <c r="A1062" s="6">
        <f t="shared" si="125"/>
        <v>1061</v>
      </c>
      <c r="B1062" s="17" t="s">
        <v>2826</v>
      </c>
      <c r="C1062" s="8" t="s">
        <v>2827</v>
      </c>
      <c r="D1062" s="9" t="s">
        <v>26</v>
      </c>
      <c r="E1062" s="10">
        <v>31534</v>
      </c>
      <c r="F1062" s="11">
        <f t="shared" ca="1" si="130"/>
        <v>37.635616438356166</v>
      </c>
      <c r="G1062" s="11">
        <f t="shared" si="126"/>
        <v>5</v>
      </c>
      <c r="H1062" s="11">
        <f t="shared" si="127"/>
        <v>2</v>
      </c>
      <c r="I1062" s="10">
        <v>40805</v>
      </c>
      <c r="J1062" s="9" t="s">
        <v>226</v>
      </c>
      <c r="K1062" s="9" t="s">
        <v>1152</v>
      </c>
      <c r="L1062" s="9" t="s">
        <v>34</v>
      </c>
      <c r="M1062" s="9" t="s">
        <v>35</v>
      </c>
      <c r="N1062" s="11">
        <v>1</v>
      </c>
      <c r="O1062" s="11">
        <f t="shared" ca="1" si="128"/>
        <v>12.235616438356164</v>
      </c>
      <c r="P1062" s="12">
        <f t="shared" ca="1" si="129"/>
        <v>13.235616438356164</v>
      </c>
      <c r="Q1062" s="12" t="s">
        <v>68</v>
      </c>
      <c r="R1062" s="9" t="s">
        <v>27</v>
      </c>
      <c r="S1062" s="24" t="s">
        <v>36</v>
      </c>
      <c r="T1062" s="9" t="s">
        <v>90</v>
      </c>
    </row>
    <row r="1063" spans="1:20" ht="35.25" customHeight="1">
      <c r="A1063" s="6">
        <f t="shared" si="125"/>
        <v>1062</v>
      </c>
      <c r="B1063" s="17" t="s">
        <v>2828</v>
      </c>
      <c r="C1063" s="8" t="s">
        <v>2829</v>
      </c>
      <c r="D1063" s="9" t="s">
        <v>26</v>
      </c>
      <c r="E1063" s="10">
        <v>31109</v>
      </c>
      <c r="F1063" s="11">
        <f t="shared" ca="1" si="130"/>
        <v>38.799999999999997</v>
      </c>
      <c r="G1063" s="11">
        <f t="shared" si="126"/>
        <v>3</v>
      </c>
      <c r="H1063" s="11">
        <f t="shared" si="127"/>
        <v>3</v>
      </c>
      <c r="I1063" s="10">
        <v>40805</v>
      </c>
      <c r="J1063" s="9" t="s">
        <v>87</v>
      </c>
      <c r="K1063" s="9" t="s">
        <v>2830</v>
      </c>
      <c r="L1063" s="9" t="s">
        <v>1002</v>
      </c>
      <c r="M1063" s="9" t="s">
        <v>35</v>
      </c>
      <c r="N1063" s="11">
        <v>5.3</v>
      </c>
      <c r="O1063" s="11">
        <f t="shared" ca="1" si="128"/>
        <v>12.235616438356164</v>
      </c>
      <c r="P1063" s="12">
        <f t="shared" ca="1" si="129"/>
        <v>17.535616438356165</v>
      </c>
      <c r="Q1063" s="12" t="s">
        <v>68</v>
      </c>
      <c r="R1063" s="9" t="s">
        <v>27</v>
      </c>
      <c r="S1063" s="24" t="s">
        <v>28</v>
      </c>
      <c r="T1063" s="9" t="s">
        <v>29</v>
      </c>
    </row>
    <row r="1064" spans="1:20" ht="35.25" customHeight="1">
      <c r="A1064" s="6">
        <f t="shared" si="125"/>
        <v>1063</v>
      </c>
      <c r="B1064" s="17" t="s">
        <v>2831</v>
      </c>
      <c r="C1064" s="8" t="s">
        <v>2832</v>
      </c>
      <c r="D1064" s="9" t="s">
        <v>26</v>
      </c>
      <c r="E1064" s="10">
        <v>29754</v>
      </c>
      <c r="F1064" s="11">
        <f t="shared" ca="1" si="130"/>
        <v>42.512328767123286</v>
      </c>
      <c r="G1064" s="11">
        <f t="shared" si="126"/>
        <v>6</v>
      </c>
      <c r="H1064" s="11">
        <f t="shared" si="127"/>
        <v>17</v>
      </c>
      <c r="I1064" s="10">
        <v>40805</v>
      </c>
      <c r="J1064" s="9" t="s">
        <v>87</v>
      </c>
      <c r="K1064" s="9" t="s">
        <v>2523</v>
      </c>
      <c r="L1064" s="9" t="s">
        <v>2524</v>
      </c>
      <c r="M1064" s="9" t="s">
        <v>35</v>
      </c>
      <c r="N1064" s="11">
        <v>8.4</v>
      </c>
      <c r="O1064" s="11">
        <f t="shared" ca="1" si="128"/>
        <v>12.235616438356164</v>
      </c>
      <c r="P1064" s="12">
        <f t="shared" ca="1" si="129"/>
        <v>20.635616438356166</v>
      </c>
      <c r="Q1064" s="12" t="s">
        <v>68</v>
      </c>
      <c r="R1064" s="9" t="s">
        <v>27</v>
      </c>
      <c r="S1064" s="24" t="s">
        <v>36</v>
      </c>
      <c r="T1064" s="9" t="s">
        <v>279</v>
      </c>
    </row>
    <row r="1065" spans="1:20" ht="35.25" customHeight="1">
      <c r="A1065" s="6">
        <f t="shared" si="125"/>
        <v>1064</v>
      </c>
      <c r="B1065" s="17" t="s">
        <v>2833</v>
      </c>
      <c r="C1065" s="8" t="s">
        <v>2834</v>
      </c>
      <c r="D1065" s="9" t="s">
        <v>26</v>
      </c>
      <c r="E1065" s="10">
        <v>30132</v>
      </c>
      <c r="F1065" s="11">
        <f t="shared" ca="1" si="130"/>
        <v>41.476712328767121</v>
      </c>
      <c r="G1065" s="11">
        <f t="shared" si="126"/>
        <v>6</v>
      </c>
      <c r="H1065" s="11">
        <f t="shared" si="127"/>
        <v>30</v>
      </c>
      <c r="I1065" s="10">
        <v>40805</v>
      </c>
      <c r="J1065" s="9" t="s">
        <v>41</v>
      </c>
      <c r="K1065" s="9" t="s">
        <v>863</v>
      </c>
      <c r="L1065" s="9" t="s">
        <v>1603</v>
      </c>
      <c r="M1065" s="9" t="s">
        <v>35</v>
      </c>
      <c r="N1065" s="11">
        <v>6.2</v>
      </c>
      <c r="O1065" s="11">
        <f t="shared" ca="1" si="128"/>
        <v>12.235616438356164</v>
      </c>
      <c r="P1065" s="12">
        <f t="shared" ca="1" si="129"/>
        <v>18.435616438356163</v>
      </c>
      <c r="Q1065" s="12" t="s">
        <v>26</v>
      </c>
      <c r="R1065" s="9" t="s">
        <v>27</v>
      </c>
      <c r="S1065" s="24" t="s">
        <v>36</v>
      </c>
      <c r="T1065" s="9" t="s">
        <v>137</v>
      </c>
    </row>
    <row r="1066" spans="1:20" ht="35.25" customHeight="1">
      <c r="A1066" s="6">
        <f t="shared" si="125"/>
        <v>1065</v>
      </c>
      <c r="B1066" s="17" t="s">
        <v>2835</v>
      </c>
      <c r="C1066" s="8" t="s">
        <v>2836</v>
      </c>
      <c r="D1066" s="9" t="s">
        <v>26</v>
      </c>
      <c r="E1066" s="10">
        <v>31198</v>
      </c>
      <c r="F1066" s="11">
        <f t="shared" ca="1" si="130"/>
        <v>38.556164383561644</v>
      </c>
      <c r="G1066" s="11">
        <f t="shared" si="126"/>
        <v>5</v>
      </c>
      <c r="H1066" s="11">
        <f t="shared" si="127"/>
        <v>31</v>
      </c>
      <c r="I1066" s="10">
        <v>40805</v>
      </c>
      <c r="J1066" s="9" t="s">
        <v>226</v>
      </c>
      <c r="K1066" s="9" t="s">
        <v>1152</v>
      </c>
      <c r="L1066" s="9" t="s">
        <v>34</v>
      </c>
      <c r="M1066" s="9" t="s">
        <v>35</v>
      </c>
      <c r="N1066" s="11">
        <v>3.1</v>
      </c>
      <c r="O1066" s="11">
        <f t="shared" ca="1" si="128"/>
        <v>12.235616438356164</v>
      </c>
      <c r="P1066" s="12">
        <f t="shared" ca="1" si="129"/>
        <v>15.335616438356164</v>
      </c>
      <c r="Q1066" s="12" t="s">
        <v>68</v>
      </c>
      <c r="R1066" s="9" t="s">
        <v>27</v>
      </c>
      <c r="S1066" s="24" t="s">
        <v>36</v>
      </c>
      <c r="T1066" s="9" t="s">
        <v>137</v>
      </c>
    </row>
    <row r="1067" spans="1:20" ht="35.25" customHeight="1">
      <c r="A1067" s="6">
        <f t="shared" si="125"/>
        <v>1066</v>
      </c>
      <c r="B1067" s="17" t="s">
        <v>2837</v>
      </c>
      <c r="C1067" s="8" t="s">
        <v>2838</v>
      </c>
      <c r="D1067" s="9" t="s">
        <v>26</v>
      </c>
      <c r="E1067" s="10">
        <v>29716</v>
      </c>
      <c r="F1067" s="11">
        <f t="shared" ca="1" si="130"/>
        <v>42.61643835616438</v>
      </c>
      <c r="G1067" s="11">
        <f t="shared" si="126"/>
        <v>5</v>
      </c>
      <c r="H1067" s="11">
        <f t="shared" si="127"/>
        <v>10</v>
      </c>
      <c r="I1067" s="10">
        <v>40805</v>
      </c>
      <c r="J1067" s="9" t="s">
        <v>87</v>
      </c>
      <c r="K1067" s="9" t="s">
        <v>298</v>
      </c>
      <c r="L1067" s="9" t="s">
        <v>55</v>
      </c>
      <c r="M1067" s="9" t="s">
        <v>35</v>
      </c>
      <c r="N1067" s="11">
        <v>4.0999999999999996</v>
      </c>
      <c r="O1067" s="11">
        <f t="shared" ca="1" si="128"/>
        <v>12.235616438356164</v>
      </c>
      <c r="P1067" s="12">
        <f t="shared" ca="1" si="129"/>
        <v>16.335616438356162</v>
      </c>
      <c r="Q1067" s="12" t="s">
        <v>68</v>
      </c>
      <c r="R1067" s="9" t="s">
        <v>27</v>
      </c>
      <c r="S1067" s="24" t="s">
        <v>36</v>
      </c>
      <c r="T1067" s="9" t="s">
        <v>1071</v>
      </c>
    </row>
    <row r="1068" spans="1:20" ht="35.25" customHeight="1">
      <c r="A1068" s="6">
        <f t="shared" si="125"/>
        <v>1067</v>
      </c>
      <c r="B1068" s="17" t="s">
        <v>2839</v>
      </c>
      <c r="C1068" s="8" t="s">
        <v>2840</v>
      </c>
      <c r="D1068" s="9" t="s">
        <v>26</v>
      </c>
      <c r="E1068" s="10">
        <v>21199</v>
      </c>
      <c r="F1068" s="11">
        <f t="shared" ca="1" si="130"/>
        <v>65.950684931506856</v>
      </c>
      <c r="G1068" s="11">
        <f t="shared" si="126"/>
        <v>1</v>
      </c>
      <c r="H1068" s="11">
        <f t="shared" si="127"/>
        <v>14</v>
      </c>
      <c r="I1068" s="10">
        <v>40805</v>
      </c>
      <c r="J1068" s="9" t="s">
        <v>50</v>
      </c>
      <c r="K1068" s="9" t="s">
        <v>1475</v>
      </c>
      <c r="L1068" s="9" t="s">
        <v>675</v>
      </c>
      <c r="M1068" s="9" t="s">
        <v>134</v>
      </c>
      <c r="N1068" s="11">
        <v>24</v>
      </c>
      <c r="O1068" s="11">
        <f t="shared" ca="1" si="128"/>
        <v>12.235616438356164</v>
      </c>
      <c r="P1068" s="12">
        <f t="shared" ca="1" si="129"/>
        <v>36.235616438356161</v>
      </c>
      <c r="Q1068" s="12" t="s">
        <v>26</v>
      </c>
      <c r="R1068" s="9" t="s">
        <v>27</v>
      </c>
      <c r="S1068" s="24" t="s">
        <v>36</v>
      </c>
      <c r="T1068" s="9" t="s">
        <v>137</v>
      </c>
    </row>
    <row r="1069" spans="1:20" ht="35.25" customHeight="1">
      <c r="A1069" s="6">
        <f t="shared" si="125"/>
        <v>1068</v>
      </c>
      <c r="B1069" s="17" t="s">
        <v>2841</v>
      </c>
      <c r="C1069" s="8" t="s">
        <v>2842</v>
      </c>
      <c r="D1069" s="9" t="s">
        <v>26</v>
      </c>
      <c r="E1069" s="10">
        <v>30477</v>
      </c>
      <c r="F1069" s="11">
        <f t="shared" ca="1" si="130"/>
        <v>40.531506849315072</v>
      </c>
      <c r="G1069" s="11">
        <f t="shared" si="126"/>
        <v>6</v>
      </c>
      <c r="H1069" s="11">
        <f t="shared" si="127"/>
        <v>10</v>
      </c>
      <c r="I1069" s="10">
        <v>40805</v>
      </c>
      <c r="J1069" s="9" t="s">
        <v>110</v>
      </c>
      <c r="K1069" s="9" t="s">
        <v>278</v>
      </c>
      <c r="L1069" s="9" t="s">
        <v>34</v>
      </c>
      <c r="M1069" s="9" t="s">
        <v>61</v>
      </c>
      <c r="N1069" s="11">
        <v>5</v>
      </c>
      <c r="O1069" s="11">
        <f t="shared" ca="1" si="128"/>
        <v>12.235616438356164</v>
      </c>
      <c r="P1069" s="12">
        <f t="shared" ca="1" si="129"/>
        <v>17.235616438356164</v>
      </c>
      <c r="Q1069" s="12" t="s">
        <v>68</v>
      </c>
      <c r="R1069" s="9" t="s">
        <v>27</v>
      </c>
      <c r="S1069" s="24" t="s">
        <v>36</v>
      </c>
      <c r="T1069" s="9" t="s">
        <v>2537</v>
      </c>
    </row>
    <row r="1070" spans="1:20" ht="35.25" customHeight="1">
      <c r="A1070" s="6">
        <f t="shared" si="125"/>
        <v>1069</v>
      </c>
      <c r="B1070" s="17" t="s">
        <v>2843</v>
      </c>
      <c r="C1070" s="8" t="s">
        <v>2844</v>
      </c>
      <c r="D1070" s="9" t="s">
        <v>26</v>
      </c>
      <c r="E1070" s="10">
        <v>27624</v>
      </c>
      <c r="F1070" s="11">
        <f t="shared" ca="1" si="130"/>
        <v>48.347945205479455</v>
      </c>
      <c r="G1070" s="11">
        <f t="shared" si="126"/>
        <v>8</v>
      </c>
      <c r="H1070" s="11">
        <f t="shared" si="127"/>
        <v>18</v>
      </c>
      <c r="I1070" s="10">
        <v>40805</v>
      </c>
      <c r="J1070" s="9" t="s">
        <v>50</v>
      </c>
      <c r="K1070" s="9" t="s">
        <v>2499</v>
      </c>
      <c r="L1070" s="9" t="s">
        <v>393</v>
      </c>
      <c r="M1070" s="9" t="s">
        <v>61</v>
      </c>
      <c r="N1070" s="11">
        <v>11</v>
      </c>
      <c r="O1070" s="11">
        <f t="shared" ca="1" si="128"/>
        <v>12.235616438356164</v>
      </c>
      <c r="P1070" s="12">
        <f t="shared" ca="1" si="129"/>
        <v>23.235616438356164</v>
      </c>
      <c r="Q1070" s="12" t="s">
        <v>26</v>
      </c>
      <c r="R1070" s="9" t="s">
        <v>27</v>
      </c>
      <c r="S1070" s="24" t="s">
        <v>36</v>
      </c>
      <c r="T1070" s="9" t="s">
        <v>892</v>
      </c>
    </row>
    <row r="1071" spans="1:20" ht="35.25" customHeight="1">
      <c r="A1071" s="6">
        <f t="shared" si="125"/>
        <v>1070</v>
      </c>
      <c r="B1071" s="17" t="s">
        <v>2845</v>
      </c>
      <c r="C1071" s="8" t="s">
        <v>2846</v>
      </c>
      <c r="D1071" s="9" t="s">
        <v>26</v>
      </c>
      <c r="E1071" s="10">
        <v>31547</v>
      </c>
      <c r="F1071" s="11">
        <f t="shared" ca="1" si="130"/>
        <v>37.6</v>
      </c>
      <c r="G1071" s="11">
        <f t="shared" si="126"/>
        <v>5</v>
      </c>
      <c r="H1071" s="11">
        <f t="shared" si="127"/>
        <v>15</v>
      </c>
      <c r="I1071" s="10">
        <v>40805</v>
      </c>
      <c r="J1071" s="9" t="s">
        <v>87</v>
      </c>
      <c r="K1071" s="9" t="s">
        <v>1832</v>
      </c>
      <c r="L1071" s="9" t="s">
        <v>34</v>
      </c>
      <c r="M1071" s="9" t="s">
        <v>61</v>
      </c>
      <c r="N1071" s="11">
        <v>3.3</v>
      </c>
      <c r="O1071" s="11">
        <f t="shared" ca="1" si="128"/>
        <v>12.235616438356164</v>
      </c>
      <c r="P1071" s="12">
        <f t="shared" ca="1" si="129"/>
        <v>15.535616438356165</v>
      </c>
      <c r="Q1071" s="12" t="s">
        <v>68</v>
      </c>
      <c r="R1071" s="9" t="s">
        <v>27</v>
      </c>
      <c r="S1071" s="24" t="s">
        <v>36</v>
      </c>
      <c r="T1071" s="9" t="s">
        <v>36</v>
      </c>
    </row>
    <row r="1072" spans="1:20" ht="35.25" customHeight="1">
      <c r="A1072" s="6">
        <f t="shared" si="125"/>
        <v>1071</v>
      </c>
      <c r="B1072" s="17" t="s">
        <v>2847</v>
      </c>
      <c r="C1072" s="8" t="s">
        <v>2848</v>
      </c>
      <c r="D1072" s="9" t="s">
        <v>26</v>
      </c>
      <c r="E1072" s="10">
        <v>25075</v>
      </c>
      <c r="F1072" s="11">
        <f t="shared" ca="1" si="130"/>
        <v>55.331506849315069</v>
      </c>
      <c r="G1072" s="11">
        <f t="shared" si="126"/>
        <v>8</v>
      </c>
      <c r="H1072" s="11">
        <f t="shared" si="127"/>
        <v>25</v>
      </c>
      <c r="I1072" s="10">
        <v>40808</v>
      </c>
      <c r="J1072" s="9" t="s">
        <v>22</v>
      </c>
      <c r="K1072" s="9" t="s">
        <v>75</v>
      </c>
      <c r="L1072" s="9" t="s">
        <v>147</v>
      </c>
      <c r="M1072" s="9" t="s">
        <v>134</v>
      </c>
      <c r="N1072" s="11">
        <v>16.3</v>
      </c>
      <c r="O1072" s="11">
        <f t="shared" ca="1" si="128"/>
        <v>12.227397260273973</v>
      </c>
      <c r="P1072" s="12">
        <f t="shared" ca="1" si="129"/>
        <v>28.527397260273972</v>
      </c>
      <c r="Q1072" s="12" t="s">
        <v>26</v>
      </c>
      <c r="R1072" s="9" t="s">
        <v>27</v>
      </c>
      <c r="S1072" s="24" t="s">
        <v>28</v>
      </c>
      <c r="T1072" s="9" t="s">
        <v>29</v>
      </c>
    </row>
    <row r="1073" spans="1:20" ht="35.25" customHeight="1">
      <c r="A1073" s="6">
        <f t="shared" si="125"/>
        <v>1072</v>
      </c>
      <c r="B1073" s="17" t="s">
        <v>2849</v>
      </c>
      <c r="C1073" s="8" t="s">
        <v>2696</v>
      </c>
      <c r="D1073" s="9" t="s">
        <v>26</v>
      </c>
      <c r="E1073" s="10">
        <v>26337</v>
      </c>
      <c r="F1073" s="11">
        <f t="shared" ca="1" si="130"/>
        <v>51.873972602739727</v>
      </c>
      <c r="G1073" s="11">
        <f t="shared" si="126"/>
        <v>2</v>
      </c>
      <c r="H1073" s="11">
        <f t="shared" si="127"/>
        <v>8</v>
      </c>
      <c r="I1073" s="10">
        <v>40809</v>
      </c>
      <c r="J1073" s="9" t="s">
        <v>22</v>
      </c>
      <c r="K1073" s="9" t="s">
        <v>2060</v>
      </c>
      <c r="L1073" s="9" t="s">
        <v>1480</v>
      </c>
      <c r="M1073" s="9" t="s">
        <v>35</v>
      </c>
      <c r="N1073" s="11">
        <v>17.100000000000001</v>
      </c>
      <c r="O1073" s="11">
        <f t="shared" ca="1" si="128"/>
        <v>12.224657534246575</v>
      </c>
      <c r="P1073" s="12">
        <f t="shared" ca="1" si="129"/>
        <v>29.324657534246576</v>
      </c>
      <c r="Q1073" s="12" t="s">
        <v>26</v>
      </c>
      <c r="R1073" s="9" t="s">
        <v>95</v>
      </c>
      <c r="S1073" s="24" t="s">
        <v>28</v>
      </c>
      <c r="T1073" s="9" t="s">
        <v>29</v>
      </c>
    </row>
    <row r="1074" spans="1:20" ht="35.25" customHeight="1">
      <c r="A1074" s="6">
        <f t="shared" si="125"/>
        <v>1073</v>
      </c>
      <c r="B1074" s="17" t="s">
        <v>2850</v>
      </c>
      <c r="C1074" s="8" t="s">
        <v>2851</v>
      </c>
      <c r="D1074" s="9" t="s">
        <v>26</v>
      </c>
      <c r="E1074" s="10">
        <v>23191</v>
      </c>
      <c r="F1074" s="11">
        <f t="shared" ca="1" si="130"/>
        <v>60.493150684931507</v>
      </c>
      <c r="G1074" s="11">
        <f t="shared" si="126"/>
        <v>6</v>
      </c>
      <c r="H1074" s="11">
        <f t="shared" si="127"/>
        <v>29</v>
      </c>
      <c r="I1074" s="10">
        <v>40810</v>
      </c>
      <c r="J1074" s="9" t="s">
        <v>41</v>
      </c>
      <c r="K1074" s="9" t="s">
        <v>307</v>
      </c>
      <c r="L1074" s="9" t="s">
        <v>24</v>
      </c>
      <c r="M1074" s="9" t="s">
        <v>491</v>
      </c>
      <c r="N1074" s="11">
        <v>16.3</v>
      </c>
      <c r="O1074" s="11">
        <f t="shared" ca="1" si="128"/>
        <v>12.221917808219178</v>
      </c>
      <c r="P1074" s="12">
        <f t="shared" ca="1" si="129"/>
        <v>28.521917808219179</v>
      </c>
      <c r="Q1074" s="12" t="s">
        <v>26</v>
      </c>
      <c r="R1074" s="9" t="s">
        <v>792</v>
      </c>
      <c r="S1074" s="24" t="s">
        <v>36</v>
      </c>
      <c r="T1074" s="9" t="s">
        <v>492</v>
      </c>
    </row>
    <row r="1075" spans="1:20" ht="35.25" customHeight="1">
      <c r="A1075" s="6">
        <f t="shared" si="125"/>
        <v>1074</v>
      </c>
      <c r="B1075" s="17" t="s">
        <v>2852</v>
      </c>
      <c r="C1075" s="8" t="s">
        <v>2853</v>
      </c>
      <c r="D1075" s="9" t="s">
        <v>26</v>
      </c>
      <c r="E1075" s="10">
        <v>32454</v>
      </c>
      <c r="F1075" s="11">
        <f t="shared" ca="1" si="130"/>
        <v>35.115068493150687</v>
      </c>
      <c r="G1075" s="11">
        <f t="shared" si="126"/>
        <v>11</v>
      </c>
      <c r="H1075" s="11">
        <f t="shared" si="127"/>
        <v>7</v>
      </c>
      <c r="I1075" s="10">
        <v>40812</v>
      </c>
      <c r="J1075" s="9" t="s">
        <v>45</v>
      </c>
      <c r="K1075" s="9" t="s">
        <v>2736</v>
      </c>
      <c r="L1075" s="9" t="s">
        <v>220</v>
      </c>
      <c r="M1075" s="9" t="s">
        <v>25</v>
      </c>
      <c r="N1075" s="11">
        <v>0</v>
      </c>
      <c r="O1075" s="11">
        <f t="shared" ca="1" si="128"/>
        <v>12.216438356164383</v>
      </c>
      <c r="P1075" s="12">
        <f t="shared" ca="1" si="129"/>
        <v>12.216438356164383</v>
      </c>
      <c r="Q1075" s="12" t="s">
        <v>68</v>
      </c>
      <c r="R1075" s="9" t="s">
        <v>27</v>
      </c>
      <c r="S1075" s="24" t="s">
        <v>28</v>
      </c>
      <c r="T1075" s="9" t="s">
        <v>29</v>
      </c>
    </row>
    <row r="1076" spans="1:20" ht="35.25" customHeight="1">
      <c r="A1076" s="6">
        <f t="shared" si="125"/>
        <v>1075</v>
      </c>
      <c r="B1076" s="17" t="s">
        <v>2854</v>
      </c>
      <c r="C1076" s="8" t="s">
        <v>2855</v>
      </c>
      <c r="D1076" s="9" t="s">
        <v>26</v>
      </c>
      <c r="E1076" s="10">
        <v>31539</v>
      </c>
      <c r="F1076" s="11">
        <f t="shared" ca="1" si="130"/>
        <v>37.62191780821918</v>
      </c>
      <c r="G1076" s="11">
        <f t="shared" si="126"/>
        <v>5</v>
      </c>
      <c r="H1076" s="11">
        <f t="shared" si="127"/>
        <v>7</v>
      </c>
      <c r="I1076" s="10">
        <v>40812</v>
      </c>
      <c r="J1076" s="9" t="s">
        <v>110</v>
      </c>
      <c r="K1076" s="9" t="s">
        <v>2856</v>
      </c>
      <c r="L1076" s="9" t="s">
        <v>1002</v>
      </c>
      <c r="M1076" s="9" t="s">
        <v>35</v>
      </c>
      <c r="N1076" s="11">
        <v>6.3</v>
      </c>
      <c r="O1076" s="11">
        <f t="shared" ca="1" si="128"/>
        <v>12.216438356164383</v>
      </c>
      <c r="P1076" s="12">
        <f t="shared" ca="1" si="129"/>
        <v>18.516438356164382</v>
      </c>
      <c r="Q1076" s="12" t="s">
        <v>26</v>
      </c>
      <c r="R1076" s="9" t="s">
        <v>27</v>
      </c>
      <c r="S1076" s="24" t="s">
        <v>28</v>
      </c>
      <c r="T1076" s="9" t="s">
        <v>29</v>
      </c>
    </row>
    <row r="1077" spans="1:20" ht="35.25" customHeight="1">
      <c r="A1077" s="6">
        <f t="shared" si="125"/>
        <v>1076</v>
      </c>
      <c r="B1077" s="17" t="s">
        <v>2857</v>
      </c>
      <c r="C1077" s="8" t="s">
        <v>2858</v>
      </c>
      <c r="D1077" s="9" t="s">
        <v>26</v>
      </c>
      <c r="E1077" s="10">
        <v>30859</v>
      </c>
      <c r="F1077" s="11">
        <f t="shared" ca="1" si="130"/>
        <v>39.484931506849314</v>
      </c>
      <c r="G1077" s="11">
        <f t="shared" si="126"/>
        <v>6</v>
      </c>
      <c r="H1077" s="11">
        <f t="shared" si="127"/>
        <v>26</v>
      </c>
      <c r="I1077" s="10">
        <v>40812</v>
      </c>
      <c r="J1077" s="9" t="s">
        <v>87</v>
      </c>
      <c r="K1077" s="9" t="s">
        <v>1832</v>
      </c>
      <c r="L1077" s="9" t="s">
        <v>34</v>
      </c>
      <c r="M1077" s="9" t="s">
        <v>35</v>
      </c>
      <c r="N1077" s="11">
        <v>7.4</v>
      </c>
      <c r="O1077" s="11">
        <f t="shared" ref="O1077:O1110" ca="1" si="131">(TODAY()-I1077)/365</f>
        <v>12.216438356164383</v>
      </c>
      <c r="P1077" s="12">
        <f t="shared" ca="1" si="129"/>
        <v>19.616438356164384</v>
      </c>
      <c r="Q1077" s="12" t="s">
        <v>26</v>
      </c>
      <c r="R1077" s="9" t="s">
        <v>27</v>
      </c>
      <c r="S1077" s="24" t="s">
        <v>36</v>
      </c>
      <c r="T1077" s="9" t="s">
        <v>90</v>
      </c>
    </row>
    <row r="1078" spans="1:20" ht="35.25" customHeight="1">
      <c r="A1078" s="6">
        <f t="shared" si="125"/>
        <v>1077</v>
      </c>
      <c r="B1078" s="17" t="s">
        <v>2859</v>
      </c>
      <c r="C1078" s="8" t="s">
        <v>2860</v>
      </c>
      <c r="D1078" s="9" t="s">
        <v>26</v>
      </c>
      <c r="E1078" s="10">
        <v>28976</v>
      </c>
      <c r="F1078" s="11">
        <f t="shared" ca="1" si="130"/>
        <v>44.643835616438359</v>
      </c>
      <c r="G1078" s="11">
        <f t="shared" si="126"/>
        <v>5</v>
      </c>
      <c r="H1078" s="11">
        <f t="shared" si="127"/>
        <v>1</v>
      </c>
      <c r="I1078" s="10">
        <v>40812</v>
      </c>
      <c r="J1078" s="9" t="s">
        <v>1055</v>
      </c>
      <c r="K1078" s="9" t="s">
        <v>580</v>
      </c>
      <c r="L1078" s="9" t="s">
        <v>55</v>
      </c>
      <c r="M1078" s="9" t="s">
        <v>35</v>
      </c>
      <c r="N1078" s="11">
        <v>15</v>
      </c>
      <c r="O1078" s="11">
        <f t="shared" ca="1" si="131"/>
        <v>12.216438356164383</v>
      </c>
      <c r="P1078" s="12">
        <f t="shared" ca="1" si="129"/>
        <v>27.216438356164382</v>
      </c>
      <c r="Q1078" s="12" t="s">
        <v>68</v>
      </c>
      <c r="R1078" s="9" t="s">
        <v>27</v>
      </c>
      <c r="S1078" s="24" t="s">
        <v>36</v>
      </c>
      <c r="T1078" s="9" t="s">
        <v>37</v>
      </c>
    </row>
    <row r="1079" spans="1:20" ht="35.25" customHeight="1">
      <c r="A1079" s="6">
        <f t="shared" si="125"/>
        <v>1078</v>
      </c>
      <c r="B1079" s="17" t="s">
        <v>2861</v>
      </c>
      <c r="C1079" s="8" t="s">
        <v>2862</v>
      </c>
      <c r="D1079" s="9" t="s">
        <v>26</v>
      </c>
      <c r="E1079" s="10">
        <v>33259</v>
      </c>
      <c r="F1079" s="11">
        <f t="shared" ca="1" si="130"/>
        <v>32.909589041095892</v>
      </c>
      <c r="G1079" s="11">
        <f t="shared" si="126"/>
        <v>1</v>
      </c>
      <c r="H1079" s="11">
        <f t="shared" si="127"/>
        <v>21</v>
      </c>
      <c r="I1079" s="10">
        <v>40812</v>
      </c>
      <c r="J1079" s="9" t="s">
        <v>41</v>
      </c>
      <c r="K1079" s="9" t="s">
        <v>863</v>
      </c>
      <c r="L1079" s="9" t="s">
        <v>1603</v>
      </c>
      <c r="M1079" s="9" t="s">
        <v>35</v>
      </c>
      <c r="N1079" s="11">
        <v>1.7</v>
      </c>
      <c r="O1079" s="11">
        <f t="shared" ca="1" si="131"/>
        <v>12.216438356164383</v>
      </c>
      <c r="P1079" s="12">
        <f t="shared" ca="1" si="129"/>
        <v>13.916438356164383</v>
      </c>
      <c r="Q1079" s="12" t="s">
        <v>26</v>
      </c>
      <c r="R1079" s="9" t="s">
        <v>627</v>
      </c>
      <c r="S1079" s="24" t="s">
        <v>36</v>
      </c>
      <c r="T1079" s="9" t="s">
        <v>951</v>
      </c>
    </row>
    <row r="1080" spans="1:20" ht="35.25" customHeight="1">
      <c r="A1080" s="6">
        <f t="shared" si="125"/>
        <v>1079</v>
      </c>
      <c r="B1080" s="17" t="s">
        <v>2863</v>
      </c>
      <c r="C1080" s="8" t="s">
        <v>2015</v>
      </c>
      <c r="D1080" s="9" t="s">
        <v>26</v>
      </c>
      <c r="E1080" s="10">
        <v>31914</v>
      </c>
      <c r="F1080" s="11">
        <f t="shared" ca="1" si="130"/>
        <v>36.594520547945208</v>
      </c>
      <c r="G1080" s="11">
        <f t="shared" si="126"/>
        <v>5</v>
      </c>
      <c r="H1080" s="11">
        <f t="shared" si="127"/>
        <v>17</v>
      </c>
      <c r="I1080" s="10">
        <v>40812</v>
      </c>
      <c r="J1080" s="9" t="s">
        <v>110</v>
      </c>
      <c r="K1080" s="9" t="s">
        <v>1812</v>
      </c>
      <c r="L1080" s="9" t="s">
        <v>34</v>
      </c>
      <c r="M1080" s="9" t="s">
        <v>61</v>
      </c>
      <c r="N1080" s="11">
        <v>6.5</v>
      </c>
      <c r="O1080" s="11">
        <f t="shared" ca="1" si="131"/>
        <v>12.216438356164383</v>
      </c>
      <c r="P1080" s="12">
        <f t="shared" ca="1" si="129"/>
        <v>18.716438356164382</v>
      </c>
      <c r="Q1080" s="12" t="s">
        <v>68</v>
      </c>
      <c r="R1080" s="9" t="s">
        <v>27</v>
      </c>
      <c r="S1080" s="24" t="s">
        <v>36</v>
      </c>
      <c r="T1080" s="9" t="s">
        <v>2537</v>
      </c>
    </row>
    <row r="1081" spans="1:20" ht="35.25" customHeight="1">
      <c r="A1081" s="6">
        <f t="shared" si="125"/>
        <v>1080</v>
      </c>
      <c r="B1081" s="17" t="s">
        <v>2864</v>
      </c>
      <c r="C1081" s="8" t="s">
        <v>2865</v>
      </c>
      <c r="D1081" s="9" t="s">
        <v>26</v>
      </c>
      <c r="E1081" s="10">
        <v>32175</v>
      </c>
      <c r="F1081" s="11">
        <f t="shared" ca="1" si="130"/>
        <v>35.87945205479452</v>
      </c>
      <c r="G1081" s="11">
        <f t="shared" si="126"/>
        <v>2</v>
      </c>
      <c r="H1081" s="11">
        <f t="shared" si="127"/>
        <v>2</v>
      </c>
      <c r="I1081" s="10">
        <v>40813</v>
      </c>
      <c r="J1081" s="9" t="s">
        <v>110</v>
      </c>
      <c r="K1081" s="9" t="s">
        <v>2866</v>
      </c>
      <c r="L1081" s="9" t="s">
        <v>393</v>
      </c>
      <c r="M1081" s="9" t="s">
        <v>61</v>
      </c>
      <c r="N1081" s="11">
        <v>3.3</v>
      </c>
      <c r="O1081" s="11">
        <f t="shared" ca="1" si="131"/>
        <v>12.213698630136987</v>
      </c>
      <c r="P1081" s="12">
        <f t="shared" ca="1" si="129"/>
        <v>15.513698630136986</v>
      </c>
      <c r="Q1081" s="12" t="s">
        <v>68</v>
      </c>
      <c r="R1081" s="9" t="s">
        <v>27</v>
      </c>
      <c r="S1081" s="24" t="s">
        <v>36</v>
      </c>
      <c r="T1081" s="9" t="s">
        <v>2537</v>
      </c>
    </row>
    <row r="1082" spans="1:20" ht="35.25" customHeight="1">
      <c r="A1082" s="6">
        <f t="shared" si="125"/>
        <v>1081</v>
      </c>
      <c r="B1082" s="17" t="s">
        <v>2867</v>
      </c>
      <c r="C1082" s="8" t="s">
        <v>2868</v>
      </c>
      <c r="D1082" s="9" t="s">
        <v>26</v>
      </c>
      <c r="E1082" s="10">
        <v>30839</v>
      </c>
      <c r="F1082" s="11">
        <f t="shared" ca="1" si="130"/>
        <v>39.539726027397258</v>
      </c>
      <c r="G1082" s="11">
        <f t="shared" si="126"/>
        <v>6</v>
      </c>
      <c r="H1082" s="11">
        <f t="shared" si="127"/>
        <v>6</v>
      </c>
      <c r="I1082" s="10">
        <v>40813</v>
      </c>
      <c r="J1082" s="9" t="s">
        <v>87</v>
      </c>
      <c r="K1082" s="9" t="s">
        <v>1097</v>
      </c>
      <c r="L1082" s="9" t="s">
        <v>2760</v>
      </c>
      <c r="M1082" s="9" t="s">
        <v>35</v>
      </c>
      <c r="N1082" s="11">
        <v>5</v>
      </c>
      <c r="O1082" s="11">
        <f t="shared" ca="1" si="131"/>
        <v>12.213698630136987</v>
      </c>
      <c r="P1082" s="12">
        <f t="shared" ca="1" si="129"/>
        <v>17.213698630136989</v>
      </c>
      <c r="Q1082" s="12" t="s">
        <v>68</v>
      </c>
      <c r="R1082" s="9" t="s">
        <v>27</v>
      </c>
      <c r="S1082" s="24" t="s">
        <v>36</v>
      </c>
      <c r="T1082" s="9" t="s">
        <v>137</v>
      </c>
    </row>
    <row r="1083" spans="1:20" ht="35.25" customHeight="1">
      <c r="A1083" s="6">
        <f t="shared" si="125"/>
        <v>1082</v>
      </c>
      <c r="B1083" s="17" t="s">
        <v>2869</v>
      </c>
      <c r="C1083" s="8" t="s">
        <v>2870</v>
      </c>
      <c r="D1083" s="9" t="s">
        <v>21</v>
      </c>
      <c r="E1083" s="10">
        <v>31718</v>
      </c>
      <c r="F1083" s="11">
        <f t="shared" ca="1" si="130"/>
        <v>37.131506849315066</v>
      </c>
      <c r="G1083" s="11">
        <f t="shared" si="126"/>
        <v>11</v>
      </c>
      <c r="H1083" s="11">
        <f t="shared" si="127"/>
        <v>2</v>
      </c>
      <c r="I1083" s="10">
        <v>40815</v>
      </c>
      <c r="J1083" s="9" t="s">
        <v>87</v>
      </c>
      <c r="K1083" s="9" t="s">
        <v>2871</v>
      </c>
      <c r="L1083" s="9" t="s">
        <v>231</v>
      </c>
      <c r="M1083" s="9" t="s">
        <v>156</v>
      </c>
      <c r="N1083" s="11">
        <v>4</v>
      </c>
      <c r="O1083" s="11">
        <f t="shared" ca="1" si="131"/>
        <v>12.208219178082192</v>
      </c>
      <c r="P1083" s="12">
        <f t="shared" ca="1" si="129"/>
        <v>16.208219178082192</v>
      </c>
      <c r="Q1083" s="12" t="s">
        <v>26</v>
      </c>
      <c r="R1083" s="9" t="s">
        <v>27</v>
      </c>
      <c r="S1083" s="24" t="s">
        <v>28</v>
      </c>
      <c r="T1083" s="9" t="s">
        <v>114</v>
      </c>
    </row>
    <row r="1084" spans="1:20" ht="35.25" customHeight="1">
      <c r="A1084" s="6">
        <f t="shared" si="125"/>
        <v>1083</v>
      </c>
      <c r="B1084" s="17" t="s">
        <v>2872</v>
      </c>
      <c r="C1084" s="8" t="s">
        <v>2873</v>
      </c>
      <c r="D1084" s="9" t="s">
        <v>26</v>
      </c>
      <c r="E1084" s="10">
        <v>32136</v>
      </c>
      <c r="F1084" s="11">
        <f t="shared" ca="1" si="130"/>
        <v>35.986301369863014</v>
      </c>
      <c r="G1084" s="11">
        <f t="shared" si="126"/>
        <v>12</v>
      </c>
      <c r="H1084" s="11">
        <f t="shared" si="127"/>
        <v>25</v>
      </c>
      <c r="I1084" s="10">
        <v>40819</v>
      </c>
      <c r="J1084" s="9" t="s">
        <v>45</v>
      </c>
      <c r="K1084" s="9" t="s">
        <v>2874</v>
      </c>
      <c r="L1084" s="9" t="s">
        <v>204</v>
      </c>
      <c r="M1084" s="9" t="s">
        <v>25</v>
      </c>
      <c r="N1084" s="11">
        <v>0</v>
      </c>
      <c r="O1084" s="11">
        <f t="shared" ca="1" si="131"/>
        <v>12.197260273972603</v>
      </c>
      <c r="P1084" s="12">
        <f t="shared" ca="1" si="129"/>
        <v>12.197260273972603</v>
      </c>
      <c r="Q1084" s="12" t="s">
        <v>68</v>
      </c>
      <c r="R1084" s="9" t="s">
        <v>27</v>
      </c>
      <c r="S1084" s="24" t="s">
        <v>28</v>
      </c>
      <c r="T1084" s="9" t="s">
        <v>29</v>
      </c>
    </row>
    <row r="1085" spans="1:20" ht="35.25" customHeight="1">
      <c r="A1085" s="6">
        <f t="shared" si="125"/>
        <v>1084</v>
      </c>
      <c r="B1085" s="17" t="s">
        <v>2875</v>
      </c>
      <c r="C1085" s="8" t="s">
        <v>2876</v>
      </c>
      <c r="D1085" s="9" t="s">
        <v>21</v>
      </c>
      <c r="E1085" s="10">
        <v>32186</v>
      </c>
      <c r="F1085" s="11">
        <f t="shared" ca="1" si="130"/>
        <v>35.849315068493148</v>
      </c>
      <c r="G1085" s="11">
        <f t="shared" si="126"/>
        <v>2</v>
      </c>
      <c r="H1085" s="11">
        <f t="shared" si="127"/>
        <v>13</v>
      </c>
      <c r="I1085" s="10">
        <v>40819</v>
      </c>
      <c r="J1085" s="9" t="s">
        <v>87</v>
      </c>
      <c r="K1085" s="9" t="s">
        <v>1369</v>
      </c>
      <c r="L1085" s="9" t="s">
        <v>204</v>
      </c>
      <c r="M1085" s="9" t="s">
        <v>25</v>
      </c>
      <c r="N1085" s="11">
        <v>1.3</v>
      </c>
      <c r="O1085" s="11">
        <f t="shared" ca="1" si="131"/>
        <v>12.197260273972603</v>
      </c>
      <c r="P1085" s="12">
        <f t="shared" ca="1" si="129"/>
        <v>13.497260273972604</v>
      </c>
      <c r="Q1085" s="12" t="s">
        <v>68</v>
      </c>
      <c r="R1085" s="9" t="s">
        <v>27</v>
      </c>
      <c r="S1085" s="24" t="s">
        <v>28</v>
      </c>
      <c r="T1085" s="9" t="s">
        <v>29</v>
      </c>
    </row>
    <row r="1086" spans="1:20" ht="35.25" customHeight="1">
      <c r="A1086" s="6">
        <f t="shared" si="125"/>
        <v>1085</v>
      </c>
      <c r="B1086" s="17" t="s">
        <v>2877</v>
      </c>
      <c r="C1086" s="8" t="s">
        <v>2878</v>
      </c>
      <c r="D1086" s="9" t="s">
        <v>26</v>
      </c>
      <c r="E1086" s="10">
        <v>31972</v>
      </c>
      <c r="F1086" s="11">
        <f t="shared" ca="1" si="130"/>
        <v>36.435616438356163</v>
      </c>
      <c r="G1086" s="11">
        <f t="shared" si="126"/>
        <v>7</v>
      </c>
      <c r="H1086" s="11">
        <f t="shared" si="127"/>
        <v>14</v>
      </c>
      <c r="I1086" s="10">
        <v>40819</v>
      </c>
      <c r="J1086" s="9" t="s">
        <v>45</v>
      </c>
      <c r="K1086" s="9" t="s">
        <v>1815</v>
      </c>
      <c r="L1086" s="9" t="s">
        <v>34</v>
      </c>
      <c r="M1086" s="9" t="s">
        <v>35</v>
      </c>
      <c r="N1086" s="11">
        <v>4.3</v>
      </c>
      <c r="O1086" s="11">
        <f t="shared" ca="1" si="131"/>
        <v>12.197260273972603</v>
      </c>
      <c r="P1086" s="12">
        <f t="shared" ca="1" si="129"/>
        <v>16.497260273972604</v>
      </c>
      <c r="Q1086" s="12" t="s">
        <v>68</v>
      </c>
      <c r="R1086" s="9" t="s">
        <v>442</v>
      </c>
      <c r="S1086" s="24" t="s">
        <v>36</v>
      </c>
      <c r="T1086" s="9" t="s">
        <v>72</v>
      </c>
    </row>
    <row r="1087" spans="1:20" ht="35.25" customHeight="1">
      <c r="A1087" s="6">
        <f t="shared" si="125"/>
        <v>1086</v>
      </c>
      <c r="B1087" s="17" t="s">
        <v>2879</v>
      </c>
      <c r="C1087" s="8" t="s">
        <v>2880</v>
      </c>
      <c r="D1087" s="9" t="s">
        <v>26</v>
      </c>
      <c r="E1087" s="10">
        <v>28538</v>
      </c>
      <c r="F1087" s="11">
        <f t="shared" ca="1" si="130"/>
        <v>45.843835616438355</v>
      </c>
      <c r="G1087" s="11">
        <f t="shared" si="126"/>
        <v>2</v>
      </c>
      <c r="H1087" s="11">
        <f t="shared" si="127"/>
        <v>17</v>
      </c>
      <c r="I1087" s="10">
        <v>40819</v>
      </c>
      <c r="J1087" s="9" t="s">
        <v>32</v>
      </c>
      <c r="K1087" s="9" t="s">
        <v>985</v>
      </c>
      <c r="L1087" s="9" t="s">
        <v>325</v>
      </c>
      <c r="M1087" s="9" t="s">
        <v>35</v>
      </c>
      <c r="N1087" s="11">
        <v>12</v>
      </c>
      <c r="O1087" s="11">
        <f t="shared" ca="1" si="131"/>
        <v>12.197260273972603</v>
      </c>
      <c r="P1087" s="12">
        <f t="shared" ca="1" si="129"/>
        <v>24.197260273972603</v>
      </c>
      <c r="Q1087" s="12" t="s">
        <v>26</v>
      </c>
      <c r="R1087" s="9" t="s">
        <v>356</v>
      </c>
      <c r="S1087" s="24" t="s">
        <v>28</v>
      </c>
      <c r="T1087" s="9" t="s">
        <v>29</v>
      </c>
    </row>
    <row r="1088" spans="1:20" ht="35.25" customHeight="1">
      <c r="A1088" s="6">
        <f t="shared" si="125"/>
        <v>1087</v>
      </c>
      <c r="B1088" s="17" t="s">
        <v>2881</v>
      </c>
      <c r="C1088" s="8" t="s">
        <v>2882</v>
      </c>
      <c r="D1088" s="9" t="s">
        <v>26</v>
      </c>
      <c r="E1088" s="10">
        <v>29007</v>
      </c>
      <c r="F1088" s="11">
        <f t="shared" ca="1" si="130"/>
        <v>44.558904109589044</v>
      </c>
      <c r="G1088" s="11">
        <f t="shared" si="126"/>
        <v>6</v>
      </c>
      <c r="H1088" s="11">
        <f t="shared" si="127"/>
        <v>1</v>
      </c>
      <c r="I1088" s="10">
        <v>40819</v>
      </c>
      <c r="J1088" s="9" t="s">
        <v>87</v>
      </c>
      <c r="K1088" s="9" t="s">
        <v>412</v>
      </c>
      <c r="L1088" s="9" t="s">
        <v>1603</v>
      </c>
      <c r="M1088" s="9" t="s">
        <v>35</v>
      </c>
      <c r="N1088" s="11">
        <v>8.1</v>
      </c>
      <c r="O1088" s="11">
        <f t="shared" ca="1" si="131"/>
        <v>12.197260273972603</v>
      </c>
      <c r="P1088" s="12">
        <f t="shared" ca="1" si="129"/>
        <v>20.297260273972604</v>
      </c>
      <c r="Q1088" s="12" t="s">
        <v>26</v>
      </c>
      <c r="R1088" s="9" t="s">
        <v>27</v>
      </c>
      <c r="S1088" s="24" t="s">
        <v>36</v>
      </c>
      <c r="T1088" s="9" t="s">
        <v>279</v>
      </c>
    </row>
    <row r="1089" spans="1:20" ht="35.25" customHeight="1">
      <c r="A1089" s="6">
        <f t="shared" si="125"/>
        <v>1088</v>
      </c>
      <c r="B1089" s="17" t="s">
        <v>2883</v>
      </c>
      <c r="C1089" s="8" t="s">
        <v>2884</v>
      </c>
      <c r="D1089" s="9" t="s">
        <v>26</v>
      </c>
      <c r="E1089" s="10">
        <v>31912</v>
      </c>
      <c r="F1089" s="11">
        <f t="shared" ca="1" si="130"/>
        <v>36.6</v>
      </c>
      <c r="G1089" s="11">
        <f t="shared" si="126"/>
        <v>5</v>
      </c>
      <c r="H1089" s="11">
        <f t="shared" si="127"/>
        <v>15</v>
      </c>
      <c r="I1089" s="10">
        <v>40819</v>
      </c>
      <c r="J1089" s="9" t="s">
        <v>87</v>
      </c>
      <c r="K1089" s="9" t="s">
        <v>2523</v>
      </c>
      <c r="L1089" s="9" t="s">
        <v>2524</v>
      </c>
      <c r="M1089" s="9" t="s">
        <v>35</v>
      </c>
      <c r="N1089" s="11">
        <v>4.5</v>
      </c>
      <c r="O1089" s="11">
        <f t="shared" ca="1" si="131"/>
        <v>12.197260273972603</v>
      </c>
      <c r="P1089" s="12">
        <f t="shared" ca="1" si="129"/>
        <v>16.697260273972603</v>
      </c>
      <c r="Q1089" s="12" t="s">
        <v>68</v>
      </c>
      <c r="R1089" s="9" t="s">
        <v>27</v>
      </c>
      <c r="S1089" s="24" t="s">
        <v>36</v>
      </c>
      <c r="T1089" s="9" t="s">
        <v>951</v>
      </c>
    </row>
    <row r="1090" spans="1:20" ht="35.25" customHeight="1">
      <c r="A1090" s="6">
        <f t="shared" si="125"/>
        <v>1089</v>
      </c>
      <c r="B1090" s="17" t="s">
        <v>2885</v>
      </c>
      <c r="C1090" s="8" t="s">
        <v>2886</v>
      </c>
      <c r="D1090" s="9" t="s">
        <v>26</v>
      </c>
      <c r="E1090" s="10">
        <v>32329</v>
      </c>
      <c r="F1090" s="11">
        <f t="shared" ca="1" si="130"/>
        <v>35.457534246575342</v>
      </c>
      <c r="G1090" s="11">
        <f t="shared" si="126"/>
        <v>7</v>
      </c>
      <c r="H1090" s="11">
        <f t="shared" si="127"/>
        <v>5</v>
      </c>
      <c r="I1090" s="10">
        <v>40819</v>
      </c>
      <c r="J1090" s="9" t="s">
        <v>87</v>
      </c>
      <c r="K1090" s="9" t="s">
        <v>1682</v>
      </c>
      <c r="L1090" s="9" t="s">
        <v>2887</v>
      </c>
      <c r="M1090" s="9" t="s">
        <v>35</v>
      </c>
      <c r="N1090" s="11">
        <v>2.1</v>
      </c>
      <c r="O1090" s="11">
        <f t="shared" ca="1" si="131"/>
        <v>12.197260273972603</v>
      </c>
      <c r="P1090" s="12">
        <f t="shared" ca="1" si="129"/>
        <v>14.297260273972602</v>
      </c>
      <c r="Q1090" s="12" t="s">
        <v>68</v>
      </c>
      <c r="R1090" s="9" t="s">
        <v>95</v>
      </c>
      <c r="S1090" s="24" t="s">
        <v>28</v>
      </c>
      <c r="T1090" s="9" t="s">
        <v>29</v>
      </c>
    </row>
    <row r="1091" spans="1:20" ht="35.25" customHeight="1">
      <c r="A1091" s="6">
        <f t="shared" si="125"/>
        <v>1090</v>
      </c>
      <c r="B1091" s="17" t="s">
        <v>2888</v>
      </c>
      <c r="C1091" s="8" t="s">
        <v>2889</v>
      </c>
      <c r="D1091" s="9" t="s">
        <v>26</v>
      </c>
      <c r="E1091" s="10">
        <v>32151</v>
      </c>
      <c r="F1091" s="11">
        <f t="shared" ca="1" si="130"/>
        <v>35.945205479452056</v>
      </c>
      <c r="G1091" s="11">
        <f t="shared" si="126"/>
        <v>1</v>
      </c>
      <c r="H1091" s="11">
        <f t="shared" si="127"/>
        <v>9</v>
      </c>
      <c r="I1091" s="10">
        <v>40819</v>
      </c>
      <c r="J1091" s="9" t="s">
        <v>226</v>
      </c>
      <c r="K1091" s="9" t="s">
        <v>1815</v>
      </c>
      <c r="L1091" s="9" t="s">
        <v>34</v>
      </c>
      <c r="M1091" s="9" t="s">
        <v>35</v>
      </c>
      <c r="N1091" s="11">
        <v>3.4</v>
      </c>
      <c r="O1091" s="11">
        <f t="shared" ca="1" si="131"/>
        <v>12.197260273972603</v>
      </c>
      <c r="P1091" s="12">
        <f t="shared" ca="1" si="129"/>
        <v>15.597260273972603</v>
      </c>
      <c r="Q1091" s="12" t="s">
        <v>68</v>
      </c>
      <c r="R1091" s="9" t="s">
        <v>27</v>
      </c>
      <c r="S1091" s="24" t="s">
        <v>36</v>
      </c>
      <c r="T1091" s="9" t="s">
        <v>90</v>
      </c>
    </row>
    <row r="1092" spans="1:20" ht="35.25" customHeight="1">
      <c r="A1092" s="6">
        <f t="shared" ref="A1092:A1155" si="132">+A1091+1</f>
        <v>1091</v>
      </c>
      <c r="B1092" s="17" t="s">
        <v>2890</v>
      </c>
      <c r="C1092" s="8" t="s">
        <v>2891</v>
      </c>
      <c r="D1092" s="9" t="s">
        <v>26</v>
      </c>
      <c r="E1092" s="10">
        <v>31646</v>
      </c>
      <c r="F1092" s="11">
        <f t="shared" ca="1" si="130"/>
        <v>37.328767123287669</v>
      </c>
      <c r="G1092" s="11">
        <f t="shared" si="126"/>
        <v>8</v>
      </c>
      <c r="H1092" s="11">
        <f t="shared" si="127"/>
        <v>22</v>
      </c>
      <c r="I1092" s="10">
        <v>40819</v>
      </c>
      <c r="J1092" s="9" t="s">
        <v>974</v>
      </c>
      <c r="K1092" s="9" t="s">
        <v>2892</v>
      </c>
      <c r="L1092" s="9" t="s">
        <v>1566</v>
      </c>
      <c r="M1092" s="9" t="s">
        <v>134</v>
      </c>
      <c r="N1092" s="11">
        <v>0</v>
      </c>
      <c r="O1092" s="11">
        <f t="shared" ca="1" si="131"/>
        <v>12.197260273972603</v>
      </c>
      <c r="P1092" s="12">
        <f t="shared" ca="1" si="129"/>
        <v>12.197260273972603</v>
      </c>
      <c r="Q1092" s="12" t="s">
        <v>68</v>
      </c>
      <c r="R1092" s="9" t="s">
        <v>27</v>
      </c>
      <c r="S1092" s="24" t="s">
        <v>36</v>
      </c>
      <c r="T1092" s="9" t="s">
        <v>137</v>
      </c>
    </row>
    <row r="1093" spans="1:20" ht="35.25" customHeight="1">
      <c r="A1093" s="6">
        <f t="shared" si="132"/>
        <v>1092</v>
      </c>
      <c r="B1093" s="17" t="s">
        <v>2893</v>
      </c>
      <c r="C1093" s="8" t="s">
        <v>2894</v>
      </c>
      <c r="D1093" s="9" t="s">
        <v>26</v>
      </c>
      <c r="E1093" s="10">
        <v>31351</v>
      </c>
      <c r="F1093" s="11">
        <f t="shared" ca="1" si="130"/>
        <v>38.136986301369866</v>
      </c>
      <c r="G1093" s="11">
        <f t="shared" si="126"/>
        <v>10</v>
      </c>
      <c r="H1093" s="11">
        <f t="shared" si="127"/>
        <v>31</v>
      </c>
      <c r="I1093" s="10">
        <v>40819</v>
      </c>
      <c r="J1093" s="9" t="s">
        <v>41</v>
      </c>
      <c r="K1093" s="9" t="s">
        <v>2895</v>
      </c>
      <c r="L1093" s="9" t="s">
        <v>1566</v>
      </c>
      <c r="M1093" s="9" t="s">
        <v>134</v>
      </c>
      <c r="N1093" s="11">
        <v>1</v>
      </c>
      <c r="O1093" s="11">
        <f t="shared" ca="1" si="131"/>
        <v>12.197260273972603</v>
      </c>
      <c r="P1093" s="12">
        <f t="shared" ca="1" si="129"/>
        <v>13.197260273972603</v>
      </c>
      <c r="Q1093" s="12" t="s">
        <v>68</v>
      </c>
      <c r="R1093" s="9" t="s">
        <v>27</v>
      </c>
      <c r="S1093" s="24" t="s">
        <v>36</v>
      </c>
      <c r="T1093" s="9" t="s">
        <v>137</v>
      </c>
    </row>
    <row r="1094" spans="1:20" ht="35.25" customHeight="1">
      <c r="A1094" s="6">
        <f t="shared" si="132"/>
        <v>1093</v>
      </c>
      <c r="B1094" s="17" t="s">
        <v>2896</v>
      </c>
      <c r="C1094" s="8" t="s">
        <v>2897</v>
      </c>
      <c r="D1094" s="9" t="s">
        <v>26</v>
      </c>
      <c r="E1094" s="10">
        <v>32959</v>
      </c>
      <c r="F1094" s="11">
        <f t="shared" ca="1" si="130"/>
        <v>33.731506849315068</v>
      </c>
      <c r="G1094" s="11">
        <f t="shared" si="126"/>
        <v>3</v>
      </c>
      <c r="H1094" s="11">
        <f t="shared" si="127"/>
        <v>27</v>
      </c>
      <c r="I1094" s="10">
        <v>40819</v>
      </c>
      <c r="J1094" s="9" t="s">
        <v>2460</v>
      </c>
      <c r="K1094" s="9" t="s">
        <v>2898</v>
      </c>
      <c r="L1094" s="9" t="s">
        <v>1061</v>
      </c>
      <c r="M1094" s="9" t="s">
        <v>134</v>
      </c>
      <c r="N1094" s="11">
        <v>0</v>
      </c>
      <c r="O1094" s="11">
        <f t="shared" ca="1" si="131"/>
        <v>12.197260273972603</v>
      </c>
      <c r="P1094" s="12">
        <f t="shared" ca="1" si="129"/>
        <v>12.197260273972603</v>
      </c>
      <c r="Q1094" s="12" t="s">
        <v>68</v>
      </c>
      <c r="R1094" s="9" t="s">
        <v>356</v>
      </c>
      <c r="S1094" s="24" t="s">
        <v>36</v>
      </c>
      <c r="T1094" s="9" t="s">
        <v>137</v>
      </c>
    </row>
    <row r="1095" spans="1:20" ht="35.25" customHeight="1">
      <c r="A1095" s="6">
        <f t="shared" si="132"/>
        <v>1094</v>
      </c>
      <c r="B1095" s="17" t="s">
        <v>2899</v>
      </c>
      <c r="C1095" s="8" t="s">
        <v>2900</v>
      </c>
      <c r="D1095" s="9" t="s">
        <v>26</v>
      </c>
      <c r="E1095" s="10">
        <v>30816</v>
      </c>
      <c r="F1095" s="11">
        <f t="shared" ca="1" si="130"/>
        <v>39.602739726027394</v>
      </c>
      <c r="G1095" s="11">
        <f t="shared" si="126"/>
        <v>5</v>
      </c>
      <c r="H1095" s="11">
        <f t="shared" si="127"/>
        <v>14</v>
      </c>
      <c r="I1095" s="10">
        <v>40822</v>
      </c>
      <c r="J1095" s="9" t="s">
        <v>87</v>
      </c>
      <c r="K1095" s="9" t="s">
        <v>88</v>
      </c>
      <c r="L1095" s="9" t="s">
        <v>24</v>
      </c>
      <c r="M1095" s="9" t="s">
        <v>134</v>
      </c>
      <c r="N1095" s="11">
        <v>7</v>
      </c>
      <c r="O1095" s="11">
        <f t="shared" ca="1" si="131"/>
        <v>12.189041095890412</v>
      </c>
      <c r="P1095" s="12">
        <f t="shared" ca="1" si="129"/>
        <v>19.18904109589041</v>
      </c>
      <c r="Q1095" s="12" t="s">
        <v>26</v>
      </c>
      <c r="R1095" s="9" t="s">
        <v>27</v>
      </c>
      <c r="S1095" s="24" t="s">
        <v>28</v>
      </c>
      <c r="T1095" s="9" t="s">
        <v>29</v>
      </c>
    </row>
    <row r="1096" spans="1:20" ht="35.25" customHeight="1">
      <c r="A1096" s="6">
        <f t="shared" si="132"/>
        <v>1095</v>
      </c>
      <c r="B1096" s="17" t="s">
        <v>2901</v>
      </c>
      <c r="C1096" s="8" t="s">
        <v>2902</v>
      </c>
      <c r="D1096" s="9" t="s">
        <v>26</v>
      </c>
      <c r="E1096" s="10">
        <v>30766</v>
      </c>
      <c r="F1096" s="11">
        <f t="shared" ca="1" si="130"/>
        <v>39.739726027397261</v>
      </c>
      <c r="G1096" s="11">
        <f t="shared" ref="G1096:G1127" si="133">MONTH(E1096)</f>
        <v>3</v>
      </c>
      <c r="H1096" s="11">
        <f t="shared" ref="H1096:H1102" si="134">DAY(E1096)</f>
        <v>25</v>
      </c>
      <c r="I1096" s="10">
        <v>40823</v>
      </c>
      <c r="J1096" s="9" t="s">
        <v>87</v>
      </c>
      <c r="K1096" s="9" t="s">
        <v>998</v>
      </c>
      <c r="L1096" s="9" t="s">
        <v>724</v>
      </c>
      <c r="M1096" s="9" t="s">
        <v>134</v>
      </c>
      <c r="N1096" s="11">
        <v>5.7</v>
      </c>
      <c r="O1096" s="11">
        <f t="shared" ca="1" si="131"/>
        <v>12.186301369863013</v>
      </c>
      <c r="P1096" s="12">
        <f t="shared" ca="1" si="129"/>
        <v>17.886301369863013</v>
      </c>
      <c r="Q1096" s="12" t="s">
        <v>68</v>
      </c>
      <c r="R1096" s="9" t="s">
        <v>27</v>
      </c>
      <c r="S1096" s="24" t="s">
        <v>36</v>
      </c>
      <c r="T1096" s="9" t="s">
        <v>137</v>
      </c>
    </row>
    <row r="1097" spans="1:20" ht="35.25" customHeight="1">
      <c r="A1097" s="6">
        <f t="shared" si="132"/>
        <v>1096</v>
      </c>
      <c r="B1097" s="17" t="s">
        <v>2903</v>
      </c>
      <c r="C1097" s="8" t="s">
        <v>2904</v>
      </c>
      <c r="D1097" s="9" t="s">
        <v>26</v>
      </c>
      <c r="E1097" s="10">
        <v>30498</v>
      </c>
      <c r="F1097" s="11">
        <f t="shared" ca="1" si="130"/>
        <v>40.473972602739728</v>
      </c>
      <c r="G1097" s="11">
        <f t="shared" si="133"/>
        <v>7</v>
      </c>
      <c r="H1097" s="11">
        <f t="shared" si="134"/>
        <v>1</v>
      </c>
      <c r="I1097" s="10">
        <v>40826</v>
      </c>
      <c r="J1097" s="9" t="s">
        <v>50</v>
      </c>
      <c r="K1097" s="9" t="s">
        <v>2783</v>
      </c>
      <c r="L1097" s="9" t="s">
        <v>1480</v>
      </c>
      <c r="M1097" s="9" t="s">
        <v>165</v>
      </c>
      <c r="N1097" s="11">
        <v>6.3</v>
      </c>
      <c r="O1097" s="11">
        <f t="shared" ca="1" si="131"/>
        <v>12.178082191780822</v>
      </c>
      <c r="P1097" s="12">
        <f t="shared" ca="1" si="129"/>
        <v>18.478082191780821</v>
      </c>
      <c r="Q1097" s="12" t="s">
        <v>68</v>
      </c>
      <c r="R1097" s="9" t="s">
        <v>27</v>
      </c>
      <c r="S1097" s="24" t="s">
        <v>28</v>
      </c>
      <c r="T1097" s="9" t="s">
        <v>29</v>
      </c>
    </row>
    <row r="1098" spans="1:20" ht="35.25" customHeight="1">
      <c r="A1098" s="6">
        <f t="shared" si="132"/>
        <v>1097</v>
      </c>
      <c r="B1098" s="17" t="s">
        <v>2905</v>
      </c>
      <c r="C1098" s="8" t="s">
        <v>2906</v>
      </c>
      <c r="D1098" s="9" t="s">
        <v>26</v>
      </c>
      <c r="E1098" s="10">
        <v>30750</v>
      </c>
      <c r="F1098" s="11">
        <f t="shared" ca="1" si="130"/>
        <v>39.783561643835618</v>
      </c>
      <c r="G1098" s="11">
        <f t="shared" si="133"/>
        <v>3</v>
      </c>
      <c r="H1098" s="11">
        <f t="shared" si="134"/>
        <v>9</v>
      </c>
      <c r="I1098" s="10">
        <v>40826</v>
      </c>
      <c r="J1098" s="9" t="s">
        <v>110</v>
      </c>
      <c r="K1098" s="9" t="s">
        <v>278</v>
      </c>
      <c r="L1098" s="9" t="s">
        <v>34</v>
      </c>
      <c r="M1098" s="9" t="s">
        <v>35</v>
      </c>
      <c r="N1098" s="11">
        <v>7.4</v>
      </c>
      <c r="O1098" s="11">
        <f t="shared" ca="1" si="131"/>
        <v>12.178082191780822</v>
      </c>
      <c r="P1098" s="12">
        <f t="shared" ca="1" si="129"/>
        <v>19.578082191780823</v>
      </c>
      <c r="Q1098" s="12" t="s">
        <v>68</v>
      </c>
      <c r="R1098" s="9" t="s">
        <v>27</v>
      </c>
      <c r="S1098" s="24" t="s">
        <v>36</v>
      </c>
      <c r="T1098" s="9" t="s">
        <v>874</v>
      </c>
    </row>
    <row r="1099" spans="1:20" ht="35.25" customHeight="1">
      <c r="A1099" s="6">
        <f t="shared" si="132"/>
        <v>1098</v>
      </c>
      <c r="B1099" s="17" t="s">
        <v>2907</v>
      </c>
      <c r="C1099" s="8" t="s">
        <v>2908</v>
      </c>
      <c r="D1099" s="9" t="s">
        <v>26</v>
      </c>
      <c r="E1099" s="10">
        <v>32340</v>
      </c>
      <c r="F1099" s="11">
        <f t="shared" ca="1" si="130"/>
        <v>35.42739726027397</v>
      </c>
      <c r="G1099" s="11">
        <f t="shared" si="133"/>
        <v>7</v>
      </c>
      <c r="H1099" s="11">
        <f t="shared" si="134"/>
        <v>16</v>
      </c>
      <c r="I1099" s="10">
        <v>40826</v>
      </c>
      <c r="J1099" s="9" t="s">
        <v>226</v>
      </c>
      <c r="K1099" s="9" t="s">
        <v>341</v>
      </c>
      <c r="L1099" s="9" t="s">
        <v>34</v>
      </c>
      <c r="M1099" s="9" t="s">
        <v>35</v>
      </c>
      <c r="N1099" s="11">
        <v>8.4</v>
      </c>
      <c r="O1099" s="11">
        <f t="shared" ca="1" si="131"/>
        <v>12.178082191780822</v>
      </c>
      <c r="P1099" s="12">
        <f t="shared" ca="1" si="129"/>
        <v>20.578082191780823</v>
      </c>
      <c r="Q1099" s="12" t="s">
        <v>68</v>
      </c>
      <c r="R1099" s="9" t="s">
        <v>27</v>
      </c>
      <c r="S1099" s="24" t="s">
        <v>36</v>
      </c>
      <c r="T1099" s="9" t="s">
        <v>2637</v>
      </c>
    </row>
    <row r="1100" spans="1:20" ht="35.25" customHeight="1">
      <c r="A1100" s="6">
        <f t="shared" si="132"/>
        <v>1099</v>
      </c>
      <c r="B1100" s="17" t="s">
        <v>2909</v>
      </c>
      <c r="C1100" s="8" t="s">
        <v>2910</v>
      </c>
      <c r="D1100" s="9" t="s">
        <v>26</v>
      </c>
      <c r="E1100" s="10">
        <v>31244</v>
      </c>
      <c r="F1100" s="11">
        <f t="shared" ca="1" si="130"/>
        <v>38.43013698630137</v>
      </c>
      <c r="G1100" s="11">
        <f t="shared" si="133"/>
        <v>7</v>
      </c>
      <c r="H1100" s="11">
        <f t="shared" si="134"/>
        <v>16</v>
      </c>
      <c r="I1100" s="10">
        <v>40826</v>
      </c>
      <c r="J1100" s="9" t="s">
        <v>87</v>
      </c>
      <c r="K1100" s="9" t="s">
        <v>216</v>
      </c>
      <c r="L1100" s="9" t="s">
        <v>55</v>
      </c>
      <c r="M1100" s="9" t="s">
        <v>134</v>
      </c>
      <c r="N1100" s="11">
        <v>7.4</v>
      </c>
      <c r="O1100" s="11">
        <f t="shared" ca="1" si="131"/>
        <v>12.178082191780822</v>
      </c>
      <c r="P1100" s="12">
        <f t="shared" ca="1" si="129"/>
        <v>19.578082191780823</v>
      </c>
      <c r="Q1100" s="12" t="s">
        <v>26</v>
      </c>
      <c r="R1100" s="9" t="s">
        <v>442</v>
      </c>
      <c r="S1100" s="24" t="s">
        <v>36</v>
      </c>
      <c r="T1100" s="9" t="s">
        <v>137</v>
      </c>
    </row>
    <row r="1101" spans="1:20" ht="35.25" customHeight="1">
      <c r="A1101" s="6">
        <f t="shared" si="132"/>
        <v>1100</v>
      </c>
      <c r="B1101" s="17" t="s">
        <v>2911</v>
      </c>
      <c r="C1101" s="8" t="s">
        <v>2912</v>
      </c>
      <c r="D1101" s="9" t="s">
        <v>26</v>
      </c>
      <c r="E1101" s="10">
        <v>27896</v>
      </c>
      <c r="F1101" s="11">
        <f t="shared" ca="1" si="130"/>
        <v>47.602739726027394</v>
      </c>
      <c r="G1101" s="11">
        <f t="shared" si="133"/>
        <v>5</v>
      </c>
      <c r="H1101" s="11">
        <f t="shared" si="134"/>
        <v>16</v>
      </c>
      <c r="I1101" s="10">
        <v>40826</v>
      </c>
      <c r="J1101" s="9" t="s">
        <v>87</v>
      </c>
      <c r="K1101" s="9" t="s">
        <v>723</v>
      </c>
      <c r="L1101" s="9" t="s">
        <v>724</v>
      </c>
      <c r="M1101" s="9" t="s">
        <v>134</v>
      </c>
      <c r="N1101" s="11">
        <v>14</v>
      </c>
      <c r="O1101" s="11">
        <f t="shared" ca="1" si="131"/>
        <v>12.178082191780822</v>
      </c>
      <c r="P1101" s="12">
        <f t="shared" ca="1" si="129"/>
        <v>26.178082191780824</v>
      </c>
      <c r="Q1101" s="12" t="s">
        <v>26</v>
      </c>
      <c r="R1101" s="9" t="s">
        <v>27</v>
      </c>
      <c r="S1101" s="24" t="s">
        <v>36</v>
      </c>
      <c r="T1101" s="9" t="s">
        <v>137</v>
      </c>
    </row>
    <row r="1102" spans="1:20" ht="35.25" customHeight="1">
      <c r="A1102" s="6">
        <f t="shared" si="132"/>
        <v>1101</v>
      </c>
      <c r="B1102" s="17" t="s">
        <v>2913</v>
      </c>
      <c r="C1102" s="8" t="s">
        <v>2914</v>
      </c>
      <c r="D1102" s="9" t="s">
        <v>26</v>
      </c>
      <c r="E1102" s="10">
        <v>20700</v>
      </c>
      <c r="F1102" s="11">
        <f t="shared" ca="1" si="130"/>
        <v>67.317808219178076</v>
      </c>
      <c r="G1102" s="11">
        <f t="shared" si="133"/>
        <v>9</v>
      </c>
      <c r="H1102" s="11">
        <f t="shared" si="134"/>
        <v>2</v>
      </c>
      <c r="I1102" s="10">
        <v>40817</v>
      </c>
      <c r="J1102" s="9" t="s">
        <v>32</v>
      </c>
      <c r="K1102" s="9" t="s">
        <v>1139</v>
      </c>
      <c r="L1102" s="9" t="s">
        <v>704</v>
      </c>
      <c r="M1102" s="9" t="s">
        <v>491</v>
      </c>
      <c r="N1102" s="11">
        <v>33</v>
      </c>
      <c r="O1102" s="11">
        <f t="shared" ca="1" si="131"/>
        <v>12.202739726027398</v>
      </c>
      <c r="P1102" s="12">
        <f t="shared" ca="1" si="129"/>
        <v>45.202739726027396</v>
      </c>
      <c r="Q1102" s="12" t="s">
        <v>26</v>
      </c>
      <c r="R1102" s="9" t="s">
        <v>772</v>
      </c>
      <c r="S1102" s="24" t="s">
        <v>36</v>
      </c>
      <c r="T1102" s="9" t="s">
        <v>492</v>
      </c>
    </row>
    <row r="1103" spans="1:20" ht="35.25" customHeight="1">
      <c r="A1103" s="6">
        <f t="shared" si="132"/>
        <v>1102</v>
      </c>
      <c r="B1103" s="17" t="s">
        <v>2915</v>
      </c>
      <c r="C1103" s="8" t="s">
        <v>2916</v>
      </c>
      <c r="D1103" s="9" t="s">
        <v>26</v>
      </c>
      <c r="E1103" s="10">
        <v>30106</v>
      </c>
      <c r="F1103" s="11">
        <f t="shared" ca="1" si="130"/>
        <v>41.547945205479451</v>
      </c>
      <c r="G1103" s="11">
        <f t="shared" si="133"/>
        <v>6</v>
      </c>
      <c r="H1103" s="11">
        <f>DAY(E1103)</f>
        <v>4</v>
      </c>
      <c r="I1103" s="10">
        <v>40826</v>
      </c>
      <c r="J1103" s="9" t="s">
        <v>87</v>
      </c>
      <c r="K1103" s="9" t="s">
        <v>2917</v>
      </c>
      <c r="L1103" s="9" t="s">
        <v>704</v>
      </c>
      <c r="M1103" s="9" t="s">
        <v>491</v>
      </c>
      <c r="N1103" s="11">
        <v>3.8</v>
      </c>
      <c r="O1103" s="11">
        <f t="shared" ca="1" si="131"/>
        <v>12.178082191780822</v>
      </c>
      <c r="P1103" s="12">
        <f t="shared" ca="1" si="129"/>
        <v>15.978082191780821</v>
      </c>
      <c r="Q1103" s="12" t="s">
        <v>26</v>
      </c>
      <c r="R1103" s="9" t="s">
        <v>792</v>
      </c>
      <c r="S1103" s="24" t="s">
        <v>36</v>
      </c>
      <c r="T1103" s="9" t="s">
        <v>492</v>
      </c>
    </row>
    <row r="1104" spans="1:20" ht="35.25" customHeight="1">
      <c r="A1104" s="6">
        <f t="shared" si="132"/>
        <v>1103</v>
      </c>
      <c r="B1104" s="17" t="s">
        <v>2918</v>
      </c>
      <c r="C1104" s="8" t="s">
        <v>2919</v>
      </c>
      <c r="D1104" s="9" t="s">
        <v>26</v>
      </c>
      <c r="E1104" s="10">
        <v>25792</v>
      </c>
      <c r="F1104" s="11">
        <f t="shared" ca="1" si="130"/>
        <v>53.367123287671234</v>
      </c>
      <c r="G1104" s="11">
        <f t="shared" si="133"/>
        <v>8</v>
      </c>
      <c r="H1104" s="11">
        <f>DAY(E1104)</f>
        <v>12</v>
      </c>
      <c r="I1104" s="10">
        <v>40826</v>
      </c>
      <c r="J1104" s="9" t="s">
        <v>58</v>
      </c>
      <c r="K1104" s="9" t="s">
        <v>2920</v>
      </c>
      <c r="L1104" s="9" t="s">
        <v>704</v>
      </c>
      <c r="M1104" s="9" t="s">
        <v>491</v>
      </c>
      <c r="N1104" s="11"/>
      <c r="O1104" s="11">
        <f t="shared" ca="1" si="131"/>
        <v>12.178082191780822</v>
      </c>
      <c r="P1104" s="12">
        <f t="shared" ca="1" si="129"/>
        <v>12.178082191780822</v>
      </c>
      <c r="Q1104" s="12" t="s">
        <v>26</v>
      </c>
      <c r="R1104" s="9" t="s">
        <v>347</v>
      </c>
      <c r="S1104" s="24" t="s">
        <v>36</v>
      </c>
      <c r="T1104" s="9" t="s">
        <v>492</v>
      </c>
    </row>
    <row r="1105" spans="1:20" ht="35.25" customHeight="1">
      <c r="A1105" s="6">
        <f t="shared" si="132"/>
        <v>1104</v>
      </c>
      <c r="B1105" s="17" t="s">
        <v>2921</v>
      </c>
      <c r="C1105" s="8" t="s">
        <v>2922</v>
      </c>
      <c r="D1105" s="9" t="s">
        <v>26</v>
      </c>
      <c r="E1105" s="10">
        <v>26125</v>
      </c>
      <c r="F1105" s="11">
        <f t="shared" ca="1" si="130"/>
        <v>52.454794520547942</v>
      </c>
      <c r="G1105" s="11">
        <f t="shared" si="133"/>
        <v>7</v>
      </c>
      <c r="H1105" s="11">
        <f>DAY(E1105)</f>
        <v>11</v>
      </c>
      <c r="I1105" s="10">
        <v>40827</v>
      </c>
      <c r="J1105" s="9" t="s">
        <v>58</v>
      </c>
      <c r="K1105" s="9" t="s">
        <v>2923</v>
      </c>
      <c r="L1105" s="9" t="s">
        <v>1061</v>
      </c>
      <c r="M1105" s="9" t="s">
        <v>134</v>
      </c>
      <c r="N1105" s="11">
        <v>16</v>
      </c>
      <c r="O1105" s="11">
        <f t="shared" ca="1" si="131"/>
        <v>12.175342465753424</v>
      </c>
      <c r="P1105" s="12">
        <f t="shared" ca="1" si="129"/>
        <v>28.175342465753424</v>
      </c>
      <c r="Q1105" s="12" t="s">
        <v>26</v>
      </c>
      <c r="R1105" s="9" t="s">
        <v>27</v>
      </c>
      <c r="S1105" s="24" t="s">
        <v>36</v>
      </c>
      <c r="T1105" s="9" t="s">
        <v>137</v>
      </c>
    </row>
    <row r="1106" spans="1:20" ht="35.25" customHeight="1">
      <c r="A1106" s="6">
        <f t="shared" si="132"/>
        <v>1105</v>
      </c>
      <c r="B1106" s="17" t="s">
        <v>2924</v>
      </c>
      <c r="C1106" s="8" t="s">
        <v>2925</v>
      </c>
      <c r="D1106" s="9" t="s">
        <v>26</v>
      </c>
      <c r="E1106" s="10">
        <v>31962</v>
      </c>
      <c r="F1106" s="11">
        <f t="shared" ca="1" si="130"/>
        <v>36.463013698630135</v>
      </c>
      <c r="G1106" s="11">
        <f t="shared" si="133"/>
        <v>7</v>
      </c>
      <c r="H1106" s="11">
        <f ca="1">MONTH(F1106)</f>
        <v>2</v>
      </c>
      <c r="I1106" s="10">
        <v>40827</v>
      </c>
      <c r="J1106" s="9" t="s">
        <v>87</v>
      </c>
      <c r="K1106" s="9" t="s">
        <v>2527</v>
      </c>
      <c r="L1106" s="9" t="s">
        <v>34</v>
      </c>
      <c r="M1106" s="9" t="s">
        <v>61</v>
      </c>
      <c r="N1106" s="11">
        <v>4.5</v>
      </c>
      <c r="O1106" s="11">
        <f t="shared" ca="1" si="131"/>
        <v>12.175342465753424</v>
      </c>
      <c r="P1106" s="12">
        <f t="shared" ca="1" si="129"/>
        <v>16.675342465753424</v>
      </c>
      <c r="Q1106" s="12" t="s">
        <v>68</v>
      </c>
      <c r="R1106" s="9" t="s">
        <v>27</v>
      </c>
      <c r="S1106" s="24" t="s">
        <v>36</v>
      </c>
      <c r="T1106" s="9" t="s">
        <v>72</v>
      </c>
    </row>
    <row r="1107" spans="1:20" ht="35.25" customHeight="1">
      <c r="A1107" s="6">
        <f t="shared" si="132"/>
        <v>1106</v>
      </c>
      <c r="B1107" s="17" t="s">
        <v>2926</v>
      </c>
      <c r="C1107" s="8" t="s">
        <v>2927</v>
      </c>
      <c r="D1107" s="9" t="s">
        <v>26</v>
      </c>
      <c r="E1107" s="10">
        <v>28976</v>
      </c>
      <c r="F1107" s="11">
        <f t="shared" ca="1" si="130"/>
        <v>44.643835616438359</v>
      </c>
      <c r="G1107" s="11">
        <f t="shared" si="133"/>
        <v>5</v>
      </c>
      <c r="H1107" s="11">
        <f ca="1">MONTH(F1107)</f>
        <v>2</v>
      </c>
      <c r="I1107" s="10">
        <v>40833</v>
      </c>
      <c r="J1107" s="9" t="s">
        <v>110</v>
      </c>
      <c r="K1107" s="9" t="s">
        <v>2928</v>
      </c>
      <c r="L1107" s="9" t="s">
        <v>24</v>
      </c>
      <c r="M1107" s="9" t="s">
        <v>35</v>
      </c>
      <c r="N1107" s="11">
        <v>10</v>
      </c>
      <c r="O1107" s="11">
        <f t="shared" ca="1" si="131"/>
        <v>12.158904109589042</v>
      </c>
      <c r="P1107" s="12">
        <f t="shared" ca="1" si="129"/>
        <v>22.158904109589042</v>
      </c>
      <c r="Q1107" s="12" t="s">
        <v>26</v>
      </c>
      <c r="R1107" s="9" t="s">
        <v>27</v>
      </c>
      <c r="S1107" s="24" t="s">
        <v>36</v>
      </c>
      <c r="T1107" s="9" t="s">
        <v>72</v>
      </c>
    </row>
    <row r="1108" spans="1:20" ht="35.25" customHeight="1">
      <c r="A1108" s="6">
        <f t="shared" si="132"/>
        <v>1107</v>
      </c>
      <c r="B1108" s="17" t="s">
        <v>2929</v>
      </c>
      <c r="C1108" s="8" t="s">
        <v>2930</v>
      </c>
      <c r="D1108" s="9" t="s">
        <v>26</v>
      </c>
      <c r="E1108" s="10">
        <v>33367</v>
      </c>
      <c r="F1108" s="11">
        <f t="shared" ca="1" si="130"/>
        <v>32.613698630136987</v>
      </c>
      <c r="G1108" s="11">
        <f t="shared" si="133"/>
        <v>5</v>
      </c>
      <c r="H1108" s="11">
        <f t="shared" ref="H1108:H1127" si="135">DAY(E1108)</f>
        <v>9</v>
      </c>
      <c r="I1108" s="10">
        <v>40833</v>
      </c>
      <c r="J1108" s="9" t="s">
        <v>226</v>
      </c>
      <c r="K1108" s="9" t="s">
        <v>96</v>
      </c>
      <c r="L1108" s="9" t="s">
        <v>34</v>
      </c>
      <c r="M1108" s="9" t="s">
        <v>35</v>
      </c>
      <c r="N1108" s="11">
        <v>2.2999999999999998</v>
      </c>
      <c r="O1108" s="11">
        <f t="shared" ca="1" si="131"/>
        <v>12.158904109589042</v>
      </c>
      <c r="P1108" s="12">
        <f t="shared" ca="1" si="129"/>
        <v>14.458904109589042</v>
      </c>
      <c r="Q1108" s="12" t="s">
        <v>68</v>
      </c>
      <c r="R1108" s="9" t="s">
        <v>27</v>
      </c>
      <c r="S1108" s="24" t="s">
        <v>36</v>
      </c>
      <c r="T1108" s="9" t="s">
        <v>72</v>
      </c>
    </row>
    <row r="1109" spans="1:20" ht="35.25" customHeight="1">
      <c r="A1109" s="6">
        <f t="shared" si="132"/>
        <v>1108</v>
      </c>
      <c r="B1109" s="17" t="s">
        <v>2931</v>
      </c>
      <c r="C1109" s="8" t="s">
        <v>2932</v>
      </c>
      <c r="D1109" s="9" t="s">
        <v>26</v>
      </c>
      <c r="E1109" s="10">
        <v>27141</v>
      </c>
      <c r="F1109" s="11">
        <f t="shared" ca="1" si="130"/>
        <v>49.671232876712331</v>
      </c>
      <c r="G1109" s="11">
        <f t="shared" si="133"/>
        <v>4</v>
      </c>
      <c r="H1109" s="11">
        <f t="shared" si="135"/>
        <v>22</v>
      </c>
      <c r="I1109" s="10">
        <v>40833</v>
      </c>
      <c r="J1109" s="9" t="s">
        <v>22</v>
      </c>
      <c r="K1109" s="9" t="s">
        <v>2933</v>
      </c>
      <c r="L1109" s="9" t="s">
        <v>2760</v>
      </c>
      <c r="M1109" s="9" t="s">
        <v>35</v>
      </c>
      <c r="N1109" s="11">
        <v>17</v>
      </c>
      <c r="O1109" s="11">
        <f t="shared" ca="1" si="131"/>
        <v>12.158904109589042</v>
      </c>
      <c r="P1109" s="12">
        <f t="shared" ref="P1109:P1144" ca="1" si="136">SUM(N1109+O1109)</f>
        <v>29.158904109589042</v>
      </c>
      <c r="Q1109" s="12" t="s">
        <v>26</v>
      </c>
      <c r="R1109" s="9" t="s">
        <v>27</v>
      </c>
      <c r="S1109" s="24" t="s">
        <v>28</v>
      </c>
      <c r="T1109" s="9" t="s">
        <v>29</v>
      </c>
    </row>
    <row r="1110" spans="1:20" ht="35.25" customHeight="1">
      <c r="A1110" s="6">
        <f t="shared" si="132"/>
        <v>1109</v>
      </c>
      <c r="B1110" s="17" t="s">
        <v>2934</v>
      </c>
      <c r="C1110" s="8" t="s">
        <v>2935</v>
      </c>
      <c r="D1110" s="9" t="s">
        <v>26</v>
      </c>
      <c r="E1110" s="10">
        <v>28577</v>
      </c>
      <c r="F1110" s="11">
        <f t="shared" ca="1" si="130"/>
        <v>45.736986301369861</v>
      </c>
      <c r="G1110" s="11">
        <f t="shared" si="133"/>
        <v>3</v>
      </c>
      <c r="H1110" s="11">
        <f t="shared" si="135"/>
        <v>28</v>
      </c>
      <c r="I1110" s="10">
        <v>40833</v>
      </c>
      <c r="J1110" s="9" t="s">
        <v>110</v>
      </c>
      <c r="K1110" s="9" t="s">
        <v>1918</v>
      </c>
      <c r="L1110" s="9" t="s">
        <v>60</v>
      </c>
      <c r="M1110" s="9" t="s">
        <v>35</v>
      </c>
      <c r="N1110" s="11">
        <v>11</v>
      </c>
      <c r="O1110" s="11">
        <f t="shared" ca="1" si="131"/>
        <v>12.158904109589042</v>
      </c>
      <c r="P1110" s="12">
        <f t="shared" ca="1" si="136"/>
        <v>23.158904109589042</v>
      </c>
      <c r="Q1110" s="12" t="s">
        <v>26</v>
      </c>
      <c r="R1110" s="9" t="s">
        <v>27</v>
      </c>
      <c r="S1110" s="24" t="s">
        <v>28</v>
      </c>
      <c r="T1110" s="9" t="s">
        <v>29</v>
      </c>
    </row>
    <row r="1111" spans="1:20" ht="35.25" customHeight="1">
      <c r="A1111" s="6">
        <f t="shared" si="132"/>
        <v>1110</v>
      </c>
      <c r="B1111" s="17" t="s">
        <v>2936</v>
      </c>
      <c r="C1111" s="8" t="s">
        <v>2937</v>
      </c>
      <c r="D1111" s="9" t="s">
        <v>26</v>
      </c>
      <c r="E1111" s="10">
        <v>31143</v>
      </c>
      <c r="F1111" s="11">
        <f t="shared" ca="1" si="130"/>
        <v>38.706849315068496</v>
      </c>
      <c r="G1111" s="11">
        <f t="shared" si="133"/>
        <v>4</v>
      </c>
      <c r="H1111" s="11">
        <f t="shared" si="135"/>
        <v>6</v>
      </c>
      <c r="I1111" s="10">
        <v>40833</v>
      </c>
      <c r="J1111" s="9" t="s">
        <v>226</v>
      </c>
      <c r="K1111" s="9" t="s">
        <v>341</v>
      </c>
      <c r="L1111" s="9" t="s">
        <v>34</v>
      </c>
      <c r="M1111" s="9" t="s">
        <v>35</v>
      </c>
      <c r="N1111" s="11">
        <v>6.3</v>
      </c>
      <c r="O1111" s="11">
        <v>0</v>
      </c>
      <c r="P1111" s="12">
        <f t="shared" si="136"/>
        <v>6.3</v>
      </c>
      <c r="Q1111" s="12" t="s">
        <v>68</v>
      </c>
      <c r="R1111" s="9" t="s">
        <v>27</v>
      </c>
      <c r="S1111" s="24" t="s">
        <v>36</v>
      </c>
      <c r="T1111" s="9" t="s">
        <v>72</v>
      </c>
    </row>
    <row r="1112" spans="1:20" ht="35.25" customHeight="1">
      <c r="A1112" s="6">
        <f t="shared" si="132"/>
        <v>1111</v>
      </c>
      <c r="B1112" s="17" t="s">
        <v>2938</v>
      </c>
      <c r="C1112" s="8" t="s">
        <v>2939</v>
      </c>
      <c r="D1112" s="9" t="s">
        <v>26</v>
      </c>
      <c r="E1112" s="10">
        <v>27895</v>
      </c>
      <c r="F1112" s="11">
        <f t="shared" ca="1" si="130"/>
        <v>47.605479452054794</v>
      </c>
      <c r="G1112" s="11">
        <f t="shared" si="133"/>
        <v>5</v>
      </c>
      <c r="H1112" s="11">
        <f t="shared" si="135"/>
        <v>15</v>
      </c>
      <c r="I1112" s="10">
        <v>40833</v>
      </c>
      <c r="J1112" s="9" t="s">
        <v>32</v>
      </c>
      <c r="K1112" s="9" t="s">
        <v>282</v>
      </c>
      <c r="L1112" s="9" t="s">
        <v>213</v>
      </c>
      <c r="M1112" s="9" t="s">
        <v>35</v>
      </c>
      <c r="N1112" s="11">
        <v>17</v>
      </c>
      <c r="O1112" s="11">
        <f t="shared" ref="O1112:O1129" ca="1" si="137">(TODAY()-I1112)/365</f>
        <v>12.158904109589042</v>
      </c>
      <c r="P1112" s="12">
        <f t="shared" ca="1" si="136"/>
        <v>29.158904109589042</v>
      </c>
      <c r="Q1112" s="12" t="s">
        <v>26</v>
      </c>
      <c r="R1112" s="9" t="s">
        <v>27</v>
      </c>
      <c r="S1112" s="24" t="s">
        <v>36</v>
      </c>
      <c r="T1112" s="9" t="s">
        <v>72</v>
      </c>
    </row>
    <row r="1113" spans="1:20" ht="35.25" customHeight="1">
      <c r="A1113" s="6">
        <f t="shared" si="132"/>
        <v>1112</v>
      </c>
      <c r="B1113" s="17" t="s">
        <v>2940</v>
      </c>
      <c r="C1113" s="8" t="s">
        <v>2941</v>
      </c>
      <c r="D1113" s="9" t="s">
        <v>26</v>
      </c>
      <c r="E1113" s="10">
        <v>31608</v>
      </c>
      <c r="F1113" s="11">
        <f t="shared" ca="1" si="130"/>
        <v>37.43287671232877</v>
      </c>
      <c r="G1113" s="11">
        <f t="shared" si="133"/>
        <v>7</v>
      </c>
      <c r="H1113" s="11">
        <f t="shared" si="135"/>
        <v>15</v>
      </c>
      <c r="I1113" s="10">
        <v>40834</v>
      </c>
      <c r="J1113" s="9" t="s">
        <v>87</v>
      </c>
      <c r="K1113" s="9" t="s">
        <v>1094</v>
      </c>
      <c r="L1113" s="9" t="s">
        <v>213</v>
      </c>
      <c r="M1113" s="9" t="s">
        <v>35</v>
      </c>
      <c r="N1113" s="11">
        <v>0</v>
      </c>
      <c r="O1113" s="11">
        <f t="shared" ca="1" si="137"/>
        <v>12.156164383561643</v>
      </c>
      <c r="P1113" s="12">
        <f t="shared" ca="1" si="136"/>
        <v>12.156164383561643</v>
      </c>
      <c r="Q1113" s="12" t="s">
        <v>68</v>
      </c>
      <c r="R1113" s="9" t="s">
        <v>27</v>
      </c>
      <c r="S1113" s="24" t="s">
        <v>36</v>
      </c>
      <c r="T1113" s="9" t="s">
        <v>1346</v>
      </c>
    </row>
    <row r="1114" spans="1:20" ht="35.25" customHeight="1">
      <c r="A1114" s="6">
        <f t="shared" si="132"/>
        <v>1113</v>
      </c>
      <c r="B1114" s="17" t="s">
        <v>2942</v>
      </c>
      <c r="C1114" s="8" t="s">
        <v>2943</v>
      </c>
      <c r="D1114" s="9" t="s">
        <v>26</v>
      </c>
      <c r="E1114" s="10">
        <v>25430</v>
      </c>
      <c r="F1114" s="11">
        <f t="shared" ca="1" si="130"/>
        <v>54.358904109589041</v>
      </c>
      <c r="G1114" s="11">
        <f t="shared" si="133"/>
        <v>8</v>
      </c>
      <c r="H1114" s="11">
        <f t="shared" si="135"/>
        <v>15</v>
      </c>
      <c r="I1114" s="10">
        <v>40835</v>
      </c>
      <c r="J1114" s="9" t="s">
        <v>58</v>
      </c>
      <c r="K1114" s="9" t="s">
        <v>1255</v>
      </c>
      <c r="L1114" s="9" t="s">
        <v>1713</v>
      </c>
      <c r="M1114" s="9" t="s">
        <v>35</v>
      </c>
      <c r="N1114" s="11">
        <v>23.4</v>
      </c>
      <c r="O1114" s="11">
        <f t="shared" ca="1" si="137"/>
        <v>12.153424657534247</v>
      </c>
      <c r="P1114" s="12">
        <f t="shared" ca="1" si="136"/>
        <v>35.553424657534244</v>
      </c>
      <c r="Q1114" s="12" t="s">
        <v>26</v>
      </c>
      <c r="R1114" s="9" t="s">
        <v>27</v>
      </c>
      <c r="S1114" s="24" t="s">
        <v>36</v>
      </c>
      <c r="T1114" s="9" t="s">
        <v>72</v>
      </c>
    </row>
    <row r="1115" spans="1:20" ht="35.25" customHeight="1">
      <c r="A1115" s="6">
        <f t="shared" si="132"/>
        <v>1114</v>
      </c>
      <c r="B1115" s="17" t="s">
        <v>2944</v>
      </c>
      <c r="C1115" s="8" t="s">
        <v>2945</v>
      </c>
      <c r="D1115" s="9" t="s">
        <v>26</v>
      </c>
      <c r="E1115" s="10">
        <v>31007</v>
      </c>
      <c r="F1115" s="11">
        <f t="shared" ca="1" si="130"/>
        <v>39.079452054794523</v>
      </c>
      <c r="G1115" s="11">
        <f t="shared" si="133"/>
        <v>11</v>
      </c>
      <c r="H1115" s="11">
        <f t="shared" si="135"/>
        <v>21</v>
      </c>
      <c r="I1115" s="10">
        <v>40835</v>
      </c>
      <c r="J1115" s="9" t="s">
        <v>45</v>
      </c>
      <c r="K1115" s="9" t="s">
        <v>2946</v>
      </c>
      <c r="L1115" s="9" t="s">
        <v>34</v>
      </c>
      <c r="M1115" s="9" t="s">
        <v>35</v>
      </c>
      <c r="N1115" s="11">
        <v>4.2</v>
      </c>
      <c r="O1115" s="11">
        <f t="shared" ca="1" si="137"/>
        <v>12.153424657534247</v>
      </c>
      <c r="P1115" s="12">
        <f t="shared" ca="1" si="136"/>
        <v>16.353424657534248</v>
      </c>
      <c r="Q1115" s="12" t="s">
        <v>68</v>
      </c>
      <c r="R1115" s="9" t="s">
        <v>27</v>
      </c>
      <c r="S1115" s="24" t="s">
        <v>36</v>
      </c>
      <c r="T1115" s="9" t="s">
        <v>72</v>
      </c>
    </row>
    <row r="1116" spans="1:20" ht="35.25" customHeight="1">
      <c r="A1116" s="6">
        <f t="shared" si="132"/>
        <v>1115</v>
      </c>
      <c r="B1116" s="17" t="s">
        <v>2947</v>
      </c>
      <c r="C1116" s="8" t="s">
        <v>2948</v>
      </c>
      <c r="D1116" s="9" t="s">
        <v>26</v>
      </c>
      <c r="E1116" s="10">
        <v>31197</v>
      </c>
      <c r="F1116" s="11">
        <f t="shared" ref="F1116:F1160" ca="1" si="138">(TODAY()-E1116)/365</f>
        <v>38.558904109589044</v>
      </c>
      <c r="G1116" s="11">
        <f t="shared" si="133"/>
        <v>5</v>
      </c>
      <c r="H1116" s="11">
        <f t="shared" si="135"/>
        <v>30</v>
      </c>
      <c r="I1116" s="10">
        <v>40835</v>
      </c>
      <c r="J1116" s="9" t="s">
        <v>110</v>
      </c>
      <c r="K1116" s="9" t="s">
        <v>1843</v>
      </c>
      <c r="L1116" s="9" t="s">
        <v>34</v>
      </c>
      <c r="M1116" s="9" t="s">
        <v>35</v>
      </c>
      <c r="N1116" s="11">
        <v>7.5</v>
      </c>
      <c r="O1116" s="11">
        <f t="shared" ca="1" si="137"/>
        <v>12.153424657534247</v>
      </c>
      <c r="P1116" s="12">
        <f t="shared" ca="1" si="136"/>
        <v>19.653424657534245</v>
      </c>
      <c r="Q1116" s="12" t="s">
        <v>68</v>
      </c>
      <c r="R1116" s="9" t="s">
        <v>27</v>
      </c>
      <c r="S1116" s="24" t="s">
        <v>36</v>
      </c>
      <c r="T1116" s="9" t="s">
        <v>72</v>
      </c>
    </row>
    <row r="1117" spans="1:20" ht="35.25" customHeight="1">
      <c r="A1117" s="6">
        <f t="shared" si="132"/>
        <v>1116</v>
      </c>
      <c r="B1117" s="17" t="s">
        <v>2949</v>
      </c>
      <c r="C1117" s="8" t="s">
        <v>2950</v>
      </c>
      <c r="D1117" s="9" t="s">
        <v>26</v>
      </c>
      <c r="E1117" s="10">
        <v>32252</v>
      </c>
      <c r="F1117" s="11">
        <f t="shared" ca="1" si="138"/>
        <v>35.668493150684931</v>
      </c>
      <c r="G1117" s="11">
        <f t="shared" si="133"/>
        <v>4</v>
      </c>
      <c r="H1117" s="11">
        <f t="shared" si="135"/>
        <v>19</v>
      </c>
      <c r="I1117" s="10">
        <v>40835</v>
      </c>
      <c r="J1117" s="9" t="s">
        <v>226</v>
      </c>
      <c r="K1117" s="9" t="s">
        <v>1152</v>
      </c>
      <c r="L1117" s="9" t="s">
        <v>34</v>
      </c>
      <c r="M1117" s="9" t="s">
        <v>35</v>
      </c>
      <c r="N1117" s="11">
        <v>1</v>
      </c>
      <c r="O1117" s="11">
        <f t="shared" ca="1" si="137"/>
        <v>12.153424657534247</v>
      </c>
      <c r="P1117" s="12">
        <f t="shared" ca="1" si="136"/>
        <v>13.153424657534247</v>
      </c>
      <c r="Q1117" s="12" t="s">
        <v>68</v>
      </c>
      <c r="R1117" s="9" t="s">
        <v>442</v>
      </c>
      <c r="S1117" s="24" t="s">
        <v>36</v>
      </c>
      <c r="T1117" s="9" t="s">
        <v>72</v>
      </c>
    </row>
    <row r="1118" spans="1:20" ht="35.25" customHeight="1">
      <c r="A1118" s="6">
        <f t="shared" si="132"/>
        <v>1117</v>
      </c>
      <c r="B1118" s="17" t="s">
        <v>2951</v>
      </c>
      <c r="C1118" s="8" t="s">
        <v>2952</v>
      </c>
      <c r="D1118" s="9" t="s">
        <v>26</v>
      </c>
      <c r="E1118" s="10">
        <v>32661</v>
      </c>
      <c r="F1118" s="11">
        <f t="shared" ca="1" si="138"/>
        <v>34.547945205479451</v>
      </c>
      <c r="G1118" s="11">
        <f t="shared" si="133"/>
        <v>6</v>
      </c>
      <c r="H1118" s="11">
        <f t="shared" si="135"/>
        <v>2</v>
      </c>
      <c r="I1118" s="10">
        <v>40835</v>
      </c>
      <c r="J1118" s="9" t="s">
        <v>45</v>
      </c>
      <c r="K1118" s="9" t="s">
        <v>477</v>
      </c>
      <c r="L1118" s="9" t="s">
        <v>34</v>
      </c>
      <c r="M1118" s="9" t="s">
        <v>35</v>
      </c>
      <c r="N1118" s="11">
        <v>3.4</v>
      </c>
      <c r="O1118" s="11">
        <f t="shared" ca="1" si="137"/>
        <v>12.153424657534247</v>
      </c>
      <c r="P1118" s="12">
        <f t="shared" ca="1" si="136"/>
        <v>15.553424657534247</v>
      </c>
      <c r="Q1118" s="12" t="s">
        <v>68</v>
      </c>
      <c r="R1118" s="9" t="s">
        <v>27</v>
      </c>
      <c r="S1118" s="24" t="s">
        <v>36</v>
      </c>
      <c r="T1118" s="9" t="s">
        <v>72</v>
      </c>
    </row>
    <row r="1119" spans="1:20" ht="35.25" customHeight="1">
      <c r="A1119" s="6">
        <f t="shared" si="132"/>
        <v>1118</v>
      </c>
      <c r="B1119" s="17" t="s">
        <v>2953</v>
      </c>
      <c r="C1119" s="8" t="s">
        <v>2954</v>
      </c>
      <c r="D1119" s="9" t="s">
        <v>26</v>
      </c>
      <c r="E1119" s="10">
        <v>29121</v>
      </c>
      <c r="F1119" s="11">
        <f t="shared" ca="1" si="138"/>
        <v>44.246575342465754</v>
      </c>
      <c r="G1119" s="11">
        <f t="shared" si="133"/>
        <v>9</v>
      </c>
      <c r="H1119" s="11">
        <f t="shared" si="135"/>
        <v>23</v>
      </c>
      <c r="I1119" s="10">
        <v>40835</v>
      </c>
      <c r="J1119" s="9" t="s">
        <v>110</v>
      </c>
      <c r="K1119" s="9" t="s">
        <v>2955</v>
      </c>
      <c r="L1119" s="9" t="s">
        <v>2760</v>
      </c>
      <c r="M1119" s="9" t="s">
        <v>35</v>
      </c>
      <c r="N1119" s="11">
        <v>8</v>
      </c>
      <c r="O1119" s="11">
        <f t="shared" ca="1" si="137"/>
        <v>12.153424657534247</v>
      </c>
      <c r="P1119" s="12">
        <f t="shared" ca="1" si="136"/>
        <v>20.153424657534245</v>
      </c>
      <c r="Q1119" s="12" t="s">
        <v>68</v>
      </c>
      <c r="R1119" s="9" t="s">
        <v>27</v>
      </c>
      <c r="S1119" s="24" t="s">
        <v>28</v>
      </c>
      <c r="T1119" s="9" t="s">
        <v>358</v>
      </c>
    </row>
    <row r="1120" spans="1:20" ht="35.25" customHeight="1">
      <c r="A1120" s="6">
        <f t="shared" si="132"/>
        <v>1119</v>
      </c>
      <c r="B1120" s="17" t="s">
        <v>2956</v>
      </c>
      <c r="C1120" s="8" t="s">
        <v>2957</v>
      </c>
      <c r="D1120" s="9" t="s">
        <v>26</v>
      </c>
      <c r="E1120" s="10">
        <v>31171</v>
      </c>
      <c r="F1120" s="11">
        <f t="shared" ca="1" si="138"/>
        <v>38.630136986301373</v>
      </c>
      <c r="G1120" s="11">
        <f t="shared" si="133"/>
        <v>5</v>
      </c>
      <c r="H1120" s="11">
        <f t="shared" si="135"/>
        <v>4</v>
      </c>
      <c r="I1120" s="10">
        <v>40835</v>
      </c>
      <c r="J1120" s="9" t="s">
        <v>87</v>
      </c>
      <c r="K1120" s="9" t="s">
        <v>1226</v>
      </c>
      <c r="L1120" s="9" t="s">
        <v>34</v>
      </c>
      <c r="M1120" s="9" t="s">
        <v>35</v>
      </c>
      <c r="N1120" s="11">
        <v>5.8</v>
      </c>
      <c r="O1120" s="11">
        <f t="shared" ca="1" si="137"/>
        <v>12.153424657534247</v>
      </c>
      <c r="P1120" s="12">
        <f t="shared" ca="1" si="136"/>
        <v>17.953424657534246</v>
      </c>
      <c r="Q1120" s="12" t="s">
        <v>26</v>
      </c>
      <c r="R1120" s="9" t="s">
        <v>27</v>
      </c>
      <c r="S1120" s="24" t="s">
        <v>36</v>
      </c>
      <c r="T1120" s="9" t="s">
        <v>2958</v>
      </c>
    </row>
    <row r="1121" spans="1:20" ht="35.25" customHeight="1">
      <c r="A1121" s="6">
        <f t="shared" si="132"/>
        <v>1120</v>
      </c>
      <c r="B1121" s="17" t="s">
        <v>2959</v>
      </c>
      <c r="C1121" s="8" t="s">
        <v>2960</v>
      </c>
      <c r="D1121" s="9" t="s">
        <v>26</v>
      </c>
      <c r="E1121" s="10">
        <v>25020</v>
      </c>
      <c r="F1121" s="11">
        <f t="shared" ca="1" si="138"/>
        <v>55.482191780821921</v>
      </c>
      <c r="G1121" s="11">
        <f t="shared" si="133"/>
        <v>7</v>
      </c>
      <c r="H1121" s="11">
        <f t="shared" si="135"/>
        <v>1</v>
      </c>
      <c r="I1121" s="10">
        <v>40836</v>
      </c>
      <c r="J1121" s="9" t="s">
        <v>318</v>
      </c>
      <c r="K1121" s="9" t="s">
        <v>258</v>
      </c>
      <c r="L1121" s="9" t="s">
        <v>34</v>
      </c>
      <c r="M1121" s="9" t="s">
        <v>35</v>
      </c>
      <c r="N1121" s="11">
        <v>22</v>
      </c>
      <c r="O1121" s="11">
        <f t="shared" ca="1" si="137"/>
        <v>12.150684931506849</v>
      </c>
      <c r="P1121" s="12">
        <f t="shared" ca="1" si="136"/>
        <v>34.150684931506845</v>
      </c>
      <c r="Q1121" s="12" t="s">
        <v>26</v>
      </c>
      <c r="R1121" s="9" t="s">
        <v>2961</v>
      </c>
      <c r="S1121" s="24" t="s">
        <v>36</v>
      </c>
      <c r="T1121" s="9" t="s">
        <v>137</v>
      </c>
    </row>
    <row r="1122" spans="1:20" ht="35.25" customHeight="1">
      <c r="A1122" s="6">
        <f t="shared" si="132"/>
        <v>1121</v>
      </c>
      <c r="B1122" s="17" t="s">
        <v>2962</v>
      </c>
      <c r="C1122" s="8" t="s">
        <v>2963</v>
      </c>
      <c r="D1122" s="9" t="s">
        <v>26</v>
      </c>
      <c r="E1122" s="10">
        <v>30120</v>
      </c>
      <c r="F1122" s="11">
        <f t="shared" ca="1" si="138"/>
        <v>41.509589041095893</v>
      </c>
      <c r="G1122" s="11">
        <f t="shared" si="133"/>
        <v>6</v>
      </c>
      <c r="H1122" s="11">
        <f t="shared" si="135"/>
        <v>18</v>
      </c>
      <c r="I1122" s="10">
        <v>40840</v>
      </c>
      <c r="J1122" s="9" t="s">
        <v>110</v>
      </c>
      <c r="K1122" s="9" t="s">
        <v>2650</v>
      </c>
      <c r="L1122" s="9" t="s">
        <v>1603</v>
      </c>
      <c r="M1122" s="9" t="s">
        <v>35</v>
      </c>
      <c r="N1122" s="11">
        <v>5.7</v>
      </c>
      <c r="O1122" s="11">
        <f t="shared" ca="1" si="137"/>
        <v>12.139726027397261</v>
      </c>
      <c r="P1122" s="12">
        <f t="shared" ca="1" si="136"/>
        <v>17.839726027397262</v>
      </c>
      <c r="Q1122" s="12" t="s">
        <v>26</v>
      </c>
      <c r="R1122" s="9" t="s">
        <v>27</v>
      </c>
      <c r="S1122" s="24" t="s">
        <v>36</v>
      </c>
      <c r="T1122" s="9" t="s">
        <v>72</v>
      </c>
    </row>
    <row r="1123" spans="1:20" ht="35.25" customHeight="1">
      <c r="A1123" s="6">
        <f t="shared" si="132"/>
        <v>1122</v>
      </c>
      <c r="B1123" s="17" t="s">
        <v>2964</v>
      </c>
      <c r="C1123" s="8" t="s">
        <v>2965</v>
      </c>
      <c r="D1123" s="9" t="s">
        <v>26</v>
      </c>
      <c r="E1123" s="10">
        <v>23866</v>
      </c>
      <c r="F1123" s="11">
        <f t="shared" ca="1" si="138"/>
        <v>58.643835616438359</v>
      </c>
      <c r="G1123" s="11">
        <f t="shared" si="133"/>
        <v>5</v>
      </c>
      <c r="H1123" s="11">
        <f t="shared" si="135"/>
        <v>4</v>
      </c>
      <c r="I1123" s="10">
        <v>40840</v>
      </c>
      <c r="J1123" s="9" t="s">
        <v>22</v>
      </c>
      <c r="K1123" s="9" t="s">
        <v>266</v>
      </c>
      <c r="L1123" s="9" t="s">
        <v>34</v>
      </c>
      <c r="M1123" s="9" t="s">
        <v>35</v>
      </c>
      <c r="N1123" s="11">
        <v>24</v>
      </c>
      <c r="O1123" s="11">
        <f t="shared" ca="1" si="137"/>
        <v>12.139726027397261</v>
      </c>
      <c r="P1123" s="12">
        <f t="shared" ca="1" si="136"/>
        <v>36.139726027397259</v>
      </c>
      <c r="Q1123" s="12" t="s">
        <v>26</v>
      </c>
      <c r="R1123" s="9" t="s">
        <v>27</v>
      </c>
      <c r="S1123" s="24" t="s">
        <v>36</v>
      </c>
      <c r="T1123" s="9" t="s">
        <v>72</v>
      </c>
    </row>
    <row r="1124" spans="1:20" ht="35.25" customHeight="1">
      <c r="A1124" s="6">
        <f t="shared" si="132"/>
        <v>1123</v>
      </c>
      <c r="B1124" s="17" t="s">
        <v>2966</v>
      </c>
      <c r="C1124" s="8" t="s">
        <v>2967</v>
      </c>
      <c r="D1124" s="9" t="s">
        <v>26</v>
      </c>
      <c r="E1124" s="10">
        <v>30802</v>
      </c>
      <c r="F1124" s="11">
        <f t="shared" ca="1" si="138"/>
        <v>39.641095890410959</v>
      </c>
      <c r="G1124" s="11">
        <f t="shared" si="133"/>
        <v>4</v>
      </c>
      <c r="H1124" s="11">
        <f t="shared" si="135"/>
        <v>30</v>
      </c>
      <c r="I1124" s="10">
        <v>40840</v>
      </c>
      <c r="J1124" s="9" t="s">
        <v>50</v>
      </c>
      <c r="K1124" s="9" t="s">
        <v>159</v>
      </c>
      <c r="L1124" s="9" t="s">
        <v>147</v>
      </c>
      <c r="M1124" s="9" t="s">
        <v>134</v>
      </c>
      <c r="N1124" s="11">
        <v>7.2</v>
      </c>
      <c r="O1124" s="11">
        <f t="shared" ca="1" si="137"/>
        <v>12.139726027397261</v>
      </c>
      <c r="P1124" s="12">
        <f t="shared" ca="1" si="136"/>
        <v>19.339726027397262</v>
      </c>
      <c r="Q1124" s="12" t="s">
        <v>68</v>
      </c>
      <c r="R1124" s="9" t="s">
        <v>27</v>
      </c>
      <c r="S1124" s="24" t="s">
        <v>28</v>
      </c>
      <c r="T1124" s="9" t="s">
        <v>29</v>
      </c>
    </row>
    <row r="1125" spans="1:20" ht="35.25" customHeight="1">
      <c r="A1125" s="6">
        <f t="shared" si="132"/>
        <v>1124</v>
      </c>
      <c r="B1125" s="17" t="s">
        <v>2968</v>
      </c>
      <c r="C1125" s="8" t="s">
        <v>2969</v>
      </c>
      <c r="D1125" s="9" t="s">
        <v>26</v>
      </c>
      <c r="E1125" s="10">
        <v>31419</v>
      </c>
      <c r="F1125" s="11">
        <f t="shared" ca="1" si="138"/>
        <v>37.950684931506849</v>
      </c>
      <c r="G1125" s="11">
        <f t="shared" si="133"/>
        <v>1</v>
      </c>
      <c r="H1125" s="11">
        <f t="shared" si="135"/>
        <v>7</v>
      </c>
      <c r="I1125" s="10">
        <v>40836</v>
      </c>
      <c r="J1125" s="9" t="s">
        <v>226</v>
      </c>
      <c r="K1125" s="9" t="s">
        <v>96</v>
      </c>
      <c r="L1125" s="9" t="s">
        <v>34</v>
      </c>
      <c r="M1125" s="9" t="s">
        <v>61</v>
      </c>
      <c r="N1125" s="11">
        <v>0.7</v>
      </c>
      <c r="O1125" s="11">
        <f t="shared" ca="1" si="137"/>
        <v>12.150684931506849</v>
      </c>
      <c r="P1125" s="12">
        <f t="shared" ca="1" si="136"/>
        <v>12.850684931506848</v>
      </c>
      <c r="Q1125" s="12" t="s">
        <v>68</v>
      </c>
      <c r="R1125" s="9" t="s">
        <v>27</v>
      </c>
      <c r="S1125" s="24" t="s">
        <v>28</v>
      </c>
      <c r="T1125" s="9" t="s">
        <v>72</v>
      </c>
    </row>
    <row r="1126" spans="1:20" ht="35.25" customHeight="1">
      <c r="A1126" s="6">
        <f t="shared" si="132"/>
        <v>1125</v>
      </c>
      <c r="B1126" s="17" t="s">
        <v>2970</v>
      </c>
      <c r="C1126" s="8" t="s">
        <v>2971</v>
      </c>
      <c r="D1126" s="9" t="s">
        <v>26</v>
      </c>
      <c r="E1126" s="10">
        <v>27157</v>
      </c>
      <c r="F1126" s="11">
        <f t="shared" ca="1" si="138"/>
        <v>49.627397260273973</v>
      </c>
      <c r="G1126" s="11">
        <f t="shared" si="133"/>
        <v>5</v>
      </c>
      <c r="H1126" s="11">
        <f t="shared" si="135"/>
        <v>8</v>
      </c>
      <c r="I1126" s="10">
        <v>40835</v>
      </c>
      <c r="J1126" s="9" t="s">
        <v>50</v>
      </c>
      <c r="K1126" s="9" t="s">
        <v>159</v>
      </c>
      <c r="L1126" s="9" t="s">
        <v>60</v>
      </c>
      <c r="M1126" s="9" t="s">
        <v>61</v>
      </c>
      <c r="N1126" s="11">
        <v>11.3</v>
      </c>
      <c r="O1126" s="11">
        <f t="shared" ca="1" si="137"/>
        <v>12.153424657534247</v>
      </c>
      <c r="P1126" s="12">
        <f t="shared" ca="1" si="136"/>
        <v>23.453424657534249</v>
      </c>
      <c r="Q1126" s="12" t="s">
        <v>26</v>
      </c>
      <c r="R1126" s="9" t="s">
        <v>27</v>
      </c>
      <c r="S1126" s="24" t="s">
        <v>36</v>
      </c>
      <c r="T1126" s="9" t="s">
        <v>72</v>
      </c>
    </row>
    <row r="1127" spans="1:20" ht="35.25" customHeight="1">
      <c r="A1127" s="6">
        <f t="shared" si="132"/>
        <v>1126</v>
      </c>
      <c r="B1127" s="17" t="s">
        <v>2972</v>
      </c>
      <c r="C1127" s="17" t="s">
        <v>2973</v>
      </c>
      <c r="D1127" s="6" t="s">
        <v>26</v>
      </c>
      <c r="E1127" s="18">
        <v>30357</v>
      </c>
      <c r="F1127" s="19">
        <f t="shared" ca="1" si="138"/>
        <v>40.860273972602741</v>
      </c>
      <c r="G1127" s="19">
        <f t="shared" si="133"/>
        <v>2</v>
      </c>
      <c r="H1127" s="19">
        <f t="shared" si="135"/>
        <v>10</v>
      </c>
      <c r="I1127" s="18">
        <v>40823</v>
      </c>
      <c r="J1127" s="6" t="s">
        <v>50</v>
      </c>
      <c r="K1127" s="6" t="s">
        <v>159</v>
      </c>
      <c r="L1127" s="6" t="s">
        <v>34</v>
      </c>
      <c r="M1127" s="6" t="s">
        <v>61</v>
      </c>
      <c r="N1127" s="19">
        <v>6</v>
      </c>
      <c r="O1127" s="19">
        <f t="shared" ca="1" si="137"/>
        <v>12.186301369863013</v>
      </c>
      <c r="P1127" s="20">
        <f t="shared" ca="1" si="136"/>
        <v>18.186301369863013</v>
      </c>
      <c r="Q1127" s="20" t="s">
        <v>68</v>
      </c>
      <c r="R1127" s="6" t="s">
        <v>27</v>
      </c>
      <c r="S1127" s="21" t="s">
        <v>36</v>
      </c>
      <c r="T1127" s="6" t="s">
        <v>72</v>
      </c>
    </row>
    <row r="1128" spans="1:20" ht="35.25" customHeight="1">
      <c r="A1128" s="6">
        <f t="shared" si="132"/>
        <v>1127</v>
      </c>
      <c r="B1128" s="17" t="s">
        <v>2974</v>
      </c>
      <c r="C1128" s="8" t="s">
        <v>2975</v>
      </c>
      <c r="D1128" s="9" t="s">
        <v>26</v>
      </c>
      <c r="E1128" s="10">
        <v>23938</v>
      </c>
      <c r="F1128" s="11">
        <f t="shared" ca="1" si="138"/>
        <v>58.446575342465756</v>
      </c>
      <c r="G1128" s="11">
        <f>MONTH(E1128)</f>
        <v>7</v>
      </c>
      <c r="H1128" s="11">
        <f>DAY(E1128)</f>
        <v>15</v>
      </c>
      <c r="I1128" s="10">
        <v>40847</v>
      </c>
      <c r="J1128" s="9" t="s">
        <v>87</v>
      </c>
      <c r="K1128" s="9" t="s">
        <v>1600</v>
      </c>
      <c r="L1128" s="9" t="s">
        <v>724</v>
      </c>
      <c r="M1128" s="9" t="s">
        <v>134</v>
      </c>
      <c r="N1128" s="11">
        <v>18</v>
      </c>
      <c r="O1128" s="19">
        <f t="shared" ca="1" si="137"/>
        <v>12.12054794520548</v>
      </c>
      <c r="P1128" s="20">
        <f t="shared" ca="1" si="136"/>
        <v>30.12054794520548</v>
      </c>
      <c r="Q1128" s="12" t="s">
        <v>26</v>
      </c>
      <c r="R1128" s="9" t="s">
        <v>27</v>
      </c>
      <c r="S1128" s="24" t="s">
        <v>36</v>
      </c>
      <c r="T1128" s="9" t="s">
        <v>137</v>
      </c>
    </row>
    <row r="1129" spans="1:20" ht="35.25" customHeight="1">
      <c r="A1129" s="6">
        <f t="shared" si="132"/>
        <v>1128</v>
      </c>
      <c r="B1129" s="17" t="s">
        <v>2976</v>
      </c>
      <c r="C1129" s="8" t="s">
        <v>2977</v>
      </c>
      <c r="D1129" s="9" t="s">
        <v>26</v>
      </c>
      <c r="E1129" s="10">
        <v>33010</v>
      </c>
      <c r="F1129" s="11">
        <f t="shared" ca="1" si="138"/>
        <v>33.591780821917808</v>
      </c>
      <c r="G1129" s="11">
        <f>MONTH(E1129)</f>
        <v>5</v>
      </c>
      <c r="H1129" s="11">
        <f>DAY(E1129)</f>
        <v>17</v>
      </c>
      <c r="I1129" s="10">
        <v>40847</v>
      </c>
      <c r="J1129" s="9" t="s">
        <v>45</v>
      </c>
      <c r="K1129" s="9" t="s">
        <v>2785</v>
      </c>
      <c r="L1129" s="9" t="s">
        <v>1002</v>
      </c>
      <c r="M1129" s="9" t="s">
        <v>35</v>
      </c>
      <c r="N1129" s="11">
        <v>3.3</v>
      </c>
      <c r="O1129" s="19">
        <f t="shared" ca="1" si="137"/>
        <v>12.12054794520548</v>
      </c>
      <c r="P1129" s="12">
        <f t="shared" ca="1" si="136"/>
        <v>15.420547945205481</v>
      </c>
      <c r="Q1129" s="12" t="s">
        <v>68</v>
      </c>
      <c r="R1129" s="9" t="s">
        <v>27</v>
      </c>
      <c r="S1129" s="24" t="s">
        <v>28</v>
      </c>
      <c r="T1129" s="9" t="s">
        <v>29</v>
      </c>
    </row>
    <row r="1130" spans="1:20" ht="35.25" customHeight="1">
      <c r="A1130" s="6">
        <f t="shared" si="132"/>
        <v>1129</v>
      </c>
      <c r="B1130" s="17" t="s">
        <v>2978</v>
      </c>
      <c r="C1130" s="8" t="s">
        <v>2979</v>
      </c>
      <c r="D1130" s="9" t="s">
        <v>26</v>
      </c>
      <c r="E1130" s="10">
        <v>25697</v>
      </c>
      <c r="F1130" s="11">
        <f t="shared" ca="1" si="138"/>
        <v>53.627397260273973</v>
      </c>
      <c r="G1130" s="11">
        <f>MONTH(E1130)</f>
        <v>5</v>
      </c>
      <c r="H1130" s="11">
        <f>DAY(E1130)</f>
        <v>9</v>
      </c>
      <c r="I1130" s="10">
        <v>40847</v>
      </c>
      <c r="J1130" s="9" t="s">
        <v>110</v>
      </c>
      <c r="K1130" s="9" t="s">
        <v>1664</v>
      </c>
      <c r="L1130" s="9" t="s">
        <v>55</v>
      </c>
      <c r="M1130" s="9" t="s">
        <v>35</v>
      </c>
      <c r="N1130" s="11">
        <v>16</v>
      </c>
      <c r="O1130" s="11">
        <f ca="1">(TODAY()-I1128)/365</f>
        <v>12.12054794520548</v>
      </c>
      <c r="P1130" s="12">
        <f t="shared" ca="1" si="136"/>
        <v>28.12054794520548</v>
      </c>
      <c r="Q1130" s="12" t="s">
        <v>26</v>
      </c>
      <c r="R1130" s="9" t="s">
        <v>27</v>
      </c>
      <c r="S1130" s="24" t="s">
        <v>36</v>
      </c>
      <c r="T1130" s="9" t="s">
        <v>186</v>
      </c>
    </row>
    <row r="1131" spans="1:20" ht="35.25" customHeight="1">
      <c r="A1131" s="6">
        <f t="shared" si="132"/>
        <v>1130</v>
      </c>
      <c r="B1131" s="17" t="s">
        <v>2980</v>
      </c>
      <c r="C1131" s="8" t="s">
        <v>2981</v>
      </c>
      <c r="D1131" s="9" t="s">
        <v>26</v>
      </c>
      <c r="E1131" s="10">
        <v>31472</v>
      </c>
      <c r="F1131" s="11">
        <f t="shared" ca="1" si="138"/>
        <v>37.805479452054797</v>
      </c>
      <c r="G1131" s="11">
        <f>MONTH(E1131)</f>
        <v>3</v>
      </c>
      <c r="H1131" s="11">
        <f>DAY(E1131)</f>
        <v>1</v>
      </c>
      <c r="I1131" s="10">
        <v>40847</v>
      </c>
      <c r="J1131" s="9" t="s">
        <v>45</v>
      </c>
      <c r="K1131" s="9" t="s">
        <v>2440</v>
      </c>
      <c r="L1131" s="9" t="s">
        <v>524</v>
      </c>
      <c r="M1131" s="9" t="s">
        <v>35</v>
      </c>
      <c r="N1131" s="11">
        <v>7.3</v>
      </c>
      <c r="O1131" s="11">
        <v>0.3</v>
      </c>
      <c r="P1131" s="12">
        <f t="shared" si="136"/>
        <v>7.6</v>
      </c>
      <c r="Q1131" s="12" t="s">
        <v>68</v>
      </c>
      <c r="R1131" s="9" t="s">
        <v>27</v>
      </c>
      <c r="S1131" s="24" t="s">
        <v>28</v>
      </c>
      <c r="T1131" s="9" t="s">
        <v>29</v>
      </c>
    </row>
    <row r="1132" spans="1:20" ht="35.25" customHeight="1">
      <c r="A1132" s="6">
        <f t="shared" si="132"/>
        <v>1131</v>
      </c>
      <c r="B1132" s="17" t="s">
        <v>2982</v>
      </c>
      <c r="C1132" s="8" t="s">
        <v>2983</v>
      </c>
      <c r="D1132" s="9" t="s">
        <v>26</v>
      </c>
      <c r="E1132" s="10">
        <v>30985</v>
      </c>
      <c r="F1132" s="11">
        <f t="shared" ca="1" si="138"/>
        <v>39.139726027397259</v>
      </c>
      <c r="G1132" s="11">
        <f>MONTH(E1132)</f>
        <v>10</v>
      </c>
      <c r="H1132" s="11">
        <f>DAY(E1132)</f>
        <v>30</v>
      </c>
      <c r="I1132" s="10">
        <v>40847</v>
      </c>
      <c r="J1132" s="9" t="s">
        <v>87</v>
      </c>
      <c r="K1132" s="9" t="s">
        <v>166</v>
      </c>
      <c r="L1132" s="9" t="s">
        <v>1713</v>
      </c>
      <c r="M1132" s="9" t="s">
        <v>35</v>
      </c>
      <c r="N1132" s="11">
        <v>7.2</v>
      </c>
      <c r="O1132" s="11">
        <f ca="1">(TODAY()-I1131)/365</f>
        <v>12.12054794520548</v>
      </c>
      <c r="P1132" s="12">
        <f t="shared" ca="1" si="136"/>
        <v>19.32054794520548</v>
      </c>
      <c r="Q1132" s="12" t="s">
        <v>68</v>
      </c>
      <c r="R1132" s="9" t="s">
        <v>27</v>
      </c>
      <c r="S1132" s="24" t="s">
        <v>36</v>
      </c>
      <c r="T1132" s="9" t="s">
        <v>90</v>
      </c>
    </row>
    <row r="1133" spans="1:20" ht="35.25" customHeight="1">
      <c r="A1133" s="6">
        <f t="shared" si="132"/>
        <v>1132</v>
      </c>
      <c r="B1133" s="17" t="s">
        <v>2984</v>
      </c>
      <c r="C1133" s="8" t="s">
        <v>2985</v>
      </c>
      <c r="D1133" s="9" t="s">
        <v>26</v>
      </c>
      <c r="E1133" s="10">
        <v>27728</v>
      </c>
      <c r="F1133" s="11">
        <f t="shared" ca="1" si="138"/>
        <v>48.063013698630137</v>
      </c>
      <c r="G1133" s="11">
        <f t="shared" ref="G1133:G1160" si="139">MONTH(E1133)</f>
        <v>11</v>
      </c>
      <c r="H1133" s="11">
        <f t="shared" ref="H1133:H1180" si="140">DAY(E1133)</f>
        <v>30</v>
      </c>
      <c r="I1133" s="10">
        <v>40847</v>
      </c>
      <c r="J1133" s="9" t="s">
        <v>367</v>
      </c>
      <c r="K1133" s="9" t="s">
        <v>871</v>
      </c>
      <c r="L1133" s="9" t="s">
        <v>2986</v>
      </c>
      <c r="M1133" s="9" t="s">
        <v>165</v>
      </c>
      <c r="N1133" s="11">
        <v>15</v>
      </c>
      <c r="O1133" s="11">
        <f ca="1">(TODAY()-I1132)/365</f>
        <v>12.12054794520548</v>
      </c>
      <c r="P1133" s="20">
        <f t="shared" ca="1" si="136"/>
        <v>27.12054794520548</v>
      </c>
      <c r="Q1133" s="12" t="s">
        <v>26</v>
      </c>
      <c r="R1133" s="9" t="s">
        <v>27</v>
      </c>
      <c r="S1133" s="24" t="s">
        <v>28</v>
      </c>
      <c r="T1133" s="9" t="s">
        <v>29</v>
      </c>
    </row>
    <row r="1134" spans="1:20" ht="35.25" customHeight="1">
      <c r="A1134" s="6">
        <f t="shared" si="132"/>
        <v>1133</v>
      </c>
      <c r="B1134" s="17" t="s">
        <v>2987</v>
      </c>
      <c r="C1134" s="8" t="s">
        <v>2988</v>
      </c>
      <c r="D1134" s="9" t="s">
        <v>26</v>
      </c>
      <c r="E1134" s="10">
        <v>30879</v>
      </c>
      <c r="F1134" s="11">
        <f t="shared" ca="1" si="138"/>
        <v>39.43013698630137</v>
      </c>
      <c r="G1134" s="11">
        <f t="shared" si="139"/>
        <v>7</v>
      </c>
      <c r="H1134" s="11">
        <f t="shared" si="140"/>
        <v>16</v>
      </c>
      <c r="I1134" s="10">
        <v>40848</v>
      </c>
      <c r="J1134" s="9" t="s">
        <v>110</v>
      </c>
      <c r="K1134" s="9" t="s">
        <v>63</v>
      </c>
      <c r="L1134" s="9" t="s">
        <v>147</v>
      </c>
      <c r="M1134" s="9" t="s">
        <v>134</v>
      </c>
      <c r="N1134" s="11">
        <v>2.5</v>
      </c>
      <c r="O1134" s="11">
        <f ca="1">(TODAY()-I1132)/365</f>
        <v>12.12054794520548</v>
      </c>
      <c r="P1134" s="12">
        <f t="shared" ca="1" si="136"/>
        <v>14.62054794520548</v>
      </c>
      <c r="Q1134" s="12" t="s">
        <v>68</v>
      </c>
      <c r="R1134" s="9" t="s">
        <v>442</v>
      </c>
      <c r="S1134" s="24" t="s">
        <v>36</v>
      </c>
      <c r="T1134" s="9" t="s">
        <v>137</v>
      </c>
    </row>
    <row r="1135" spans="1:20" ht="35.25" customHeight="1">
      <c r="A1135" s="6">
        <f t="shared" si="132"/>
        <v>1134</v>
      </c>
      <c r="B1135" s="17" t="s">
        <v>2989</v>
      </c>
      <c r="C1135" s="8" t="s">
        <v>2990</v>
      </c>
      <c r="D1135" s="9" t="s">
        <v>26</v>
      </c>
      <c r="E1135" s="10">
        <v>26393</v>
      </c>
      <c r="F1135" s="11">
        <f t="shared" ca="1" si="138"/>
        <v>51.720547945205482</v>
      </c>
      <c r="G1135" s="11">
        <f t="shared" si="139"/>
        <v>4</v>
      </c>
      <c r="H1135" s="11">
        <f t="shared" si="140"/>
        <v>4</v>
      </c>
      <c r="I1135" s="10">
        <v>40848</v>
      </c>
      <c r="J1135" s="9" t="s">
        <v>110</v>
      </c>
      <c r="K1135" s="9" t="s">
        <v>63</v>
      </c>
      <c r="L1135" s="9" t="s">
        <v>24</v>
      </c>
      <c r="M1135" s="9" t="s">
        <v>134</v>
      </c>
      <c r="N1135" s="11">
        <v>16</v>
      </c>
      <c r="O1135" s="11">
        <f ca="1">(TODAY()-I1133)/365</f>
        <v>12.12054794520548</v>
      </c>
      <c r="P1135" s="12">
        <f t="shared" ca="1" si="136"/>
        <v>28.12054794520548</v>
      </c>
      <c r="Q1135" s="12" t="s">
        <v>26</v>
      </c>
      <c r="R1135" s="9" t="s">
        <v>27</v>
      </c>
      <c r="S1135" s="24" t="s">
        <v>28</v>
      </c>
      <c r="T1135" s="9" t="s">
        <v>29</v>
      </c>
    </row>
    <row r="1136" spans="1:20" ht="35.25" customHeight="1">
      <c r="A1136" s="6">
        <f t="shared" si="132"/>
        <v>1135</v>
      </c>
      <c r="B1136" s="17" t="s">
        <v>2991</v>
      </c>
      <c r="C1136" s="8" t="s">
        <v>680</v>
      </c>
      <c r="D1136" s="9" t="s">
        <v>26</v>
      </c>
      <c r="E1136" s="10">
        <v>33009</v>
      </c>
      <c r="F1136" s="11">
        <f t="shared" ca="1" si="138"/>
        <v>33.594520547945208</v>
      </c>
      <c r="G1136" s="11">
        <f t="shared" si="139"/>
        <v>5</v>
      </c>
      <c r="H1136" s="11">
        <f t="shared" si="140"/>
        <v>16</v>
      </c>
      <c r="I1136" s="10">
        <v>40848</v>
      </c>
      <c r="J1136" s="9" t="s">
        <v>2460</v>
      </c>
      <c r="K1136" s="9" t="s">
        <v>2720</v>
      </c>
      <c r="L1136" s="9" t="s">
        <v>325</v>
      </c>
      <c r="M1136" s="9" t="s">
        <v>205</v>
      </c>
      <c r="N1136" s="11">
        <v>0</v>
      </c>
      <c r="O1136" s="11">
        <v>0</v>
      </c>
      <c r="P1136" s="12">
        <f t="shared" si="136"/>
        <v>0</v>
      </c>
      <c r="Q1136" s="12" t="s">
        <v>68</v>
      </c>
      <c r="R1136" s="9" t="s">
        <v>27</v>
      </c>
      <c r="S1136" s="24" t="s">
        <v>28</v>
      </c>
      <c r="T1136" s="9" t="s">
        <v>29</v>
      </c>
    </row>
    <row r="1137" spans="1:20" ht="35.25" customHeight="1">
      <c r="A1137" s="6">
        <f t="shared" si="132"/>
        <v>1136</v>
      </c>
      <c r="B1137" s="17" t="s">
        <v>2992</v>
      </c>
      <c r="C1137" s="8" t="s">
        <v>2993</v>
      </c>
      <c r="D1137" s="9" t="s">
        <v>26</v>
      </c>
      <c r="E1137" s="10">
        <v>22467</v>
      </c>
      <c r="F1137" s="11">
        <f t="shared" ca="1" si="138"/>
        <v>62.476712328767121</v>
      </c>
      <c r="G1137" s="11">
        <f t="shared" si="139"/>
        <v>7</v>
      </c>
      <c r="H1137" s="11">
        <f t="shared" si="140"/>
        <v>5</v>
      </c>
      <c r="I1137" s="10">
        <v>40849</v>
      </c>
      <c r="J1137" s="9" t="s">
        <v>192</v>
      </c>
      <c r="K1137" s="9" t="s">
        <v>2994</v>
      </c>
      <c r="L1137" s="9" t="s">
        <v>2995</v>
      </c>
      <c r="M1137" s="9" t="s">
        <v>134</v>
      </c>
      <c r="N1137" s="11">
        <v>32</v>
      </c>
      <c r="O1137" s="11">
        <v>0</v>
      </c>
      <c r="P1137" s="12">
        <f t="shared" si="136"/>
        <v>32</v>
      </c>
      <c r="Q1137" s="12" t="s">
        <v>26</v>
      </c>
      <c r="R1137" s="9" t="s">
        <v>27</v>
      </c>
      <c r="S1137" s="24" t="s">
        <v>28</v>
      </c>
      <c r="T1137" s="9" t="s">
        <v>29</v>
      </c>
    </row>
    <row r="1138" spans="1:20" ht="35.25" customHeight="1">
      <c r="A1138" s="6">
        <f t="shared" si="132"/>
        <v>1137</v>
      </c>
      <c r="B1138" s="17" t="s">
        <v>2996</v>
      </c>
      <c r="C1138" s="8" t="s">
        <v>2997</v>
      </c>
      <c r="D1138" s="9" t="s">
        <v>26</v>
      </c>
      <c r="E1138" s="10">
        <v>26428</v>
      </c>
      <c r="F1138" s="11">
        <f t="shared" ca="1" si="138"/>
        <v>51.624657534246573</v>
      </c>
      <c r="G1138" s="11">
        <f t="shared" si="139"/>
        <v>5</v>
      </c>
      <c r="H1138" s="11">
        <f t="shared" si="140"/>
        <v>9</v>
      </c>
      <c r="I1138" s="10">
        <v>40850</v>
      </c>
      <c r="J1138" s="9" t="s">
        <v>45</v>
      </c>
      <c r="K1138" s="9" t="s">
        <v>2998</v>
      </c>
      <c r="L1138" s="9" t="s">
        <v>724</v>
      </c>
      <c r="M1138" s="9" t="s">
        <v>134</v>
      </c>
      <c r="N1138" s="11">
        <v>15</v>
      </c>
      <c r="O1138" s="11">
        <v>0</v>
      </c>
      <c r="P1138" s="12">
        <f t="shared" si="136"/>
        <v>15</v>
      </c>
      <c r="Q1138" s="12" t="s">
        <v>26</v>
      </c>
      <c r="R1138" s="9" t="s">
        <v>27</v>
      </c>
      <c r="S1138" s="24" t="s">
        <v>36</v>
      </c>
      <c r="T1138" s="9" t="s">
        <v>137</v>
      </c>
    </row>
    <row r="1139" spans="1:20" ht="35.25" customHeight="1">
      <c r="A1139" s="6">
        <f t="shared" si="132"/>
        <v>1138</v>
      </c>
      <c r="B1139" s="17" t="s">
        <v>2999</v>
      </c>
      <c r="C1139" s="8" t="s">
        <v>3000</v>
      </c>
      <c r="D1139" s="9" t="s">
        <v>26</v>
      </c>
      <c r="E1139" s="10">
        <v>25345</v>
      </c>
      <c r="F1139" s="11">
        <f t="shared" ca="1" si="138"/>
        <v>54.591780821917808</v>
      </c>
      <c r="G1139" s="11">
        <f t="shared" si="139"/>
        <v>5</v>
      </c>
      <c r="H1139" s="11">
        <f t="shared" si="140"/>
        <v>22</v>
      </c>
      <c r="I1139" s="10">
        <v>40849</v>
      </c>
      <c r="J1139" s="9" t="s">
        <v>58</v>
      </c>
      <c r="K1139" s="9" t="s">
        <v>2323</v>
      </c>
      <c r="L1139" s="9" t="s">
        <v>724</v>
      </c>
      <c r="M1139" s="9" t="s">
        <v>134</v>
      </c>
      <c r="N1139" s="11">
        <v>17</v>
      </c>
      <c r="O1139" s="11">
        <v>0</v>
      </c>
      <c r="P1139" s="12">
        <f t="shared" si="136"/>
        <v>17</v>
      </c>
      <c r="Q1139" s="12" t="s">
        <v>26</v>
      </c>
      <c r="R1139" s="9" t="s">
        <v>27</v>
      </c>
      <c r="S1139" s="24" t="s">
        <v>36</v>
      </c>
      <c r="T1139" s="9" t="s">
        <v>137</v>
      </c>
    </row>
    <row r="1140" spans="1:20" ht="35.25" customHeight="1">
      <c r="A1140" s="6">
        <f t="shared" si="132"/>
        <v>1139</v>
      </c>
      <c r="B1140" s="17" t="s">
        <v>3001</v>
      </c>
      <c r="C1140" s="8" t="s">
        <v>3002</v>
      </c>
      <c r="D1140" s="9" t="s">
        <v>26</v>
      </c>
      <c r="E1140" s="10">
        <v>22384</v>
      </c>
      <c r="F1140" s="11">
        <f t="shared" ca="1" si="138"/>
        <v>62.704109589041096</v>
      </c>
      <c r="G1140" s="11">
        <f t="shared" si="139"/>
        <v>4</v>
      </c>
      <c r="H1140" s="11">
        <f t="shared" si="140"/>
        <v>13</v>
      </c>
      <c r="I1140" s="10">
        <v>40854</v>
      </c>
      <c r="J1140" s="9" t="s">
        <v>87</v>
      </c>
      <c r="K1140" s="9" t="s">
        <v>998</v>
      </c>
      <c r="L1140" s="9" t="s">
        <v>724</v>
      </c>
      <c r="M1140" s="9" t="s">
        <v>134</v>
      </c>
      <c r="N1140" s="11">
        <v>17</v>
      </c>
      <c r="O1140" s="11">
        <v>0</v>
      </c>
      <c r="P1140" s="12">
        <f t="shared" si="136"/>
        <v>17</v>
      </c>
      <c r="Q1140" s="12" t="s">
        <v>26</v>
      </c>
      <c r="R1140" s="9" t="s">
        <v>27</v>
      </c>
      <c r="S1140" s="24" t="s">
        <v>36</v>
      </c>
      <c r="T1140" s="9" t="s">
        <v>137</v>
      </c>
    </row>
    <row r="1141" spans="1:20" ht="35.25" customHeight="1">
      <c r="A1141" s="6">
        <f t="shared" si="132"/>
        <v>1140</v>
      </c>
      <c r="B1141" s="17" t="s">
        <v>3003</v>
      </c>
      <c r="C1141" s="8" t="s">
        <v>3004</v>
      </c>
      <c r="D1141" s="9" t="s">
        <v>26</v>
      </c>
      <c r="E1141" s="10">
        <v>23430</v>
      </c>
      <c r="F1141" s="11">
        <f t="shared" ca="1" si="138"/>
        <v>59.838356164383562</v>
      </c>
      <c r="G1141" s="11">
        <f t="shared" si="139"/>
        <v>2</v>
      </c>
      <c r="H1141" s="11">
        <f t="shared" si="140"/>
        <v>23</v>
      </c>
      <c r="I1141" s="10">
        <v>40854</v>
      </c>
      <c r="J1141" s="9" t="s">
        <v>32</v>
      </c>
      <c r="K1141" s="9" t="s">
        <v>941</v>
      </c>
      <c r="L1141" s="9" t="s">
        <v>60</v>
      </c>
      <c r="M1141" s="9" t="s">
        <v>134</v>
      </c>
      <c r="N1141" s="11">
        <v>23</v>
      </c>
      <c r="O1141" s="11">
        <v>0</v>
      </c>
      <c r="P1141" s="12">
        <f t="shared" si="136"/>
        <v>23</v>
      </c>
      <c r="Q1141" s="12" t="s">
        <v>26</v>
      </c>
      <c r="R1141" s="9" t="s">
        <v>356</v>
      </c>
      <c r="S1141" s="24" t="s">
        <v>36</v>
      </c>
      <c r="T1141" s="9" t="s">
        <v>137</v>
      </c>
    </row>
    <row r="1142" spans="1:20" ht="35.25" customHeight="1">
      <c r="A1142" s="6">
        <f t="shared" si="132"/>
        <v>1141</v>
      </c>
      <c r="B1142" s="17" t="s">
        <v>3005</v>
      </c>
      <c r="C1142" s="8" t="s">
        <v>3006</v>
      </c>
      <c r="D1142" s="9" t="s">
        <v>26</v>
      </c>
      <c r="E1142" s="10">
        <v>30769</v>
      </c>
      <c r="F1142" s="11">
        <f t="shared" ca="1" si="138"/>
        <v>39.731506849315068</v>
      </c>
      <c r="G1142" s="11">
        <f t="shared" si="139"/>
        <v>3</v>
      </c>
      <c r="H1142" s="11">
        <f t="shared" si="140"/>
        <v>28</v>
      </c>
      <c r="I1142" s="10">
        <v>40854</v>
      </c>
      <c r="J1142" s="9" t="s">
        <v>87</v>
      </c>
      <c r="K1142" s="9" t="s">
        <v>332</v>
      </c>
      <c r="L1142" s="9" t="s">
        <v>34</v>
      </c>
      <c r="M1142" s="9" t="s">
        <v>35</v>
      </c>
      <c r="N1142" s="11">
        <v>7.4</v>
      </c>
      <c r="O1142" s="11">
        <v>0</v>
      </c>
      <c r="P1142" s="12">
        <f t="shared" si="136"/>
        <v>7.4</v>
      </c>
      <c r="Q1142" s="12" t="s">
        <v>68</v>
      </c>
      <c r="R1142" s="9" t="s">
        <v>27</v>
      </c>
      <c r="S1142" s="24" t="s">
        <v>36</v>
      </c>
      <c r="T1142" s="9" t="s">
        <v>860</v>
      </c>
    </row>
    <row r="1143" spans="1:20" ht="35.25" customHeight="1">
      <c r="A1143" s="6">
        <f t="shared" si="132"/>
        <v>1142</v>
      </c>
      <c r="B1143" s="17" t="s">
        <v>3007</v>
      </c>
      <c r="C1143" s="8" t="s">
        <v>3008</v>
      </c>
      <c r="D1143" s="9" t="s">
        <v>26</v>
      </c>
      <c r="E1143" s="10">
        <v>30955</v>
      </c>
      <c r="F1143" s="11">
        <f t="shared" ca="1" si="138"/>
        <v>39.221917808219175</v>
      </c>
      <c r="G1143" s="11">
        <f t="shared" si="139"/>
        <v>9</v>
      </c>
      <c r="H1143" s="11">
        <f t="shared" si="140"/>
        <v>30</v>
      </c>
      <c r="I1143" s="10">
        <v>40854</v>
      </c>
      <c r="J1143" s="9" t="s">
        <v>45</v>
      </c>
      <c r="K1143" s="9" t="s">
        <v>477</v>
      </c>
      <c r="L1143" s="9" t="s">
        <v>34</v>
      </c>
      <c r="M1143" s="9" t="s">
        <v>35</v>
      </c>
      <c r="N1143" s="11">
        <v>3.6</v>
      </c>
      <c r="O1143" s="11">
        <v>0</v>
      </c>
      <c r="P1143" s="12">
        <f t="shared" si="136"/>
        <v>3.6</v>
      </c>
      <c r="Q1143" s="12" t="s">
        <v>68</v>
      </c>
      <c r="R1143" s="9" t="s">
        <v>27</v>
      </c>
      <c r="S1143" s="24" t="s">
        <v>36</v>
      </c>
      <c r="T1143" s="9" t="s">
        <v>860</v>
      </c>
    </row>
    <row r="1144" spans="1:20" ht="35.25" customHeight="1">
      <c r="A1144" s="6">
        <f t="shared" si="132"/>
        <v>1143</v>
      </c>
      <c r="B1144" s="17" t="s">
        <v>3009</v>
      </c>
      <c r="C1144" s="8" t="s">
        <v>3010</v>
      </c>
      <c r="D1144" s="9" t="s">
        <v>26</v>
      </c>
      <c r="E1144" s="10">
        <v>31438</v>
      </c>
      <c r="F1144" s="11">
        <f t="shared" ca="1" si="138"/>
        <v>37.898630136986299</v>
      </c>
      <c r="G1144" s="11">
        <f t="shared" si="139"/>
        <v>1</v>
      </c>
      <c r="H1144" s="11">
        <f t="shared" si="140"/>
        <v>26</v>
      </c>
      <c r="I1144" s="10">
        <v>40854</v>
      </c>
      <c r="J1144" s="9" t="s">
        <v>87</v>
      </c>
      <c r="K1144" s="9" t="s">
        <v>1097</v>
      </c>
      <c r="L1144" s="9" t="s">
        <v>2760</v>
      </c>
      <c r="M1144" s="9" t="s">
        <v>35</v>
      </c>
      <c r="N1144" s="11">
        <v>4.5</v>
      </c>
      <c r="O1144" s="11">
        <v>0</v>
      </c>
      <c r="P1144" s="12">
        <f t="shared" si="136"/>
        <v>4.5</v>
      </c>
      <c r="Q1144" s="12" t="s">
        <v>68</v>
      </c>
      <c r="R1144" s="9" t="s">
        <v>27</v>
      </c>
      <c r="S1144" s="24" t="s">
        <v>36</v>
      </c>
      <c r="T1144" s="9" t="s">
        <v>72</v>
      </c>
    </row>
    <row r="1145" spans="1:20" ht="35.25" customHeight="1">
      <c r="A1145" s="6">
        <f t="shared" si="132"/>
        <v>1144</v>
      </c>
      <c r="B1145" s="17" t="s">
        <v>3011</v>
      </c>
      <c r="C1145" s="8" t="s">
        <v>3012</v>
      </c>
      <c r="D1145" s="9" t="s">
        <v>21</v>
      </c>
      <c r="E1145" s="10">
        <v>31534</v>
      </c>
      <c r="F1145" s="11">
        <f t="shared" ca="1" si="138"/>
        <v>37.635616438356166</v>
      </c>
      <c r="G1145" s="11">
        <f t="shared" si="139"/>
        <v>5</v>
      </c>
      <c r="H1145" s="11">
        <f t="shared" si="140"/>
        <v>2</v>
      </c>
      <c r="I1145" s="10">
        <v>40856</v>
      </c>
      <c r="J1145" s="9" t="s">
        <v>87</v>
      </c>
      <c r="K1145" s="9" t="s">
        <v>2491</v>
      </c>
      <c r="L1145" s="9" t="s">
        <v>127</v>
      </c>
      <c r="M1145" s="9" t="s">
        <v>165</v>
      </c>
      <c r="N1145" s="11">
        <v>5</v>
      </c>
      <c r="O1145" s="11">
        <v>0</v>
      </c>
      <c r="P1145" s="12">
        <f>SUM(N1145+O1145)</f>
        <v>5</v>
      </c>
      <c r="Q1145" s="12" t="s">
        <v>26</v>
      </c>
      <c r="R1145" s="9" t="s">
        <v>27</v>
      </c>
      <c r="S1145" s="24" t="s">
        <v>28</v>
      </c>
      <c r="T1145" s="9" t="s">
        <v>29</v>
      </c>
    </row>
    <row r="1146" spans="1:20" ht="35.25" customHeight="1">
      <c r="A1146" s="6">
        <f t="shared" si="132"/>
        <v>1145</v>
      </c>
      <c r="B1146" s="17" t="s">
        <v>3013</v>
      </c>
      <c r="C1146" s="8" t="s">
        <v>3014</v>
      </c>
      <c r="D1146" s="9" t="s">
        <v>26</v>
      </c>
      <c r="E1146" s="10">
        <v>29005</v>
      </c>
      <c r="F1146" s="11">
        <f t="shared" ca="1" si="138"/>
        <v>44.564383561643837</v>
      </c>
      <c r="G1146" s="11">
        <f t="shared" si="139"/>
        <v>5</v>
      </c>
      <c r="H1146" s="11">
        <f t="shared" si="140"/>
        <v>30</v>
      </c>
      <c r="I1146" s="10">
        <v>40856</v>
      </c>
      <c r="J1146" s="9" t="s">
        <v>22</v>
      </c>
      <c r="K1146" s="9" t="s">
        <v>241</v>
      </c>
      <c r="L1146" s="9" t="s">
        <v>393</v>
      </c>
      <c r="M1146" s="9" t="s">
        <v>61</v>
      </c>
      <c r="N1146" s="11">
        <v>9</v>
      </c>
      <c r="O1146" s="11">
        <v>0</v>
      </c>
      <c r="P1146" s="12">
        <f>SUM(N1146+O1146)</f>
        <v>9</v>
      </c>
      <c r="Q1146" s="12" t="s">
        <v>26</v>
      </c>
      <c r="R1146" s="9" t="s">
        <v>27</v>
      </c>
      <c r="S1146" s="24" t="s">
        <v>3015</v>
      </c>
      <c r="T1146" s="9" t="s">
        <v>29</v>
      </c>
    </row>
    <row r="1147" spans="1:20" ht="35.25" customHeight="1">
      <c r="A1147" s="6">
        <f t="shared" si="132"/>
        <v>1146</v>
      </c>
      <c r="B1147" s="17" t="s">
        <v>3016</v>
      </c>
      <c r="C1147" s="8" t="s">
        <v>3017</v>
      </c>
      <c r="D1147" s="9" t="s">
        <v>26</v>
      </c>
      <c r="E1147" s="10">
        <v>30297</v>
      </c>
      <c r="F1147" s="11">
        <f t="shared" ca="1" si="138"/>
        <v>41.024657534246572</v>
      </c>
      <c r="G1147" s="11">
        <f t="shared" si="139"/>
        <v>12</v>
      </c>
      <c r="H1147" s="11">
        <f t="shared" si="140"/>
        <v>12</v>
      </c>
      <c r="I1147" s="10">
        <v>40856</v>
      </c>
      <c r="J1147" s="9" t="s">
        <v>87</v>
      </c>
      <c r="K1147" s="9" t="s">
        <v>135</v>
      </c>
      <c r="L1147" s="9" t="s">
        <v>704</v>
      </c>
      <c r="M1147" s="9" t="s">
        <v>491</v>
      </c>
      <c r="N1147" s="11">
        <v>5</v>
      </c>
      <c r="O1147" s="11">
        <v>0</v>
      </c>
      <c r="P1147" s="12">
        <f>SUM(N1147+O1147)</f>
        <v>5</v>
      </c>
      <c r="Q1147" s="12" t="s">
        <v>26</v>
      </c>
      <c r="R1147" s="9" t="s">
        <v>577</v>
      </c>
      <c r="S1147" s="24" t="s">
        <v>3015</v>
      </c>
      <c r="T1147" s="9" t="s">
        <v>492</v>
      </c>
    </row>
    <row r="1148" spans="1:20" ht="35.25" customHeight="1">
      <c r="A1148" s="6">
        <f t="shared" si="132"/>
        <v>1147</v>
      </c>
      <c r="B1148" s="17" t="s">
        <v>3018</v>
      </c>
      <c r="C1148" s="8" t="s">
        <v>3019</v>
      </c>
      <c r="D1148" s="9" t="s">
        <v>26</v>
      </c>
      <c r="E1148" s="10">
        <v>30447</v>
      </c>
      <c r="F1148" s="11">
        <f t="shared" ca="1" si="138"/>
        <v>40.613698630136987</v>
      </c>
      <c r="G1148" s="11">
        <f t="shared" si="139"/>
        <v>5</v>
      </c>
      <c r="H1148" s="11">
        <f t="shared" si="140"/>
        <v>11</v>
      </c>
      <c r="I1148" s="10">
        <v>40861</v>
      </c>
      <c r="J1148" s="9" t="s">
        <v>58</v>
      </c>
      <c r="K1148" s="9" t="s">
        <v>3020</v>
      </c>
      <c r="L1148" s="9" t="s">
        <v>2224</v>
      </c>
      <c r="M1148" s="9" t="s">
        <v>205</v>
      </c>
      <c r="N1148" s="11">
        <v>10</v>
      </c>
      <c r="O1148" s="11">
        <v>0</v>
      </c>
      <c r="P1148" s="12">
        <f>SUM(N1148+O1148)</f>
        <v>10</v>
      </c>
      <c r="Q1148" s="12" t="s">
        <v>68</v>
      </c>
      <c r="R1148" s="9" t="s">
        <v>27</v>
      </c>
      <c r="S1148" s="24" t="s">
        <v>28</v>
      </c>
      <c r="T1148" s="9" t="s">
        <v>29</v>
      </c>
    </row>
    <row r="1149" spans="1:20" ht="35.25" customHeight="1">
      <c r="A1149" s="6">
        <f t="shared" si="132"/>
        <v>1148</v>
      </c>
      <c r="B1149" s="17" t="s">
        <v>3021</v>
      </c>
      <c r="C1149" s="8" t="s">
        <v>3022</v>
      </c>
      <c r="D1149" s="9" t="s">
        <v>26</v>
      </c>
      <c r="E1149" s="10">
        <v>32193</v>
      </c>
      <c r="F1149" s="11">
        <f t="shared" ca="1" si="138"/>
        <v>35.830136986301369</v>
      </c>
      <c r="G1149" s="11">
        <f t="shared" si="139"/>
        <v>2</v>
      </c>
      <c r="H1149" s="11">
        <f t="shared" si="140"/>
        <v>20</v>
      </c>
      <c r="I1149" s="10">
        <v>40861</v>
      </c>
      <c r="J1149" s="9" t="s">
        <v>22</v>
      </c>
      <c r="K1149" s="9" t="s">
        <v>3023</v>
      </c>
      <c r="L1149" s="9" t="s">
        <v>377</v>
      </c>
      <c r="M1149" s="9" t="s">
        <v>205</v>
      </c>
      <c r="N1149" s="11">
        <v>6</v>
      </c>
      <c r="O1149" s="11">
        <v>0</v>
      </c>
      <c r="P1149" s="12">
        <f>SUM(N1149+O1149)</f>
        <v>6</v>
      </c>
      <c r="Q1149" s="12" t="s">
        <v>68</v>
      </c>
      <c r="R1149" s="9" t="s">
        <v>27</v>
      </c>
      <c r="S1149" s="24" t="s">
        <v>28</v>
      </c>
      <c r="T1149" s="9" t="s">
        <v>29</v>
      </c>
    </row>
    <row r="1150" spans="1:20" ht="35.25" customHeight="1">
      <c r="A1150" s="6">
        <f t="shared" si="132"/>
        <v>1149</v>
      </c>
      <c r="B1150" s="17" t="s">
        <v>3024</v>
      </c>
      <c r="C1150" s="8" t="s">
        <v>3025</v>
      </c>
      <c r="D1150" s="9" t="s">
        <v>26</v>
      </c>
      <c r="E1150" s="10">
        <v>31242</v>
      </c>
      <c r="F1150" s="11">
        <f t="shared" ca="1" si="138"/>
        <v>38.435616438356163</v>
      </c>
      <c r="G1150" s="11">
        <f t="shared" si="139"/>
        <v>7</v>
      </c>
      <c r="H1150" s="11">
        <f t="shared" si="140"/>
        <v>14</v>
      </c>
      <c r="I1150" s="10">
        <v>40870</v>
      </c>
      <c r="J1150" s="9" t="s">
        <v>87</v>
      </c>
      <c r="K1150" s="9" t="s">
        <v>1097</v>
      </c>
      <c r="L1150" s="9" t="s">
        <v>2760</v>
      </c>
      <c r="M1150" s="9" t="s">
        <v>35</v>
      </c>
      <c r="N1150" s="11">
        <v>5.3</v>
      </c>
      <c r="O1150" s="11">
        <v>0</v>
      </c>
      <c r="P1150" s="12">
        <f t="shared" ref="P1150:P1176" si="141">SUM(N1150+O1150)</f>
        <v>5.3</v>
      </c>
      <c r="Q1150" s="12" t="s">
        <v>68</v>
      </c>
      <c r="R1150" s="9" t="s">
        <v>27</v>
      </c>
      <c r="S1150" s="24" t="s">
        <v>36</v>
      </c>
      <c r="T1150" s="9" t="s">
        <v>137</v>
      </c>
    </row>
    <row r="1151" spans="1:20" ht="35.25" customHeight="1">
      <c r="A1151" s="6">
        <f t="shared" si="132"/>
        <v>1150</v>
      </c>
      <c r="B1151" s="17" t="s">
        <v>3026</v>
      </c>
      <c r="C1151" s="8" t="s">
        <v>3027</v>
      </c>
      <c r="D1151" s="9" t="s">
        <v>26</v>
      </c>
      <c r="E1151" s="10">
        <v>20640</v>
      </c>
      <c r="F1151" s="11">
        <f t="shared" ca="1" si="138"/>
        <v>67.482191780821921</v>
      </c>
      <c r="G1151" s="11">
        <f t="shared" si="139"/>
        <v>7</v>
      </c>
      <c r="H1151" s="11">
        <f t="shared" si="140"/>
        <v>4</v>
      </c>
      <c r="I1151" s="10">
        <v>40861</v>
      </c>
      <c r="J1151" s="9" t="s">
        <v>87</v>
      </c>
      <c r="K1151" s="9" t="s">
        <v>998</v>
      </c>
      <c r="L1151" s="9" t="s">
        <v>724</v>
      </c>
      <c r="M1151" s="9" t="s">
        <v>134</v>
      </c>
      <c r="N1151" s="11">
        <v>31</v>
      </c>
      <c r="O1151" s="11">
        <v>0</v>
      </c>
      <c r="P1151" s="12">
        <f t="shared" si="141"/>
        <v>31</v>
      </c>
      <c r="Q1151" s="12" t="s">
        <v>26</v>
      </c>
      <c r="R1151" s="9" t="s">
        <v>27</v>
      </c>
      <c r="S1151" s="24" t="s">
        <v>36</v>
      </c>
      <c r="T1151" s="9" t="s">
        <v>137</v>
      </c>
    </row>
    <row r="1152" spans="1:20" ht="35.25" customHeight="1">
      <c r="A1152" s="6">
        <f t="shared" si="132"/>
        <v>1151</v>
      </c>
      <c r="B1152" s="17" t="s">
        <v>3028</v>
      </c>
      <c r="C1152" s="8" t="s">
        <v>3029</v>
      </c>
      <c r="D1152" s="9" t="s">
        <v>26</v>
      </c>
      <c r="E1152" s="10">
        <v>23681</v>
      </c>
      <c r="F1152" s="11">
        <f t="shared" ca="1" si="138"/>
        <v>59.150684931506852</v>
      </c>
      <c r="G1152" s="11">
        <f t="shared" si="139"/>
        <v>10</v>
      </c>
      <c r="H1152" s="11">
        <f t="shared" si="140"/>
        <v>31</v>
      </c>
      <c r="I1152" s="10">
        <v>40861</v>
      </c>
      <c r="J1152" s="9" t="s">
        <v>87</v>
      </c>
      <c r="K1152" s="9" t="s">
        <v>998</v>
      </c>
      <c r="L1152" s="9" t="s">
        <v>724</v>
      </c>
      <c r="M1152" s="9" t="s">
        <v>134</v>
      </c>
      <c r="N1152" s="11">
        <v>32</v>
      </c>
      <c r="O1152" s="11">
        <v>0</v>
      </c>
      <c r="P1152" s="12">
        <f t="shared" si="141"/>
        <v>32</v>
      </c>
      <c r="Q1152" s="12" t="s">
        <v>26</v>
      </c>
      <c r="R1152" s="9" t="s">
        <v>27</v>
      </c>
      <c r="S1152" s="24" t="s">
        <v>36</v>
      </c>
      <c r="T1152" s="9" t="s">
        <v>137</v>
      </c>
    </row>
    <row r="1153" spans="1:20" ht="35.25" customHeight="1">
      <c r="A1153" s="6">
        <f t="shared" si="132"/>
        <v>1152</v>
      </c>
      <c r="B1153" s="17" t="s">
        <v>3030</v>
      </c>
      <c r="C1153" s="8" t="s">
        <v>3031</v>
      </c>
      <c r="D1153" s="9" t="s">
        <v>26</v>
      </c>
      <c r="E1153" s="10">
        <v>29696</v>
      </c>
      <c r="F1153" s="11">
        <f t="shared" ca="1" si="138"/>
        <v>42.671232876712331</v>
      </c>
      <c r="G1153" s="11">
        <f t="shared" si="139"/>
        <v>4</v>
      </c>
      <c r="H1153" s="11">
        <f t="shared" si="140"/>
        <v>20</v>
      </c>
      <c r="I1153" s="10">
        <v>40861</v>
      </c>
      <c r="J1153" s="9" t="s">
        <v>87</v>
      </c>
      <c r="K1153" s="9" t="s">
        <v>3032</v>
      </c>
      <c r="L1153" s="9" t="s">
        <v>2760</v>
      </c>
      <c r="M1153" s="9" t="s">
        <v>35</v>
      </c>
      <c r="N1153" s="11">
        <v>5.6</v>
      </c>
      <c r="O1153" s="11">
        <v>0</v>
      </c>
      <c r="P1153" s="12">
        <f t="shared" si="141"/>
        <v>5.6</v>
      </c>
      <c r="Q1153" s="12" t="s">
        <v>26</v>
      </c>
      <c r="R1153" s="9" t="s">
        <v>27</v>
      </c>
      <c r="S1153" s="24" t="s">
        <v>36</v>
      </c>
      <c r="T1153" s="9" t="s">
        <v>279</v>
      </c>
    </row>
    <row r="1154" spans="1:20" ht="35.25" customHeight="1">
      <c r="A1154" s="6">
        <f t="shared" si="132"/>
        <v>1153</v>
      </c>
      <c r="B1154" s="17" t="s">
        <v>3033</v>
      </c>
      <c r="C1154" s="8" t="s">
        <v>3034</v>
      </c>
      <c r="D1154" s="9" t="s">
        <v>26</v>
      </c>
      <c r="E1154" s="10">
        <v>24961</v>
      </c>
      <c r="F1154" s="11">
        <f t="shared" ca="1" si="138"/>
        <v>55.643835616438359</v>
      </c>
      <c r="G1154" s="11">
        <f t="shared" si="139"/>
        <v>5</v>
      </c>
      <c r="H1154" s="11">
        <f t="shared" si="140"/>
        <v>3</v>
      </c>
      <c r="I1154" s="10">
        <v>40861</v>
      </c>
      <c r="J1154" s="9" t="s">
        <v>58</v>
      </c>
      <c r="K1154" s="9" t="s">
        <v>2122</v>
      </c>
      <c r="L1154" s="9" t="s">
        <v>55</v>
      </c>
      <c r="M1154" s="9" t="s">
        <v>35</v>
      </c>
      <c r="N1154" s="11">
        <v>20</v>
      </c>
      <c r="O1154" s="11">
        <v>0</v>
      </c>
      <c r="P1154" s="12">
        <f t="shared" si="141"/>
        <v>20</v>
      </c>
      <c r="Q1154" s="12" t="s">
        <v>26</v>
      </c>
      <c r="R1154" s="9" t="s">
        <v>27</v>
      </c>
      <c r="S1154" s="24" t="s">
        <v>36</v>
      </c>
      <c r="T1154" s="9" t="s">
        <v>1644</v>
      </c>
    </row>
    <row r="1155" spans="1:20" ht="35.25" customHeight="1">
      <c r="A1155" s="6">
        <f t="shared" si="132"/>
        <v>1154</v>
      </c>
      <c r="B1155" s="54" t="s">
        <v>3035</v>
      </c>
      <c r="C1155" s="54" t="s">
        <v>3036</v>
      </c>
      <c r="D1155" s="55" t="s">
        <v>26</v>
      </c>
      <c r="E1155" s="56">
        <v>31543</v>
      </c>
      <c r="F1155" s="57">
        <f t="shared" ca="1" si="138"/>
        <v>37.610958904109587</v>
      </c>
      <c r="G1155" s="57">
        <f t="shared" si="139"/>
        <v>5</v>
      </c>
      <c r="H1155" s="57">
        <f t="shared" si="140"/>
        <v>11</v>
      </c>
      <c r="I1155" s="56">
        <v>40861</v>
      </c>
      <c r="J1155" s="55" t="s">
        <v>110</v>
      </c>
      <c r="K1155" s="55" t="s">
        <v>3037</v>
      </c>
      <c r="L1155" s="55" t="s">
        <v>34</v>
      </c>
      <c r="M1155" s="55" t="s">
        <v>35</v>
      </c>
      <c r="N1155" s="57">
        <v>7</v>
      </c>
      <c r="O1155" s="57">
        <v>0</v>
      </c>
      <c r="P1155" s="58">
        <f t="shared" si="141"/>
        <v>7</v>
      </c>
      <c r="Q1155" s="58" t="s">
        <v>68</v>
      </c>
      <c r="R1155" s="55" t="s">
        <v>27</v>
      </c>
      <c r="S1155" s="59" t="s">
        <v>36</v>
      </c>
      <c r="T1155" s="55" t="s">
        <v>72</v>
      </c>
    </row>
    <row r="1156" spans="1:20" ht="35.25" customHeight="1">
      <c r="A1156" s="6">
        <f t="shared" ref="A1156:A1219" si="142">+A1155+1</f>
        <v>1155</v>
      </c>
      <c r="B1156" s="17" t="s">
        <v>3038</v>
      </c>
      <c r="C1156" s="8" t="s">
        <v>3039</v>
      </c>
      <c r="D1156" s="9" t="s">
        <v>26</v>
      </c>
      <c r="E1156" s="10">
        <v>32597</v>
      </c>
      <c r="F1156" s="11">
        <f t="shared" ca="1" si="138"/>
        <v>34.723287671232875</v>
      </c>
      <c r="G1156" s="11">
        <f t="shared" si="139"/>
        <v>3</v>
      </c>
      <c r="H1156" s="11">
        <f t="shared" si="140"/>
        <v>30</v>
      </c>
      <c r="I1156" s="10">
        <v>40861</v>
      </c>
      <c r="J1156" s="9" t="s">
        <v>45</v>
      </c>
      <c r="K1156" s="9" t="s">
        <v>477</v>
      </c>
      <c r="L1156" s="9" t="s">
        <v>34</v>
      </c>
      <c r="M1156" s="9" t="s">
        <v>35</v>
      </c>
      <c r="N1156" s="11">
        <v>3.1</v>
      </c>
      <c r="O1156" s="11">
        <v>0</v>
      </c>
      <c r="P1156" s="12">
        <f t="shared" si="141"/>
        <v>3.1</v>
      </c>
      <c r="Q1156" s="12"/>
      <c r="R1156" s="9" t="s">
        <v>27</v>
      </c>
      <c r="S1156" s="24" t="s">
        <v>36</v>
      </c>
      <c r="T1156" s="9" t="s">
        <v>892</v>
      </c>
    </row>
    <row r="1157" spans="1:20" ht="35.25" customHeight="1">
      <c r="A1157" s="6">
        <f t="shared" si="142"/>
        <v>1156</v>
      </c>
      <c r="B1157" s="17" t="s">
        <v>3040</v>
      </c>
      <c r="C1157" s="8" t="s">
        <v>3041</v>
      </c>
      <c r="D1157" s="9" t="s">
        <v>26</v>
      </c>
      <c r="E1157" s="10">
        <v>27743</v>
      </c>
      <c r="F1157" s="11">
        <f t="shared" ca="1" si="138"/>
        <v>48.021917808219179</v>
      </c>
      <c r="G1157" s="11">
        <f t="shared" si="139"/>
        <v>12</v>
      </c>
      <c r="H1157" s="11">
        <f t="shared" si="140"/>
        <v>15</v>
      </c>
      <c r="I1157" s="10">
        <v>40861</v>
      </c>
      <c r="J1157" s="9" t="s">
        <v>22</v>
      </c>
      <c r="K1157" s="9" t="s">
        <v>266</v>
      </c>
      <c r="L1157" s="9" t="s">
        <v>34</v>
      </c>
      <c r="M1157" s="9" t="s">
        <v>35</v>
      </c>
      <c r="N1157" s="11">
        <v>17</v>
      </c>
      <c r="O1157" s="11">
        <v>0</v>
      </c>
      <c r="P1157" s="12">
        <f t="shared" si="141"/>
        <v>17</v>
      </c>
      <c r="Q1157" s="12" t="s">
        <v>26</v>
      </c>
      <c r="R1157" s="9" t="s">
        <v>27</v>
      </c>
      <c r="S1157" s="24" t="s">
        <v>36</v>
      </c>
      <c r="T1157" s="9" t="s">
        <v>3042</v>
      </c>
    </row>
    <row r="1158" spans="1:20" ht="35.25" customHeight="1">
      <c r="A1158" s="6">
        <f t="shared" si="142"/>
        <v>1157</v>
      </c>
      <c r="B1158" s="17" t="s">
        <v>3043</v>
      </c>
      <c r="C1158" s="8" t="s">
        <v>3044</v>
      </c>
      <c r="D1158" s="9" t="s">
        <v>21</v>
      </c>
      <c r="E1158" s="10">
        <v>32897</v>
      </c>
      <c r="F1158" s="11">
        <f t="shared" ca="1" si="138"/>
        <v>33.901369863013699</v>
      </c>
      <c r="G1158" s="11">
        <f t="shared" si="139"/>
        <v>1</v>
      </c>
      <c r="H1158" s="11">
        <f t="shared" si="140"/>
        <v>24</v>
      </c>
      <c r="I1158" s="10">
        <v>40863</v>
      </c>
      <c r="J1158" s="9" t="s">
        <v>45</v>
      </c>
      <c r="K1158" s="9" t="s">
        <v>3045</v>
      </c>
      <c r="L1158" s="9" t="s">
        <v>220</v>
      </c>
      <c r="M1158" s="9" t="s">
        <v>25</v>
      </c>
      <c r="N1158" s="11">
        <v>1.4</v>
      </c>
      <c r="O1158" s="11">
        <v>0</v>
      </c>
      <c r="P1158" s="12">
        <f t="shared" si="141"/>
        <v>1.4</v>
      </c>
      <c r="Q1158" s="12" t="s">
        <v>68</v>
      </c>
      <c r="R1158" s="9" t="s">
        <v>27</v>
      </c>
      <c r="S1158" s="24" t="s">
        <v>28</v>
      </c>
      <c r="T1158" s="9" t="s">
        <v>29</v>
      </c>
    </row>
    <row r="1159" spans="1:20" ht="35.25" customHeight="1">
      <c r="A1159" s="6">
        <f t="shared" si="142"/>
        <v>1158</v>
      </c>
      <c r="B1159" s="17" t="s">
        <v>3046</v>
      </c>
      <c r="C1159" s="8" t="s">
        <v>3047</v>
      </c>
      <c r="D1159" s="9" t="s">
        <v>26</v>
      </c>
      <c r="E1159" s="10">
        <v>30867</v>
      </c>
      <c r="F1159" s="11">
        <f t="shared" ca="1" si="138"/>
        <v>39.463013698630135</v>
      </c>
      <c r="G1159" s="11">
        <f t="shared" si="139"/>
        <v>7</v>
      </c>
      <c r="H1159" s="11">
        <f t="shared" si="140"/>
        <v>4</v>
      </c>
      <c r="I1159" s="10">
        <v>40863</v>
      </c>
      <c r="J1159" s="9" t="s">
        <v>1055</v>
      </c>
      <c r="K1159" s="9" t="s">
        <v>3048</v>
      </c>
      <c r="L1159" s="9" t="s">
        <v>128</v>
      </c>
      <c r="M1159" s="9" t="s">
        <v>356</v>
      </c>
      <c r="N1159" s="11">
        <v>4.7</v>
      </c>
      <c r="O1159" s="11">
        <v>0</v>
      </c>
      <c r="P1159" s="12">
        <f t="shared" si="141"/>
        <v>4.7</v>
      </c>
      <c r="Q1159" s="12" t="s">
        <v>68</v>
      </c>
      <c r="R1159" s="9" t="s">
        <v>27</v>
      </c>
      <c r="S1159" s="24" t="s">
        <v>28</v>
      </c>
      <c r="T1159" s="9" t="s">
        <v>29</v>
      </c>
    </row>
    <row r="1160" spans="1:20" ht="35.25" customHeight="1">
      <c r="A1160" s="6">
        <f t="shared" si="142"/>
        <v>1159</v>
      </c>
      <c r="B1160" s="17" t="s">
        <v>3049</v>
      </c>
      <c r="C1160" s="8" t="s">
        <v>3050</v>
      </c>
      <c r="D1160" s="9" t="s">
        <v>26</v>
      </c>
      <c r="E1160" s="10">
        <v>26038</v>
      </c>
      <c r="F1160" s="11">
        <f t="shared" ca="1" si="138"/>
        <v>52.69315068493151</v>
      </c>
      <c r="G1160" s="11">
        <f t="shared" si="139"/>
        <v>4</v>
      </c>
      <c r="H1160" s="11">
        <f t="shared" si="140"/>
        <v>15</v>
      </c>
      <c r="I1160" s="10">
        <v>40864</v>
      </c>
      <c r="J1160" s="9" t="s">
        <v>32</v>
      </c>
      <c r="K1160" s="9" t="s">
        <v>33</v>
      </c>
      <c r="L1160" s="9" t="s">
        <v>34</v>
      </c>
      <c r="M1160" s="9" t="s">
        <v>35</v>
      </c>
      <c r="N1160" s="11">
        <v>12</v>
      </c>
      <c r="O1160" s="11">
        <v>0</v>
      </c>
      <c r="P1160" s="12">
        <f t="shared" si="141"/>
        <v>12</v>
      </c>
      <c r="Q1160" s="12" t="s">
        <v>68</v>
      </c>
      <c r="R1160" s="9" t="s">
        <v>27</v>
      </c>
      <c r="S1160" s="24" t="s">
        <v>36</v>
      </c>
      <c r="T1160" s="9" t="s">
        <v>358</v>
      </c>
    </row>
    <row r="1161" spans="1:20" ht="35.25" customHeight="1">
      <c r="A1161" s="6">
        <f t="shared" si="142"/>
        <v>1160</v>
      </c>
      <c r="B1161" s="17" t="s">
        <v>3051</v>
      </c>
      <c r="C1161" s="8" t="s">
        <v>3052</v>
      </c>
      <c r="D1161" s="9" t="s">
        <v>26</v>
      </c>
      <c r="E1161" s="10">
        <v>31615</v>
      </c>
      <c r="F1161" s="11">
        <f ca="1">(TODAY()-E1161)/365</f>
        <v>37.413698630136984</v>
      </c>
      <c r="G1161" s="11">
        <f>MONTH(E1161)</f>
        <v>7</v>
      </c>
      <c r="H1161" s="11">
        <f t="shared" si="140"/>
        <v>22</v>
      </c>
      <c r="I1161" s="10">
        <v>40864</v>
      </c>
      <c r="J1161" s="9" t="s">
        <v>226</v>
      </c>
      <c r="K1161" s="9" t="s">
        <v>341</v>
      </c>
      <c r="L1161" s="9" t="s">
        <v>34</v>
      </c>
      <c r="M1161" s="9" t="s">
        <v>35</v>
      </c>
      <c r="N1161" s="11">
        <v>2.5</v>
      </c>
      <c r="O1161" s="11">
        <v>0</v>
      </c>
      <c r="P1161" s="12">
        <f t="shared" si="141"/>
        <v>2.5</v>
      </c>
      <c r="Q1161" s="12" t="s">
        <v>68</v>
      </c>
      <c r="R1161" s="9" t="s">
        <v>27</v>
      </c>
      <c r="S1161" s="24" t="s">
        <v>36</v>
      </c>
      <c r="T1161" s="9" t="s">
        <v>358</v>
      </c>
    </row>
    <row r="1162" spans="1:20" ht="35.25" customHeight="1">
      <c r="A1162" s="6">
        <f t="shared" si="142"/>
        <v>1161</v>
      </c>
      <c r="B1162" s="17" t="s">
        <v>3053</v>
      </c>
      <c r="C1162" s="8" t="s">
        <v>3054</v>
      </c>
      <c r="D1162" s="9" t="s">
        <v>26</v>
      </c>
      <c r="E1162" s="10">
        <v>32178</v>
      </c>
      <c r="F1162" s="11">
        <f ca="1">(TODAY()-E1162)/365</f>
        <v>35.871232876712327</v>
      </c>
      <c r="G1162" s="11">
        <f>MONTH(E1162)</f>
        <v>2</v>
      </c>
      <c r="H1162" s="11">
        <f t="shared" si="140"/>
        <v>5</v>
      </c>
      <c r="I1162" s="10">
        <v>40864</v>
      </c>
      <c r="J1162" s="9" t="s">
        <v>87</v>
      </c>
      <c r="K1162" s="9" t="s">
        <v>298</v>
      </c>
      <c r="L1162" s="9" t="s">
        <v>55</v>
      </c>
      <c r="M1162" s="9" t="s">
        <v>35</v>
      </c>
      <c r="N1162" s="11">
        <v>2.5</v>
      </c>
      <c r="O1162" s="11">
        <v>0</v>
      </c>
      <c r="P1162" s="12">
        <f t="shared" si="141"/>
        <v>2.5</v>
      </c>
      <c r="Q1162" s="12" t="s">
        <v>68</v>
      </c>
      <c r="R1162" s="9" t="s">
        <v>27</v>
      </c>
      <c r="S1162" s="24" t="s">
        <v>36</v>
      </c>
      <c r="T1162" s="9" t="s">
        <v>358</v>
      </c>
    </row>
    <row r="1163" spans="1:20" ht="35.25" customHeight="1">
      <c r="A1163" s="6">
        <f t="shared" si="142"/>
        <v>1162</v>
      </c>
      <c r="B1163" s="17" t="s">
        <v>3055</v>
      </c>
      <c r="C1163" s="8" t="s">
        <v>3056</v>
      </c>
      <c r="D1163" s="9" t="s">
        <v>26</v>
      </c>
      <c r="E1163" s="10">
        <v>32602</v>
      </c>
      <c r="F1163" s="11">
        <f ca="1">(TODAY()-E1163)/365</f>
        <v>34.709589041095889</v>
      </c>
      <c r="G1163" s="11">
        <f>MONTH(E1163)</f>
        <v>4</v>
      </c>
      <c r="H1163" s="11">
        <f t="shared" si="140"/>
        <v>4</v>
      </c>
      <c r="I1163" s="10">
        <v>40863</v>
      </c>
      <c r="J1163" s="9" t="s">
        <v>2581</v>
      </c>
      <c r="K1163" s="9" t="s">
        <v>102</v>
      </c>
      <c r="L1163" s="9" t="s">
        <v>325</v>
      </c>
      <c r="M1163" s="9" t="s">
        <v>156</v>
      </c>
      <c r="N1163" s="11">
        <v>0</v>
      </c>
      <c r="O1163" s="11">
        <v>0</v>
      </c>
      <c r="P1163" s="12">
        <f t="shared" si="141"/>
        <v>0</v>
      </c>
      <c r="Q1163" s="12" t="s">
        <v>68</v>
      </c>
      <c r="R1163" s="9" t="s">
        <v>95</v>
      </c>
      <c r="S1163" s="24" t="s">
        <v>28</v>
      </c>
      <c r="T1163" s="61" t="s">
        <v>29</v>
      </c>
    </row>
    <row r="1164" spans="1:20" ht="35.25" customHeight="1">
      <c r="A1164" s="6">
        <f t="shared" si="142"/>
        <v>1163</v>
      </c>
      <c r="B1164" s="17" t="s">
        <v>3057</v>
      </c>
      <c r="C1164" s="8" t="s">
        <v>3058</v>
      </c>
      <c r="D1164" s="9" t="s">
        <v>26</v>
      </c>
      <c r="E1164" s="10">
        <v>31576</v>
      </c>
      <c r="F1164" s="11">
        <v>25.528767123287672</v>
      </c>
      <c r="G1164" s="11">
        <v>6</v>
      </c>
      <c r="H1164" s="11">
        <v>13</v>
      </c>
      <c r="I1164" s="10">
        <v>40868</v>
      </c>
      <c r="J1164" s="9" t="s">
        <v>110</v>
      </c>
      <c r="K1164" s="9" t="s">
        <v>2684</v>
      </c>
      <c r="L1164" s="9" t="s">
        <v>724</v>
      </c>
      <c r="M1164" s="9" t="s">
        <v>134</v>
      </c>
      <c r="N1164" s="11">
        <v>7</v>
      </c>
      <c r="O1164" s="11">
        <v>0</v>
      </c>
      <c r="P1164" s="12">
        <v>7</v>
      </c>
      <c r="Q1164" s="12" t="s">
        <v>68</v>
      </c>
      <c r="R1164" s="9" t="s">
        <v>797</v>
      </c>
      <c r="S1164" s="24" t="s">
        <v>36</v>
      </c>
      <c r="T1164" s="9" t="s">
        <v>137</v>
      </c>
    </row>
    <row r="1165" spans="1:20" ht="35.25" customHeight="1">
      <c r="A1165" s="6">
        <f t="shared" si="142"/>
        <v>1164</v>
      </c>
      <c r="B1165" s="17" t="s">
        <v>3059</v>
      </c>
      <c r="C1165" s="8" t="s">
        <v>3060</v>
      </c>
      <c r="D1165" s="9" t="s">
        <v>26</v>
      </c>
      <c r="E1165" s="10">
        <v>30990</v>
      </c>
      <c r="F1165" s="11">
        <f t="shared" ref="F1165:F1180" ca="1" si="143">(TODAY()-E1165)/365</f>
        <v>39.126027397260273</v>
      </c>
      <c r="G1165" s="11">
        <f t="shared" ref="G1165:G1180" si="144">MONTH(E1165)</f>
        <v>11</v>
      </c>
      <c r="H1165" s="11">
        <f t="shared" si="140"/>
        <v>4</v>
      </c>
      <c r="I1165" s="10">
        <v>40868</v>
      </c>
      <c r="J1165" s="9" t="s">
        <v>87</v>
      </c>
      <c r="K1165" s="9" t="s">
        <v>1094</v>
      </c>
      <c r="L1165" s="9" t="s">
        <v>2224</v>
      </c>
      <c r="M1165" s="9" t="s">
        <v>205</v>
      </c>
      <c r="N1165" s="11">
        <v>2.2999999999999998</v>
      </c>
      <c r="O1165" s="11">
        <v>0</v>
      </c>
      <c r="P1165" s="12">
        <f t="shared" si="141"/>
        <v>2.2999999999999998</v>
      </c>
      <c r="Q1165" s="12" t="s">
        <v>68</v>
      </c>
      <c r="R1165" s="9" t="s">
        <v>27</v>
      </c>
      <c r="S1165" s="24" t="s">
        <v>28</v>
      </c>
      <c r="T1165" s="9" t="s">
        <v>29</v>
      </c>
    </row>
    <row r="1166" spans="1:20" ht="35.25" customHeight="1">
      <c r="A1166" s="6">
        <f t="shared" si="142"/>
        <v>1165</v>
      </c>
      <c r="B1166" s="17" t="s">
        <v>3061</v>
      </c>
      <c r="C1166" s="8" t="s">
        <v>3062</v>
      </c>
      <c r="D1166" s="9" t="s">
        <v>26</v>
      </c>
      <c r="E1166" s="10">
        <v>31456</v>
      </c>
      <c r="F1166" s="11">
        <f t="shared" ca="1" si="143"/>
        <v>37.849315068493148</v>
      </c>
      <c r="G1166" s="11">
        <f t="shared" si="144"/>
        <v>2</v>
      </c>
      <c r="H1166" s="11">
        <f t="shared" si="140"/>
        <v>13</v>
      </c>
      <c r="I1166" s="10">
        <v>40868</v>
      </c>
      <c r="J1166" s="9" t="s">
        <v>87</v>
      </c>
      <c r="K1166" s="9" t="s">
        <v>1094</v>
      </c>
      <c r="L1166" s="9" t="s">
        <v>2224</v>
      </c>
      <c r="M1166" s="9" t="s">
        <v>205</v>
      </c>
      <c r="N1166" s="11">
        <v>1</v>
      </c>
      <c r="O1166" s="11">
        <v>0</v>
      </c>
      <c r="P1166" s="12">
        <f t="shared" si="141"/>
        <v>1</v>
      </c>
      <c r="Q1166" s="12" t="s">
        <v>68</v>
      </c>
      <c r="R1166" s="9" t="s">
        <v>27</v>
      </c>
      <c r="S1166" s="24" t="s">
        <v>28</v>
      </c>
      <c r="T1166" s="9" t="s">
        <v>29</v>
      </c>
    </row>
    <row r="1167" spans="1:20" ht="35.25" customHeight="1">
      <c r="A1167" s="6">
        <f t="shared" si="142"/>
        <v>1166</v>
      </c>
      <c r="B1167" s="17" t="s">
        <v>3063</v>
      </c>
      <c r="C1167" s="8" t="s">
        <v>3064</v>
      </c>
      <c r="D1167" s="9" t="s">
        <v>26</v>
      </c>
      <c r="E1167" s="10">
        <v>32329</v>
      </c>
      <c r="F1167" s="11">
        <f t="shared" ca="1" si="143"/>
        <v>35.457534246575342</v>
      </c>
      <c r="G1167" s="11">
        <f t="shared" si="144"/>
        <v>7</v>
      </c>
      <c r="H1167" s="11">
        <f t="shared" si="140"/>
        <v>5</v>
      </c>
      <c r="I1167" s="10">
        <v>40868</v>
      </c>
      <c r="J1167" s="9" t="s">
        <v>3065</v>
      </c>
      <c r="K1167" s="9" t="s">
        <v>341</v>
      </c>
      <c r="L1167" s="9" t="s">
        <v>34</v>
      </c>
      <c r="M1167" s="9" t="s">
        <v>35</v>
      </c>
      <c r="N1167" s="11">
        <v>1.5</v>
      </c>
      <c r="O1167" s="11">
        <v>0</v>
      </c>
      <c r="P1167" s="12">
        <f t="shared" si="141"/>
        <v>1.5</v>
      </c>
      <c r="Q1167" s="12" t="s">
        <v>68</v>
      </c>
      <c r="R1167" s="9" t="s">
        <v>27</v>
      </c>
      <c r="S1167" s="24" t="s">
        <v>36</v>
      </c>
      <c r="T1167" s="9" t="s">
        <v>358</v>
      </c>
    </row>
    <row r="1168" spans="1:20" ht="35.25" customHeight="1">
      <c r="A1168" s="6">
        <f t="shared" si="142"/>
        <v>1167</v>
      </c>
      <c r="B1168" s="17" t="s">
        <v>3066</v>
      </c>
      <c r="C1168" s="8" t="s">
        <v>3067</v>
      </c>
      <c r="D1168" s="9" t="s">
        <v>26</v>
      </c>
      <c r="E1168" s="10">
        <v>29581</v>
      </c>
      <c r="F1168" s="11">
        <f t="shared" ca="1" si="143"/>
        <v>42.986301369863014</v>
      </c>
      <c r="G1168" s="11">
        <f t="shared" si="144"/>
        <v>12</v>
      </c>
      <c r="H1168" s="11">
        <f t="shared" si="140"/>
        <v>26</v>
      </c>
      <c r="I1168" s="10">
        <v>40868</v>
      </c>
      <c r="J1168" s="9" t="s">
        <v>3068</v>
      </c>
      <c r="K1168" s="9" t="s">
        <v>1682</v>
      </c>
      <c r="L1168" s="9" t="s">
        <v>60</v>
      </c>
      <c r="M1168" s="9" t="s">
        <v>35</v>
      </c>
      <c r="N1168" s="11">
        <v>9.6</v>
      </c>
      <c r="O1168" s="11">
        <v>0</v>
      </c>
      <c r="P1168" s="12">
        <f t="shared" si="141"/>
        <v>9.6</v>
      </c>
      <c r="Q1168" s="12" t="s">
        <v>26</v>
      </c>
      <c r="R1168" s="9" t="s">
        <v>27</v>
      </c>
      <c r="S1168" s="24" t="s">
        <v>36</v>
      </c>
      <c r="T1168" s="9" t="s">
        <v>72</v>
      </c>
    </row>
    <row r="1169" spans="1:20" ht="35.25" customHeight="1">
      <c r="A1169" s="6">
        <f t="shared" si="142"/>
        <v>1168</v>
      </c>
      <c r="B1169" s="17" t="s">
        <v>3069</v>
      </c>
      <c r="C1169" s="8" t="s">
        <v>3070</v>
      </c>
      <c r="D1169" s="9" t="s">
        <v>26</v>
      </c>
      <c r="E1169" s="10">
        <v>31556</v>
      </c>
      <c r="F1169" s="11">
        <f t="shared" ca="1" si="143"/>
        <v>37.575342465753423</v>
      </c>
      <c r="G1169" s="11">
        <f t="shared" si="144"/>
        <v>5</v>
      </c>
      <c r="H1169" s="11">
        <f t="shared" si="140"/>
        <v>24</v>
      </c>
      <c r="I1169" s="10">
        <v>40868</v>
      </c>
      <c r="J1169" s="9" t="s">
        <v>3068</v>
      </c>
      <c r="K1169" s="9" t="s">
        <v>1094</v>
      </c>
      <c r="L1169" s="9" t="s">
        <v>213</v>
      </c>
      <c r="M1169" s="9" t="s">
        <v>35</v>
      </c>
      <c r="N1169" s="11">
        <v>4</v>
      </c>
      <c r="O1169" s="11">
        <v>0</v>
      </c>
      <c r="P1169" s="12">
        <f t="shared" si="141"/>
        <v>4</v>
      </c>
      <c r="Q1169" s="12" t="s">
        <v>68</v>
      </c>
      <c r="R1169" s="9" t="s">
        <v>27</v>
      </c>
      <c r="S1169" s="24" t="s">
        <v>36</v>
      </c>
      <c r="T1169" s="9" t="s">
        <v>72</v>
      </c>
    </row>
    <row r="1170" spans="1:20" ht="35.25" customHeight="1">
      <c r="A1170" s="6">
        <f t="shared" si="142"/>
        <v>1169</v>
      </c>
      <c r="B1170" s="17" t="s">
        <v>3071</v>
      </c>
      <c r="C1170" s="8" t="s">
        <v>3072</v>
      </c>
      <c r="D1170" s="9" t="s">
        <v>26</v>
      </c>
      <c r="E1170" s="10">
        <v>30491</v>
      </c>
      <c r="F1170" s="11">
        <f t="shared" ca="1" si="143"/>
        <v>40.493150684931507</v>
      </c>
      <c r="G1170" s="11">
        <f t="shared" si="144"/>
        <v>6</v>
      </c>
      <c r="H1170" s="11">
        <f t="shared" si="140"/>
        <v>24</v>
      </c>
      <c r="I1170" s="10">
        <v>40868</v>
      </c>
      <c r="J1170" s="9" t="s">
        <v>3068</v>
      </c>
      <c r="K1170" s="9" t="s">
        <v>412</v>
      </c>
      <c r="L1170" s="9" t="s">
        <v>1603</v>
      </c>
      <c r="M1170" s="9" t="s">
        <v>35</v>
      </c>
      <c r="N1170" s="11">
        <v>3</v>
      </c>
      <c r="O1170" s="11">
        <v>0</v>
      </c>
      <c r="P1170" s="12">
        <f t="shared" si="141"/>
        <v>3</v>
      </c>
      <c r="Q1170" s="12" t="s">
        <v>68</v>
      </c>
      <c r="R1170" s="9" t="s">
        <v>27</v>
      </c>
      <c r="S1170" s="24" t="s">
        <v>36</v>
      </c>
      <c r="T1170" s="9" t="s">
        <v>3073</v>
      </c>
    </row>
    <row r="1171" spans="1:20" ht="35.25" customHeight="1">
      <c r="A1171" s="6">
        <f t="shared" si="142"/>
        <v>1170</v>
      </c>
      <c r="B1171" s="17" t="s">
        <v>3074</v>
      </c>
      <c r="C1171" s="8" t="s">
        <v>3075</v>
      </c>
      <c r="D1171" s="9" t="s">
        <v>26</v>
      </c>
      <c r="E1171" s="10">
        <v>28551</v>
      </c>
      <c r="F1171" s="11">
        <f t="shared" ca="1" si="143"/>
        <v>45.80821917808219</v>
      </c>
      <c r="G1171" s="11">
        <f t="shared" si="144"/>
        <v>3</v>
      </c>
      <c r="H1171" s="11">
        <f t="shared" si="140"/>
        <v>2</v>
      </c>
      <c r="I1171" s="10">
        <v>40868</v>
      </c>
      <c r="J1171" s="9" t="s">
        <v>3076</v>
      </c>
      <c r="K1171" s="9" t="s">
        <v>3077</v>
      </c>
      <c r="L1171" s="9" t="s">
        <v>1992</v>
      </c>
      <c r="M1171" s="9" t="s">
        <v>35</v>
      </c>
      <c r="N1171" s="11">
        <v>9.1999999999999993</v>
      </c>
      <c r="O1171" s="11">
        <v>0</v>
      </c>
      <c r="P1171" s="12">
        <f t="shared" si="141"/>
        <v>9.1999999999999993</v>
      </c>
      <c r="Q1171" s="12" t="s">
        <v>68</v>
      </c>
      <c r="R1171" s="9" t="s">
        <v>27</v>
      </c>
      <c r="S1171" s="24" t="s">
        <v>36</v>
      </c>
      <c r="T1171" s="9" t="s">
        <v>72</v>
      </c>
    </row>
    <row r="1172" spans="1:20" ht="35.25" customHeight="1">
      <c r="A1172" s="6">
        <f t="shared" si="142"/>
        <v>1171</v>
      </c>
      <c r="B1172" s="17" t="s">
        <v>3078</v>
      </c>
      <c r="C1172" s="8" t="s">
        <v>3079</v>
      </c>
      <c r="D1172" s="9" t="s">
        <v>26</v>
      </c>
      <c r="E1172" s="10">
        <v>31936</v>
      </c>
      <c r="F1172" s="11">
        <f t="shared" ca="1" si="143"/>
        <v>36.534246575342465</v>
      </c>
      <c r="G1172" s="11">
        <f t="shared" si="144"/>
        <v>6</v>
      </c>
      <c r="H1172" s="11">
        <f t="shared" si="140"/>
        <v>8</v>
      </c>
      <c r="I1172" s="10">
        <v>40868</v>
      </c>
      <c r="J1172" s="9" t="s">
        <v>87</v>
      </c>
      <c r="K1172" s="9" t="s">
        <v>166</v>
      </c>
      <c r="L1172" s="9" t="s">
        <v>34</v>
      </c>
      <c r="M1172" s="9" t="s">
        <v>156</v>
      </c>
      <c r="N1172" s="11">
        <v>2</v>
      </c>
      <c r="O1172" s="11">
        <v>0</v>
      </c>
      <c r="P1172" s="12">
        <f t="shared" si="141"/>
        <v>2</v>
      </c>
      <c r="Q1172" s="12" t="s">
        <v>68</v>
      </c>
      <c r="R1172" s="9" t="s">
        <v>27</v>
      </c>
      <c r="S1172" s="24" t="s">
        <v>36</v>
      </c>
      <c r="T1172" s="9" t="s">
        <v>90</v>
      </c>
    </row>
    <row r="1173" spans="1:20" ht="35.25" customHeight="1">
      <c r="A1173" s="6">
        <f t="shared" si="142"/>
        <v>1172</v>
      </c>
      <c r="B1173" s="17" t="s">
        <v>3080</v>
      </c>
      <c r="C1173" s="8" t="s">
        <v>3081</v>
      </c>
      <c r="D1173" s="9" t="s">
        <v>26</v>
      </c>
      <c r="E1173" s="10">
        <v>29391</v>
      </c>
      <c r="F1173" s="11">
        <f t="shared" ca="1" si="143"/>
        <v>43.506849315068493</v>
      </c>
      <c r="G1173" s="11">
        <f t="shared" si="144"/>
        <v>6</v>
      </c>
      <c r="H1173" s="11">
        <f t="shared" si="140"/>
        <v>19</v>
      </c>
      <c r="I1173" s="10">
        <v>40868</v>
      </c>
      <c r="J1173" s="9" t="s">
        <v>87</v>
      </c>
      <c r="K1173" s="9" t="s">
        <v>216</v>
      </c>
      <c r="L1173" s="9" t="s">
        <v>208</v>
      </c>
      <c r="M1173" s="9" t="s">
        <v>156</v>
      </c>
      <c r="N1173" s="11">
        <v>4.0999999999999996</v>
      </c>
      <c r="O1173" s="11">
        <v>0</v>
      </c>
      <c r="P1173" s="12">
        <f t="shared" si="141"/>
        <v>4.0999999999999996</v>
      </c>
      <c r="Q1173" s="12" t="s">
        <v>68</v>
      </c>
      <c r="R1173" s="9" t="s">
        <v>27</v>
      </c>
      <c r="S1173" s="24" t="s">
        <v>28</v>
      </c>
      <c r="T1173" s="9" t="s">
        <v>29</v>
      </c>
    </row>
    <row r="1174" spans="1:20" ht="35.25" customHeight="1">
      <c r="A1174" s="6">
        <f t="shared" si="142"/>
        <v>1173</v>
      </c>
      <c r="B1174" s="17" t="s">
        <v>3082</v>
      </c>
      <c r="C1174" s="8" t="s">
        <v>3083</v>
      </c>
      <c r="D1174" s="9" t="s">
        <v>26</v>
      </c>
      <c r="E1174" s="10">
        <v>22686</v>
      </c>
      <c r="F1174" s="11">
        <f t="shared" ca="1" si="143"/>
        <v>61.876712328767127</v>
      </c>
      <c r="G1174" s="11">
        <f t="shared" si="144"/>
        <v>2</v>
      </c>
      <c r="H1174" s="11">
        <f t="shared" si="140"/>
        <v>9</v>
      </c>
      <c r="I1174" s="10">
        <v>40870</v>
      </c>
      <c r="J1174" s="9" t="s">
        <v>58</v>
      </c>
      <c r="K1174" s="9" t="s">
        <v>79</v>
      </c>
      <c r="L1174" s="9" t="s">
        <v>34</v>
      </c>
      <c r="M1174" s="9" t="s">
        <v>35</v>
      </c>
      <c r="N1174" s="11">
        <v>22</v>
      </c>
      <c r="O1174" s="11">
        <v>0</v>
      </c>
      <c r="P1174" s="12">
        <f t="shared" si="141"/>
        <v>22</v>
      </c>
      <c r="Q1174" s="12" t="s">
        <v>26</v>
      </c>
      <c r="R1174" s="9" t="s">
        <v>27</v>
      </c>
      <c r="S1174" s="24" t="s">
        <v>36</v>
      </c>
      <c r="T1174" s="9" t="s">
        <v>2637</v>
      </c>
    </row>
    <row r="1175" spans="1:20" ht="35.25" customHeight="1">
      <c r="A1175" s="6">
        <f t="shared" si="142"/>
        <v>1174</v>
      </c>
      <c r="B1175" s="17" t="s">
        <v>3084</v>
      </c>
      <c r="C1175" s="8" t="s">
        <v>3085</v>
      </c>
      <c r="D1175" s="9" t="s">
        <v>26</v>
      </c>
      <c r="E1175" s="10">
        <v>31369</v>
      </c>
      <c r="F1175" s="11">
        <f t="shared" ca="1" si="143"/>
        <v>38.087671232876716</v>
      </c>
      <c r="G1175" s="11">
        <f t="shared" si="144"/>
        <v>11</v>
      </c>
      <c r="H1175" s="11">
        <f t="shared" si="140"/>
        <v>18</v>
      </c>
      <c r="I1175" s="10">
        <v>40871</v>
      </c>
      <c r="J1175" s="9" t="s">
        <v>226</v>
      </c>
      <c r="K1175" s="9" t="s">
        <v>96</v>
      </c>
      <c r="L1175" s="9" t="s">
        <v>34</v>
      </c>
      <c r="M1175" s="9" t="s">
        <v>491</v>
      </c>
      <c r="N1175" s="11">
        <v>1.6</v>
      </c>
      <c r="O1175" s="11">
        <v>0</v>
      </c>
      <c r="P1175" s="12">
        <f t="shared" si="141"/>
        <v>1.6</v>
      </c>
      <c r="Q1175" s="12" t="s">
        <v>68</v>
      </c>
      <c r="R1175" s="9" t="s">
        <v>492</v>
      </c>
      <c r="S1175" s="24" t="s">
        <v>36</v>
      </c>
      <c r="T1175" s="9" t="s">
        <v>492</v>
      </c>
    </row>
    <row r="1176" spans="1:20" ht="35.25" customHeight="1">
      <c r="A1176" s="6">
        <f t="shared" si="142"/>
        <v>1175</v>
      </c>
      <c r="B1176" s="17" t="s">
        <v>3086</v>
      </c>
      <c r="C1176" s="8" t="s">
        <v>3087</v>
      </c>
      <c r="D1176" s="9" t="s">
        <v>26</v>
      </c>
      <c r="E1176" s="10">
        <v>29726</v>
      </c>
      <c r="F1176" s="11">
        <f t="shared" ca="1" si="143"/>
        <v>42.589041095890408</v>
      </c>
      <c r="G1176" s="11">
        <f t="shared" si="144"/>
        <v>5</v>
      </c>
      <c r="H1176" s="11">
        <f t="shared" si="140"/>
        <v>20</v>
      </c>
      <c r="I1176" s="10">
        <v>40875</v>
      </c>
      <c r="J1176" s="9" t="s">
        <v>110</v>
      </c>
      <c r="K1176" s="9" t="s">
        <v>278</v>
      </c>
      <c r="L1176" s="9" t="s">
        <v>34</v>
      </c>
      <c r="M1176" s="9" t="s">
        <v>35</v>
      </c>
      <c r="N1176" s="11">
        <v>12</v>
      </c>
      <c r="O1176" s="11">
        <v>0</v>
      </c>
      <c r="P1176" s="12">
        <f t="shared" si="141"/>
        <v>12</v>
      </c>
      <c r="Q1176" s="12" t="s">
        <v>26</v>
      </c>
      <c r="R1176" s="9" t="s">
        <v>27</v>
      </c>
      <c r="S1176" s="24" t="s">
        <v>36</v>
      </c>
      <c r="T1176" s="9" t="s">
        <v>3073</v>
      </c>
    </row>
    <row r="1177" spans="1:20" ht="35.25" customHeight="1">
      <c r="A1177" s="6">
        <f t="shared" si="142"/>
        <v>1176</v>
      </c>
      <c r="B1177" s="17" t="s">
        <v>3088</v>
      </c>
      <c r="C1177" s="8" t="s">
        <v>3089</v>
      </c>
      <c r="D1177" s="9" t="s">
        <v>26</v>
      </c>
      <c r="E1177" s="10">
        <v>29572</v>
      </c>
      <c r="F1177" s="11">
        <f t="shared" ca="1" si="143"/>
        <v>43.010958904109586</v>
      </c>
      <c r="G1177" s="11">
        <f t="shared" si="144"/>
        <v>12</v>
      </c>
      <c r="H1177" s="11">
        <f t="shared" si="140"/>
        <v>17</v>
      </c>
      <c r="I1177" s="10">
        <v>40875</v>
      </c>
      <c r="J1177" s="9" t="s">
        <v>110</v>
      </c>
      <c r="K1177" s="9" t="s">
        <v>278</v>
      </c>
      <c r="L1177" s="9" t="s">
        <v>34</v>
      </c>
      <c r="M1177" s="9" t="s">
        <v>35</v>
      </c>
      <c r="N1177" s="11">
        <v>11.9</v>
      </c>
      <c r="O1177" s="11">
        <v>0</v>
      </c>
      <c r="P1177" s="12">
        <f>SUM(N1177+O1177)</f>
        <v>11.9</v>
      </c>
      <c r="Q1177" s="12" t="s">
        <v>26</v>
      </c>
      <c r="R1177" s="9" t="s">
        <v>27</v>
      </c>
      <c r="S1177" s="24" t="s">
        <v>36</v>
      </c>
      <c r="T1177" s="9" t="s">
        <v>3073</v>
      </c>
    </row>
    <row r="1178" spans="1:20" ht="35.25" customHeight="1">
      <c r="A1178" s="6">
        <f t="shared" si="142"/>
        <v>1177</v>
      </c>
      <c r="B1178" s="17" t="s">
        <v>3090</v>
      </c>
      <c r="C1178" s="8" t="s">
        <v>3091</v>
      </c>
      <c r="D1178" s="9" t="s">
        <v>26</v>
      </c>
      <c r="E1178" s="10">
        <v>32626</v>
      </c>
      <c r="F1178" s="11">
        <f t="shared" ca="1" si="143"/>
        <v>34.643835616438359</v>
      </c>
      <c r="G1178" s="11">
        <f t="shared" si="144"/>
        <v>4</v>
      </c>
      <c r="H1178" s="11">
        <f t="shared" si="140"/>
        <v>28</v>
      </c>
      <c r="I1178" s="10">
        <v>40875</v>
      </c>
      <c r="J1178" s="9" t="s">
        <v>87</v>
      </c>
      <c r="K1178" s="9" t="s">
        <v>1097</v>
      </c>
      <c r="L1178" s="9" t="s">
        <v>2524</v>
      </c>
      <c r="M1178" s="9" t="s">
        <v>35</v>
      </c>
      <c r="N1178" s="11">
        <v>4.5999999999999996</v>
      </c>
      <c r="O1178" s="11">
        <v>0</v>
      </c>
      <c r="P1178" s="12">
        <f>SUM(N1178+O1178)</f>
        <v>4.5999999999999996</v>
      </c>
      <c r="Q1178" s="12" t="s">
        <v>68</v>
      </c>
      <c r="R1178" s="9" t="s">
        <v>27</v>
      </c>
      <c r="S1178" s="24" t="s">
        <v>36</v>
      </c>
      <c r="T1178" s="9" t="s">
        <v>3073</v>
      </c>
    </row>
    <row r="1179" spans="1:20" ht="35.25" customHeight="1">
      <c r="A1179" s="6">
        <f t="shared" si="142"/>
        <v>1178</v>
      </c>
      <c r="B1179" s="17" t="s">
        <v>3092</v>
      </c>
      <c r="C1179" s="8" t="s">
        <v>3093</v>
      </c>
      <c r="D1179" s="9" t="s">
        <v>26</v>
      </c>
      <c r="E1179" s="10">
        <v>31906</v>
      </c>
      <c r="F1179" s="11">
        <f t="shared" ca="1" si="143"/>
        <v>36.61643835616438</v>
      </c>
      <c r="G1179" s="11">
        <f t="shared" si="144"/>
        <v>5</v>
      </c>
      <c r="H1179" s="11">
        <f t="shared" si="140"/>
        <v>9</v>
      </c>
      <c r="I1179" s="10">
        <v>40876</v>
      </c>
      <c r="J1179" s="9" t="s">
        <v>2581</v>
      </c>
      <c r="K1179" s="9" t="s">
        <v>3094</v>
      </c>
      <c r="L1179" s="9" t="s">
        <v>724</v>
      </c>
      <c r="M1179" s="9" t="s">
        <v>134</v>
      </c>
      <c r="N1179" s="11">
        <v>0</v>
      </c>
      <c r="O1179" s="11">
        <v>0</v>
      </c>
      <c r="P1179" s="12">
        <f>SUM(N1179+O1179)</f>
        <v>0</v>
      </c>
      <c r="Q1179" s="12" t="s">
        <v>68</v>
      </c>
      <c r="R1179" s="9" t="s">
        <v>27</v>
      </c>
      <c r="S1179" s="24" t="s">
        <v>36</v>
      </c>
      <c r="T1179" s="9" t="s">
        <v>137</v>
      </c>
    </row>
    <row r="1180" spans="1:20" ht="35.25" customHeight="1">
      <c r="A1180" s="6">
        <f t="shared" si="142"/>
        <v>1179</v>
      </c>
      <c r="B1180" s="17" t="s">
        <v>3095</v>
      </c>
      <c r="C1180" s="8" t="s">
        <v>3096</v>
      </c>
      <c r="D1180" s="9" t="s">
        <v>26</v>
      </c>
      <c r="E1180" s="10">
        <v>29974</v>
      </c>
      <c r="F1180" s="11">
        <f t="shared" ca="1" si="143"/>
        <v>41.909589041095892</v>
      </c>
      <c r="G1180" s="11">
        <f t="shared" si="144"/>
        <v>1</v>
      </c>
      <c r="H1180" s="11">
        <f t="shared" si="140"/>
        <v>23</v>
      </c>
      <c r="I1180" s="10">
        <v>40878</v>
      </c>
      <c r="J1180" s="9" t="s">
        <v>58</v>
      </c>
      <c r="K1180" s="9" t="s">
        <v>698</v>
      </c>
      <c r="L1180" s="9" t="s">
        <v>34</v>
      </c>
      <c r="M1180" s="9" t="s">
        <v>205</v>
      </c>
      <c r="N1180" s="11"/>
      <c r="O1180" s="11"/>
      <c r="P1180" s="12"/>
      <c r="Q1180" s="12" t="s">
        <v>26</v>
      </c>
      <c r="R1180" s="9"/>
      <c r="S1180" s="24"/>
      <c r="T1180" s="9"/>
    </row>
    <row r="1181" spans="1:20" ht="35.25" customHeight="1">
      <c r="A1181" s="6">
        <f t="shared" si="142"/>
        <v>1180</v>
      </c>
      <c r="B1181" s="17" t="s">
        <v>3097</v>
      </c>
      <c r="C1181" s="8" t="s">
        <v>3098</v>
      </c>
      <c r="D1181" s="9" t="s">
        <v>26</v>
      </c>
      <c r="E1181" s="10">
        <v>31206</v>
      </c>
      <c r="F1181" s="11">
        <v>26.542465753424658</v>
      </c>
      <c r="G1181" s="11">
        <v>6</v>
      </c>
      <c r="H1181" s="11">
        <v>8</v>
      </c>
      <c r="I1181" s="10">
        <v>40878</v>
      </c>
      <c r="J1181" s="9" t="s">
        <v>226</v>
      </c>
      <c r="K1181" s="9" t="s">
        <v>3099</v>
      </c>
      <c r="L1181" s="9" t="s">
        <v>147</v>
      </c>
      <c r="M1181" s="9" t="s">
        <v>134</v>
      </c>
      <c r="N1181" s="11">
        <v>3.4</v>
      </c>
      <c r="O1181" s="11">
        <v>0</v>
      </c>
      <c r="P1181" s="12">
        <v>3.4</v>
      </c>
      <c r="Q1181" s="12" t="s">
        <v>68</v>
      </c>
      <c r="R1181" s="9" t="s">
        <v>442</v>
      </c>
      <c r="S1181" s="24" t="s">
        <v>36</v>
      </c>
      <c r="T1181" s="9" t="s">
        <v>137</v>
      </c>
    </row>
    <row r="1182" spans="1:20" ht="35.25" customHeight="1">
      <c r="A1182" s="6">
        <f t="shared" si="142"/>
        <v>1181</v>
      </c>
      <c r="B1182" s="17" t="s">
        <v>3100</v>
      </c>
      <c r="C1182" s="8" t="s">
        <v>3101</v>
      </c>
      <c r="D1182" s="9" t="s">
        <v>26</v>
      </c>
      <c r="E1182" s="10">
        <v>27399</v>
      </c>
      <c r="F1182" s="11">
        <f ca="1">(TODAY()-E1182)/365</f>
        <v>48.964383561643835</v>
      </c>
      <c r="G1182" s="11">
        <f>MONTH(E1182)</f>
        <v>1</v>
      </c>
      <c r="H1182" s="11">
        <f>DAY(E1182)</f>
        <v>5</v>
      </c>
      <c r="I1182" s="10">
        <v>40878</v>
      </c>
      <c r="J1182" s="9" t="s">
        <v>87</v>
      </c>
      <c r="K1182" s="9" t="s">
        <v>418</v>
      </c>
      <c r="L1182" s="9" t="s">
        <v>147</v>
      </c>
      <c r="M1182" s="9" t="s">
        <v>134</v>
      </c>
      <c r="N1182" s="11">
        <v>12.1</v>
      </c>
      <c r="O1182" s="11">
        <v>0</v>
      </c>
      <c r="P1182" s="12">
        <f>SUM(N1182+O1182)</f>
        <v>12.1</v>
      </c>
      <c r="Q1182" s="12" t="s">
        <v>26</v>
      </c>
      <c r="R1182" s="9" t="s">
        <v>27</v>
      </c>
      <c r="S1182" s="24" t="s">
        <v>36</v>
      </c>
      <c r="T1182" s="9" t="s">
        <v>137</v>
      </c>
    </row>
    <row r="1183" spans="1:20" ht="35.25" customHeight="1">
      <c r="A1183" s="6">
        <f t="shared" si="142"/>
        <v>1182</v>
      </c>
      <c r="B1183" s="17" t="s">
        <v>3102</v>
      </c>
      <c r="C1183" s="8" t="s">
        <v>3103</v>
      </c>
      <c r="D1183" s="9" t="s">
        <v>26</v>
      </c>
      <c r="E1183" s="10">
        <v>31594</v>
      </c>
      <c r="F1183" s="11">
        <f ca="1">(TODAY()-E1183)/365</f>
        <v>37.471232876712328</v>
      </c>
      <c r="G1183" s="11">
        <f>MONTH(E1183)</f>
        <v>7</v>
      </c>
      <c r="H1183" s="11">
        <f>DAY(E1183)</f>
        <v>1</v>
      </c>
      <c r="I1183" s="10">
        <v>40878</v>
      </c>
      <c r="J1183" s="9" t="s">
        <v>45</v>
      </c>
      <c r="K1183" s="9" t="s">
        <v>3104</v>
      </c>
      <c r="L1183" s="9" t="s">
        <v>724</v>
      </c>
      <c r="M1183" s="9" t="s">
        <v>134</v>
      </c>
      <c r="N1183" s="11">
        <v>1.6</v>
      </c>
      <c r="O1183" s="11">
        <v>0</v>
      </c>
      <c r="P1183" s="12">
        <f>SUM(N1183+O1183)</f>
        <v>1.6</v>
      </c>
      <c r="Q1183" s="12" t="s">
        <v>68</v>
      </c>
      <c r="R1183" s="9" t="s">
        <v>95</v>
      </c>
      <c r="S1183" s="24" t="s">
        <v>36</v>
      </c>
      <c r="T1183" s="9" t="s">
        <v>137</v>
      </c>
    </row>
    <row r="1184" spans="1:20" ht="35.25" customHeight="1">
      <c r="A1184" s="6">
        <f t="shared" si="142"/>
        <v>1183</v>
      </c>
      <c r="B1184" s="17" t="s">
        <v>3105</v>
      </c>
      <c r="C1184" s="8" t="s">
        <v>3106</v>
      </c>
      <c r="D1184" s="9" t="s">
        <v>26</v>
      </c>
      <c r="E1184" s="10">
        <v>32430</v>
      </c>
      <c r="F1184" s="11">
        <f ca="1">(TODAY()-E1184)/365</f>
        <v>35.180821917808217</v>
      </c>
      <c r="G1184" s="11">
        <f>MONTH(E1184)</f>
        <v>10</v>
      </c>
      <c r="H1184" s="11">
        <f>DAY(E1184)</f>
        <v>14</v>
      </c>
      <c r="I1184" s="10">
        <v>40878</v>
      </c>
      <c r="J1184" s="9" t="s">
        <v>87</v>
      </c>
      <c r="K1184" s="9" t="s">
        <v>2266</v>
      </c>
      <c r="L1184" s="9" t="s">
        <v>704</v>
      </c>
      <c r="M1184" s="9" t="s">
        <v>491</v>
      </c>
      <c r="N1184" s="11">
        <v>5.8</v>
      </c>
      <c r="O1184" s="11">
        <v>0</v>
      </c>
      <c r="P1184" s="12">
        <f>SUM(N1184+O1184)</f>
        <v>5.8</v>
      </c>
      <c r="Q1184" s="12" t="s">
        <v>68</v>
      </c>
      <c r="R1184" s="9" t="s">
        <v>577</v>
      </c>
      <c r="S1184" s="24" t="s">
        <v>36</v>
      </c>
      <c r="T1184" s="9" t="s">
        <v>492</v>
      </c>
    </row>
    <row r="1185" spans="1:20" ht="35.25" customHeight="1">
      <c r="A1185" s="6">
        <f t="shared" si="142"/>
        <v>1184</v>
      </c>
      <c r="B1185" s="17" t="s">
        <v>3107</v>
      </c>
      <c r="C1185" s="8" t="s">
        <v>3108</v>
      </c>
      <c r="D1185" s="9" t="s">
        <v>26</v>
      </c>
      <c r="E1185" s="10">
        <v>26672</v>
      </c>
      <c r="F1185" s="11">
        <v>38.964383561643835</v>
      </c>
      <c r="G1185" s="11">
        <v>1</v>
      </c>
      <c r="H1185" s="11">
        <v>8</v>
      </c>
      <c r="I1185" s="10">
        <v>40879</v>
      </c>
      <c r="J1185" s="9" t="s">
        <v>32</v>
      </c>
      <c r="K1185" s="9" t="s">
        <v>3109</v>
      </c>
      <c r="L1185" s="9" t="s">
        <v>147</v>
      </c>
      <c r="M1185" s="9" t="s">
        <v>134</v>
      </c>
      <c r="N1185" s="11">
        <v>16</v>
      </c>
      <c r="O1185" s="11">
        <v>0</v>
      </c>
      <c r="P1185" s="12">
        <v>16</v>
      </c>
      <c r="Q1185" s="12" t="s">
        <v>26</v>
      </c>
      <c r="R1185" s="9" t="s">
        <v>27</v>
      </c>
      <c r="S1185" s="24" t="s">
        <v>36</v>
      </c>
      <c r="T1185" s="9" t="s">
        <v>137</v>
      </c>
    </row>
    <row r="1186" spans="1:20" ht="35.25" customHeight="1">
      <c r="A1186" s="6">
        <f t="shared" si="142"/>
        <v>1185</v>
      </c>
      <c r="B1186" s="17" t="s">
        <v>3110</v>
      </c>
      <c r="C1186" s="8" t="s">
        <v>3111</v>
      </c>
      <c r="D1186" s="9" t="s">
        <v>26</v>
      </c>
      <c r="E1186" s="10">
        <v>22846</v>
      </c>
      <c r="F1186" s="11">
        <f ca="1">(TODAY()-E1186)/365</f>
        <v>61.438356164383563</v>
      </c>
      <c r="G1186" s="11">
        <f>MONTH(E1186)</f>
        <v>7</v>
      </c>
      <c r="H1186" s="11">
        <f>DAY(E1186)</f>
        <v>19</v>
      </c>
      <c r="I1186" s="10">
        <v>40877</v>
      </c>
      <c r="J1186" s="9" t="s">
        <v>22</v>
      </c>
      <c r="K1186" s="9" t="s">
        <v>241</v>
      </c>
      <c r="L1186" s="9" t="s">
        <v>24</v>
      </c>
      <c r="M1186" s="9" t="s">
        <v>25</v>
      </c>
      <c r="N1186" s="11">
        <v>18</v>
      </c>
      <c r="O1186" s="11">
        <v>0</v>
      </c>
      <c r="P1186" s="12">
        <f>SUM(N1186+O1186)</f>
        <v>18</v>
      </c>
      <c r="Q1186" s="12" t="s">
        <v>26</v>
      </c>
      <c r="R1186" s="9" t="s">
        <v>356</v>
      </c>
      <c r="S1186" s="24" t="s">
        <v>36</v>
      </c>
      <c r="T1186" s="9" t="s">
        <v>72</v>
      </c>
    </row>
    <row r="1187" spans="1:20" ht="35.25" customHeight="1">
      <c r="A1187" s="6">
        <f t="shared" si="142"/>
        <v>1186</v>
      </c>
      <c r="B1187" s="17" t="s">
        <v>3112</v>
      </c>
      <c r="C1187" s="8" t="s">
        <v>3113</v>
      </c>
      <c r="D1187" s="9" t="s">
        <v>26</v>
      </c>
      <c r="E1187" s="10">
        <v>25006</v>
      </c>
      <c r="F1187" s="11">
        <f ca="1">(TODAY()-E1187)/365</f>
        <v>55.520547945205479</v>
      </c>
      <c r="G1187" s="11">
        <f>MONTH(E1187)</f>
        <v>6</v>
      </c>
      <c r="H1187" s="11">
        <f>DAY(E1187)</f>
        <v>17</v>
      </c>
      <c r="I1187" s="10">
        <v>40882</v>
      </c>
      <c r="J1187" s="9" t="s">
        <v>66</v>
      </c>
      <c r="K1187" s="9" t="s">
        <v>3114</v>
      </c>
      <c r="L1187" s="9" t="s">
        <v>3115</v>
      </c>
      <c r="M1187" s="9" t="s">
        <v>35</v>
      </c>
      <c r="N1187" s="11">
        <v>23</v>
      </c>
      <c r="O1187" s="11">
        <v>0</v>
      </c>
      <c r="P1187" s="12">
        <f>SUM(N1187+O1187)</f>
        <v>23</v>
      </c>
      <c r="Q1187" s="12" t="s">
        <v>26</v>
      </c>
      <c r="R1187" s="9" t="s">
        <v>27</v>
      </c>
      <c r="S1187" s="24" t="s">
        <v>28</v>
      </c>
      <c r="T1187" s="9" t="s">
        <v>29</v>
      </c>
    </row>
    <row r="1188" spans="1:20" ht="35.25" customHeight="1">
      <c r="A1188" s="6">
        <f t="shared" si="142"/>
        <v>1187</v>
      </c>
      <c r="B1188" s="17" t="s">
        <v>3116</v>
      </c>
      <c r="C1188" s="8" t="s">
        <v>3117</v>
      </c>
      <c r="D1188" s="9" t="s">
        <v>26</v>
      </c>
      <c r="E1188" s="10">
        <v>25629</v>
      </c>
      <c r="F1188" s="11">
        <f t="shared" ref="F1188:F1232" ca="1" si="145">(TODAY()-E1188)/365</f>
        <v>53.813698630136983</v>
      </c>
      <c r="G1188" s="11">
        <f t="shared" ref="G1188:G1251" si="146">MONTH(E1188)</f>
        <v>3</v>
      </c>
      <c r="H1188" s="11">
        <f t="shared" ref="H1188:H1251" si="147">DAY(E1188)</f>
        <v>2</v>
      </c>
      <c r="I1188" s="10">
        <v>40880</v>
      </c>
      <c r="J1188" s="9" t="s">
        <v>318</v>
      </c>
      <c r="K1188" s="9" t="s">
        <v>3118</v>
      </c>
      <c r="L1188" s="9" t="s">
        <v>3119</v>
      </c>
      <c r="M1188" s="9" t="s">
        <v>61</v>
      </c>
      <c r="N1188" s="11">
        <v>20</v>
      </c>
      <c r="O1188" s="11">
        <v>0</v>
      </c>
      <c r="P1188" s="12">
        <f t="shared" ref="P1188:P1208" si="148">SUM(N1188+O1188)</f>
        <v>20</v>
      </c>
      <c r="Q1188" s="12" t="s">
        <v>26</v>
      </c>
      <c r="R1188" s="9" t="s">
        <v>95</v>
      </c>
      <c r="S1188" s="24" t="s">
        <v>36</v>
      </c>
      <c r="T1188" s="9" t="s">
        <v>72</v>
      </c>
    </row>
    <row r="1189" spans="1:20" ht="35.25" customHeight="1">
      <c r="A1189" s="6">
        <f t="shared" si="142"/>
        <v>1188</v>
      </c>
      <c r="B1189" s="17" t="s">
        <v>3120</v>
      </c>
      <c r="C1189" s="8" t="s">
        <v>3121</v>
      </c>
      <c r="D1189" s="9" t="s">
        <v>26</v>
      </c>
      <c r="E1189" s="10">
        <v>30143</v>
      </c>
      <c r="F1189" s="11">
        <f t="shared" ca="1" si="145"/>
        <v>41.446575342465756</v>
      </c>
      <c r="G1189" s="11">
        <f t="shared" si="146"/>
        <v>7</v>
      </c>
      <c r="H1189" s="11">
        <f t="shared" si="147"/>
        <v>11</v>
      </c>
      <c r="I1189" s="10">
        <v>40882</v>
      </c>
      <c r="J1189" s="9" t="s">
        <v>87</v>
      </c>
      <c r="K1189" s="9" t="s">
        <v>3122</v>
      </c>
      <c r="L1189" s="9" t="s">
        <v>389</v>
      </c>
      <c r="M1189" s="9" t="s">
        <v>205</v>
      </c>
      <c r="N1189" s="11">
        <v>7</v>
      </c>
      <c r="O1189" s="11">
        <v>0</v>
      </c>
      <c r="P1189" s="12">
        <f t="shared" si="148"/>
        <v>7</v>
      </c>
      <c r="Q1189" s="12" t="s">
        <v>26</v>
      </c>
      <c r="R1189" s="9" t="s">
        <v>27</v>
      </c>
      <c r="S1189" s="24" t="s">
        <v>36</v>
      </c>
      <c r="T1189" s="9" t="s">
        <v>137</v>
      </c>
    </row>
    <row r="1190" spans="1:20" ht="35.25" customHeight="1">
      <c r="A1190" s="6">
        <f t="shared" si="142"/>
        <v>1189</v>
      </c>
      <c r="B1190" s="17" t="s">
        <v>3123</v>
      </c>
      <c r="C1190" s="8" t="s">
        <v>3124</v>
      </c>
      <c r="D1190" s="9" t="s">
        <v>26</v>
      </c>
      <c r="E1190" s="10">
        <v>32842</v>
      </c>
      <c r="F1190" s="11">
        <f t="shared" ca="1" si="145"/>
        <v>34.052054794520551</v>
      </c>
      <c r="G1190" s="11">
        <f t="shared" si="146"/>
        <v>11</v>
      </c>
      <c r="H1190" s="11">
        <f t="shared" si="147"/>
        <v>30</v>
      </c>
      <c r="I1190" s="10">
        <v>40875</v>
      </c>
      <c r="J1190" s="9" t="s">
        <v>45</v>
      </c>
      <c r="K1190" s="9" t="s">
        <v>1379</v>
      </c>
      <c r="L1190" s="9" t="s">
        <v>147</v>
      </c>
      <c r="M1190" s="9" t="s">
        <v>3125</v>
      </c>
      <c r="N1190" s="11">
        <v>2</v>
      </c>
      <c r="O1190" s="11">
        <v>0</v>
      </c>
      <c r="P1190" s="12">
        <f t="shared" si="148"/>
        <v>2</v>
      </c>
      <c r="Q1190" s="12" t="s">
        <v>68</v>
      </c>
      <c r="R1190" s="9" t="s">
        <v>27</v>
      </c>
      <c r="S1190" s="24" t="s">
        <v>28</v>
      </c>
      <c r="T1190" s="9" t="s">
        <v>29</v>
      </c>
    </row>
    <row r="1191" spans="1:20" ht="35.25" customHeight="1">
      <c r="A1191" s="6">
        <f t="shared" si="142"/>
        <v>1190</v>
      </c>
      <c r="B1191" s="17" t="s">
        <v>3126</v>
      </c>
      <c r="C1191" s="8" t="s">
        <v>3127</v>
      </c>
      <c r="D1191" s="9" t="s">
        <v>26</v>
      </c>
      <c r="E1191" s="10">
        <v>27926</v>
      </c>
      <c r="F1191" s="11">
        <f t="shared" ca="1" si="145"/>
        <v>47.520547945205479</v>
      </c>
      <c r="G1191" s="11">
        <f t="shared" si="146"/>
        <v>6</v>
      </c>
      <c r="H1191" s="11">
        <f t="shared" si="147"/>
        <v>15</v>
      </c>
      <c r="I1191" s="10">
        <v>40882</v>
      </c>
      <c r="J1191" s="9" t="s">
        <v>132</v>
      </c>
      <c r="K1191" s="9" t="s">
        <v>103</v>
      </c>
      <c r="L1191" s="9" t="s">
        <v>34</v>
      </c>
      <c r="M1191" s="9" t="s">
        <v>165</v>
      </c>
      <c r="N1191" s="11">
        <v>13</v>
      </c>
      <c r="O1191" s="11">
        <v>0</v>
      </c>
      <c r="P1191" s="12">
        <f t="shared" si="148"/>
        <v>13</v>
      </c>
      <c r="Q1191" s="12" t="s">
        <v>26</v>
      </c>
      <c r="R1191" s="9" t="s">
        <v>27</v>
      </c>
      <c r="S1191" s="24" t="s">
        <v>1031</v>
      </c>
      <c r="T1191" s="9" t="s">
        <v>37</v>
      </c>
    </row>
    <row r="1192" spans="1:20" ht="35.25" customHeight="1">
      <c r="A1192" s="6">
        <f t="shared" si="142"/>
        <v>1191</v>
      </c>
      <c r="B1192" s="17" t="s">
        <v>3128</v>
      </c>
      <c r="C1192" s="8" t="s">
        <v>3129</v>
      </c>
      <c r="D1192" s="9" t="s">
        <v>26</v>
      </c>
      <c r="E1192" s="10">
        <v>27266</v>
      </c>
      <c r="F1192" s="11">
        <f t="shared" ca="1" si="145"/>
        <v>49.328767123287669</v>
      </c>
      <c r="G1192" s="11">
        <f t="shared" si="146"/>
        <v>8</v>
      </c>
      <c r="H1192" s="11">
        <f t="shared" si="147"/>
        <v>25</v>
      </c>
      <c r="I1192" s="10">
        <v>40882</v>
      </c>
      <c r="J1192" s="9" t="s">
        <v>58</v>
      </c>
      <c r="K1192" s="9" t="s">
        <v>3130</v>
      </c>
      <c r="L1192" s="9" t="s">
        <v>3131</v>
      </c>
      <c r="M1192" s="9" t="s">
        <v>134</v>
      </c>
      <c r="N1192" s="11">
        <v>15</v>
      </c>
      <c r="O1192" s="11">
        <v>0</v>
      </c>
      <c r="P1192" s="12">
        <f t="shared" si="148"/>
        <v>15</v>
      </c>
      <c r="Q1192" s="12" t="s">
        <v>26</v>
      </c>
      <c r="R1192" s="9" t="s">
        <v>27</v>
      </c>
      <c r="S1192" s="24" t="s">
        <v>1031</v>
      </c>
      <c r="T1192" s="9" t="s">
        <v>137</v>
      </c>
    </row>
    <row r="1193" spans="1:20" ht="35.25" customHeight="1">
      <c r="A1193" s="6">
        <f t="shared" si="142"/>
        <v>1192</v>
      </c>
      <c r="B1193" s="17" t="s">
        <v>3132</v>
      </c>
      <c r="C1193" s="8" t="s">
        <v>3133</v>
      </c>
      <c r="D1193" s="9" t="s">
        <v>26</v>
      </c>
      <c r="E1193" s="10">
        <v>30838</v>
      </c>
      <c r="F1193" s="11">
        <f t="shared" ca="1" si="145"/>
        <v>39.542465753424658</v>
      </c>
      <c r="G1193" s="11">
        <f t="shared" si="146"/>
        <v>6</v>
      </c>
      <c r="H1193" s="11">
        <f t="shared" si="147"/>
        <v>5</v>
      </c>
      <c r="I1193" s="10">
        <v>40882</v>
      </c>
      <c r="J1193" s="9" t="s">
        <v>87</v>
      </c>
      <c r="K1193" s="9" t="s">
        <v>1097</v>
      </c>
      <c r="L1193" s="9" t="s">
        <v>2760</v>
      </c>
      <c r="M1193" s="9" t="s">
        <v>35</v>
      </c>
      <c r="N1193" s="11">
        <v>4</v>
      </c>
      <c r="O1193" s="11">
        <v>0</v>
      </c>
      <c r="P1193" s="12">
        <f t="shared" si="148"/>
        <v>4</v>
      </c>
      <c r="Q1193" s="12" t="s">
        <v>68</v>
      </c>
      <c r="R1193" s="9" t="s">
        <v>27</v>
      </c>
      <c r="S1193" s="24" t="s">
        <v>1031</v>
      </c>
      <c r="T1193" s="9" t="s">
        <v>1644</v>
      </c>
    </row>
    <row r="1194" spans="1:20" ht="35.25" customHeight="1">
      <c r="A1194" s="6">
        <f t="shared" si="142"/>
        <v>1193</v>
      </c>
      <c r="B1194" s="17" t="s">
        <v>3134</v>
      </c>
      <c r="C1194" s="8" t="s">
        <v>3135</v>
      </c>
      <c r="D1194" s="9" t="s">
        <v>26</v>
      </c>
      <c r="E1194" s="10">
        <v>29378</v>
      </c>
      <c r="F1194" s="11">
        <f t="shared" ca="1" si="145"/>
        <v>43.542465753424658</v>
      </c>
      <c r="G1194" s="11">
        <f t="shared" si="146"/>
        <v>6</v>
      </c>
      <c r="H1194" s="11">
        <f t="shared" si="147"/>
        <v>6</v>
      </c>
      <c r="I1194" s="10">
        <v>40882</v>
      </c>
      <c r="J1194" s="9" t="s">
        <v>226</v>
      </c>
      <c r="K1194" s="9" t="s">
        <v>3136</v>
      </c>
      <c r="L1194" s="9" t="s">
        <v>1603</v>
      </c>
      <c r="M1194" s="9" t="s">
        <v>35</v>
      </c>
      <c r="N1194" s="11">
        <v>12</v>
      </c>
      <c r="O1194" s="11">
        <v>0</v>
      </c>
      <c r="P1194" s="12">
        <f t="shared" si="148"/>
        <v>12</v>
      </c>
      <c r="Q1194" s="12" t="s">
        <v>26</v>
      </c>
      <c r="R1194" s="9" t="s">
        <v>27</v>
      </c>
      <c r="S1194" s="24" t="s">
        <v>1031</v>
      </c>
      <c r="T1194" s="9" t="s">
        <v>37</v>
      </c>
    </row>
    <row r="1195" spans="1:20" ht="35.25" customHeight="1">
      <c r="A1195" s="6">
        <f t="shared" si="142"/>
        <v>1194</v>
      </c>
      <c r="B1195" s="17" t="s">
        <v>3137</v>
      </c>
      <c r="C1195" s="8" t="s">
        <v>3138</v>
      </c>
      <c r="D1195" s="9" t="s">
        <v>26</v>
      </c>
      <c r="E1195" s="10">
        <v>31517</v>
      </c>
      <c r="F1195" s="11">
        <f t="shared" ca="1" si="145"/>
        <v>37.682191780821917</v>
      </c>
      <c r="G1195" s="11">
        <f t="shared" si="146"/>
        <v>4</v>
      </c>
      <c r="H1195" s="11">
        <f t="shared" si="147"/>
        <v>15</v>
      </c>
      <c r="I1195" s="10">
        <v>40882</v>
      </c>
      <c r="J1195" s="9" t="s">
        <v>87</v>
      </c>
      <c r="K1195" s="9" t="s">
        <v>3139</v>
      </c>
      <c r="L1195" s="9" t="s">
        <v>213</v>
      </c>
      <c r="M1195" s="9" t="s">
        <v>35</v>
      </c>
      <c r="N1195" s="11">
        <v>3.4</v>
      </c>
      <c r="O1195" s="11">
        <v>0</v>
      </c>
      <c r="P1195" s="12">
        <f t="shared" si="148"/>
        <v>3.4</v>
      </c>
      <c r="Q1195" s="12" t="s">
        <v>68</v>
      </c>
      <c r="R1195" s="9" t="s">
        <v>27</v>
      </c>
      <c r="S1195" s="24" t="s">
        <v>1031</v>
      </c>
      <c r="T1195" s="9" t="s">
        <v>3140</v>
      </c>
    </row>
    <row r="1196" spans="1:20" ht="35.25" customHeight="1">
      <c r="A1196" s="6">
        <f t="shared" si="142"/>
        <v>1195</v>
      </c>
      <c r="B1196" s="17" t="s">
        <v>3141</v>
      </c>
      <c r="C1196" s="8" t="s">
        <v>3142</v>
      </c>
      <c r="D1196" s="9" t="s">
        <v>26</v>
      </c>
      <c r="E1196" s="10">
        <v>31835</v>
      </c>
      <c r="F1196" s="11">
        <f t="shared" ca="1" si="145"/>
        <v>36.81095890410959</v>
      </c>
      <c r="G1196" s="11">
        <f t="shared" si="146"/>
        <v>2</v>
      </c>
      <c r="H1196" s="11">
        <f t="shared" si="147"/>
        <v>27</v>
      </c>
      <c r="I1196" s="10">
        <v>40882</v>
      </c>
      <c r="J1196" s="9" t="s">
        <v>87</v>
      </c>
      <c r="K1196" s="9" t="s">
        <v>3143</v>
      </c>
      <c r="L1196" s="9" t="s">
        <v>1992</v>
      </c>
      <c r="M1196" s="9" t="s">
        <v>35</v>
      </c>
      <c r="N1196" s="11">
        <v>4</v>
      </c>
      <c r="O1196" s="11">
        <v>0</v>
      </c>
      <c r="P1196" s="12">
        <f t="shared" si="148"/>
        <v>4</v>
      </c>
      <c r="Q1196" s="12" t="s">
        <v>26</v>
      </c>
      <c r="R1196" s="9" t="s">
        <v>27</v>
      </c>
      <c r="S1196" s="24" t="s">
        <v>1031</v>
      </c>
      <c r="T1196" s="9" t="s">
        <v>3144</v>
      </c>
    </row>
    <row r="1197" spans="1:20" ht="35.25" customHeight="1">
      <c r="A1197" s="6">
        <f t="shared" si="142"/>
        <v>1196</v>
      </c>
      <c r="B1197" s="17" t="s">
        <v>3145</v>
      </c>
      <c r="C1197" s="8" t="s">
        <v>3146</v>
      </c>
      <c r="D1197" s="9" t="s">
        <v>26</v>
      </c>
      <c r="E1197" s="10">
        <v>31915</v>
      </c>
      <c r="F1197" s="11">
        <f t="shared" ca="1" si="145"/>
        <v>36.591780821917808</v>
      </c>
      <c r="G1197" s="11">
        <f t="shared" si="146"/>
        <v>5</v>
      </c>
      <c r="H1197" s="11">
        <f t="shared" si="147"/>
        <v>18</v>
      </c>
      <c r="I1197" s="10">
        <v>40882</v>
      </c>
      <c r="J1197" s="9" t="s">
        <v>2460</v>
      </c>
      <c r="K1197" s="9" t="s">
        <v>2673</v>
      </c>
      <c r="L1197" s="9" t="s">
        <v>1713</v>
      </c>
      <c r="M1197" s="9" t="s">
        <v>35</v>
      </c>
      <c r="N1197" s="11">
        <v>0</v>
      </c>
      <c r="O1197" s="11">
        <v>0</v>
      </c>
      <c r="P1197" s="12">
        <f t="shared" si="148"/>
        <v>0</v>
      </c>
      <c r="Q1197" s="12" t="s">
        <v>68</v>
      </c>
      <c r="R1197" s="9" t="s">
        <v>27</v>
      </c>
      <c r="S1197" s="24" t="s">
        <v>1031</v>
      </c>
      <c r="T1197" s="9" t="s">
        <v>1644</v>
      </c>
    </row>
    <row r="1198" spans="1:20" ht="35.25" customHeight="1">
      <c r="A1198" s="6">
        <f t="shared" si="142"/>
        <v>1197</v>
      </c>
      <c r="B1198" s="17" t="s">
        <v>3147</v>
      </c>
      <c r="C1198" s="8" t="s">
        <v>3148</v>
      </c>
      <c r="D1198" s="9" t="s">
        <v>26</v>
      </c>
      <c r="E1198" s="10">
        <v>32017</v>
      </c>
      <c r="F1198" s="11">
        <f t="shared" ca="1" si="145"/>
        <v>36.31232876712329</v>
      </c>
      <c r="G1198" s="11">
        <f t="shared" si="146"/>
        <v>8</v>
      </c>
      <c r="H1198" s="11">
        <f t="shared" si="147"/>
        <v>28</v>
      </c>
      <c r="I1198" s="10">
        <v>40882</v>
      </c>
      <c r="J1198" s="9" t="s">
        <v>226</v>
      </c>
      <c r="K1198" s="9" t="s">
        <v>341</v>
      </c>
      <c r="L1198" s="9" t="s">
        <v>34</v>
      </c>
      <c r="M1198" s="9" t="s">
        <v>35</v>
      </c>
      <c r="N1198" s="11">
        <v>0.6</v>
      </c>
      <c r="O1198" s="11">
        <v>0</v>
      </c>
      <c r="P1198" s="12">
        <f t="shared" si="148"/>
        <v>0.6</v>
      </c>
      <c r="Q1198" s="12" t="s">
        <v>68</v>
      </c>
      <c r="R1198" s="9" t="s">
        <v>27</v>
      </c>
      <c r="S1198" s="24" t="s">
        <v>1031</v>
      </c>
      <c r="T1198" s="9" t="s">
        <v>1644</v>
      </c>
    </row>
    <row r="1199" spans="1:20" ht="35.25" customHeight="1">
      <c r="A1199" s="6">
        <f t="shared" si="142"/>
        <v>1198</v>
      </c>
      <c r="B1199" s="17" t="s">
        <v>3149</v>
      </c>
      <c r="C1199" s="8" t="s">
        <v>3150</v>
      </c>
      <c r="D1199" s="9" t="s">
        <v>26</v>
      </c>
      <c r="E1199" s="10">
        <v>30492</v>
      </c>
      <c r="F1199" s="11">
        <f t="shared" ca="1" si="145"/>
        <v>40.490410958904107</v>
      </c>
      <c r="G1199" s="11">
        <f t="shared" si="146"/>
        <v>6</v>
      </c>
      <c r="H1199" s="11">
        <f t="shared" si="147"/>
        <v>25</v>
      </c>
      <c r="I1199" s="10">
        <v>40882</v>
      </c>
      <c r="J1199" s="9" t="s">
        <v>226</v>
      </c>
      <c r="K1199" s="9" t="s">
        <v>600</v>
      </c>
      <c r="L1199" s="9" t="s">
        <v>213</v>
      </c>
      <c r="M1199" s="9" t="s">
        <v>35</v>
      </c>
      <c r="N1199" s="11">
        <v>1.2</v>
      </c>
      <c r="O1199" s="11">
        <v>0</v>
      </c>
      <c r="P1199" s="12">
        <f t="shared" si="148"/>
        <v>1.2</v>
      </c>
      <c r="Q1199" s="12" t="s">
        <v>68</v>
      </c>
      <c r="R1199" s="9" t="s">
        <v>27</v>
      </c>
      <c r="S1199" s="24" t="s">
        <v>1031</v>
      </c>
      <c r="T1199" s="9" t="s">
        <v>3151</v>
      </c>
    </row>
    <row r="1200" spans="1:20" ht="35.25" customHeight="1">
      <c r="A1200" s="6">
        <f t="shared" si="142"/>
        <v>1199</v>
      </c>
      <c r="B1200" s="17" t="s">
        <v>3152</v>
      </c>
      <c r="C1200" s="8" t="s">
        <v>3153</v>
      </c>
      <c r="D1200" s="9" t="s">
        <v>26</v>
      </c>
      <c r="E1200" s="10">
        <v>28429</v>
      </c>
      <c r="F1200" s="11">
        <f t="shared" ca="1" si="145"/>
        <v>46.142465753424659</v>
      </c>
      <c r="G1200" s="11">
        <f t="shared" si="146"/>
        <v>10</v>
      </c>
      <c r="H1200" s="11">
        <f t="shared" si="147"/>
        <v>31</v>
      </c>
      <c r="I1200" s="10">
        <v>40884</v>
      </c>
      <c r="J1200" s="9" t="s">
        <v>22</v>
      </c>
      <c r="K1200" s="9" t="s">
        <v>3154</v>
      </c>
      <c r="L1200" s="9" t="s">
        <v>724</v>
      </c>
      <c r="M1200" s="9" t="s">
        <v>134</v>
      </c>
      <c r="N1200" s="11">
        <v>7</v>
      </c>
      <c r="O1200" s="11">
        <v>0</v>
      </c>
      <c r="P1200" s="12">
        <f t="shared" si="148"/>
        <v>7</v>
      </c>
      <c r="Q1200" s="12" t="s">
        <v>26</v>
      </c>
      <c r="R1200" s="9" t="s">
        <v>627</v>
      </c>
      <c r="S1200" s="24" t="s">
        <v>1031</v>
      </c>
      <c r="T1200" s="9" t="s">
        <v>137</v>
      </c>
    </row>
    <row r="1201" spans="1:20" ht="35.25" customHeight="1">
      <c r="A1201" s="6">
        <f t="shared" si="142"/>
        <v>1200</v>
      </c>
      <c r="B1201" s="17" t="s">
        <v>3155</v>
      </c>
      <c r="C1201" s="8" t="s">
        <v>3156</v>
      </c>
      <c r="D1201" s="9" t="s">
        <v>26</v>
      </c>
      <c r="E1201" s="10">
        <v>26738</v>
      </c>
      <c r="F1201" s="11">
        <f t="shared" ca="1" si="145"/>
        <v>50.775342465753425</v>
      </c>
      <c r="G1201" s="11">
        <f t="shared" si="146"/>
        <v>3</v>
      </c>
      <c r="H1201" s="11">
        <f t="shared" si="147"/>
        <v>15</v>
      </c>
      <c r="I1201" s="10">
        <v>40889</v>
      </c>
      <c r="J1201" s="9" t="s">
        <v>110</v>
      </c>
      <c r="K1201" s="9" t="s">
        <v>495</v>
      </c>
      <c r="L1201" s="9" t="s">
        <v>389</v>
      </c>
      <c r="M1201" s="9" t="s">
        <v>205</v>
      </c>
      <c r="N1201" s="11">
        <v>9</v>
      </c>
      <c r="O1201" s="11">
        <v>0</v>
      </c>
      <c r="P1201" s="12">
        <f t="shared" si="148"/>
        <v>9</v>
      </c>
      <c r="Q1201" s="12" t="s">
        <v>26</v>
      </c>
      <c r="R1201" s="9" t="s">
        <v>197</v>
      </c>
      <c r="S1201" s="24" t="s">
        <v>1031</v>
      </c>
      <c r="T1201" s="9" t="s">
        <v>3157</v>
      </c>
    </row>
    <row r="1202" spans="1:20" ht="35.25" customHeight="1">
      <c r="A1202" s="6">
        <f t="shared" si="142"/>
        <v>1201</v>
      </c>
      <c r="B1202" s="17" t="s">
        <v>3158</v>
      </c>
      <c r="C1202" s="8" t="s">
        <v>3159</v>
      </c>
      <c r="D1202" s="9" t="s">
        <v>26</v>
      </c>
      <c r="E1202" s="10">
        <v>27494</v>
      </c>
      <c r="F1202" s="11">
        <f t="shared" ca="1" si="145"/>
        <v>48.704109589041096</v>
      </c>
      <c r="G1202" s="11">
        <f t="shared" si="146"/>
        <v>4</v>
      </c>
      <c r="H1202" s="11">
        <f t="shared" si="147"/>
        <v>10</v>
      </c>
      <c r="I1202" s="10">
        <v>40889</v>
      </c>
      <c r="J1202" s="9" t="s">
        <v>50</v>
      </c>
      <c r="K1202" s="9" t="s">
        <v>3160</v>
      </c>
      <c r="L1202" s="9" t="s">
        <v>3161</v>
      </c>
      <c r="M1202" s="9" t="s">
        <v>134</v>
      </c>
      <c r="N1202" s="11">
        <v>12</v>
      </c>
      <c r="O1202" s="11">
        <v>0</v>
      </c>
      <c r="P1202" s="12">
        <f t="shared" si="148"/>
        <v>12</v>
      </c>
      <c r="Q1202" s="12" t="s">
        <v>26</v>
      </c>
      <c r="R1202" s="9" t="s">
        <v>27</v>
      </c>
      <c r="S1202" s="24" t="s">
        <v>1031</v>
      </c>
      <c r="T1202" s="9" t="s">
        <v>137</v>
      </c>
    </row>
    <row r="1203" spans="1:20" ht="35.25" customHeight="1">
      <c r="A1203" s="6">
        <f t="shared" si="142"/>
        <v>1202</v>
      </c>
      <c r="B1203" s="17" t="s">
        <v>3162</v>
      </c>
      <c r="C1203" s="8" t="s">
        <v>3163</v>
      </c>
      <c r="D1203" s="9" t="s">
        <v>26</v>
      </c>
      <c r="E1203" s="10">
        <v>26890</v>
      </c>
      <c r="F1203" s="11">
        <f t="shared" ca="1" si="145"/>
        <v>50.358904109589041</v>
      </c>
      <c r="G1203" s="11">
        <f t="shared" si="146"/>
        <v>8</v>
      </c>
      <c r="H1203" s="11">
        <f t="shared" si="147"/>
        <v>14</v>
      </c>
      <c r="I1203" s="10">
        <v>40889</v>
      </c>
      <c r="J1203" s="9" t="s">
        <v>66</v>
      </c>
      <c r="K1203" s="9" t="s">
        <v>3164</v>
      </c>
      <c r="L1203" s="9" t="s">
        <v>3131</v>
      </c>
      <c r="M1203" s="9" t="s">
        <v>134</v>
      </c>
      <c r="N1203" s="11">
        <v>16</v>
      </c>
      <c r="O1203" s="11">
        <v>0</v>
      </c>
      <c r="P1203" s="12">
        <f t="shared" si="148"/>
        <v>16</v>
      </c>
      <c r="Q1203" s="12" t="s">
        <v>26</v>
      </c>
      <c r="R1203" s="9" t="s">
        <v>27</v>
      </c>
      <c r="S1203" s="24" t="s">
        <v>1031</v>
      </c>
      <c r="T1203" s="9" t="s">
        <v>137</v>
      </c>
    </row>
    <row r="1204" spans="1:20" ht="35.25" customHeight="1">
      <c r="A1204" s="6">
        <f t="shared" si="142"/>
        <v>1203</v>
      </c>
      <c r="B1204" s="17" t="s">
        <v>3165</v>
      </c>
      <c r="C1204" s="8" t="s">
        <v>3166</v>
      </c>
      <c r="D1204" s="9" t="s">
        <v>26</v>
      </c>
      <c r="E1204" s="10">
        <v>32628</v>
      </c>
      <c r="F1204" s="11">
        <f t="shared" ca="1" si="145"/>
        <v>34.638356164383559</v>
      </c>
      <c r="G1204" s="11">
        <f t="shared" si="146"/>
        <v>4</v>
      </c>
      <c r="H1204" s="11">
        <f t="shared" si="147"/>
        <v>30</v>
      </c>
      <c r="I1204" s="10">
        <v>40889</v>
      </c>
      <c r="J1204" s="9" t="s">
        <v>226</v>
      </c>
      <c r="K1204" s="9" t="s">
        <v>3136</v>
      </c>
      <c r="L1204" s="9" t="s">
        <v>1603</v>
      </c>
      <c r="M1204" s="9" t="s">
        <v>35</v>
      </c>
      <c r="N1204" s="11">
        <v>3.3</v>
      </c>
      <c r="O1204" s="11">
        <v>0</v>
      </c>
      <c r="P1204" s="12">
        <f t="shared" si="148"/>
        <v>3.3</v>
      </c>
      <c r="Q1204" s="12" t="s">
        <v>68</v>
      </c>
      <c r="R1204" s="9" t="s">
        <v>27</v>
      </c>
      <c r="S1204" s="24" t="s">
        <v>36</v>
      </c>
      <c r="T1204" s="9" t="s">
        <v>1644</v>
      </c>
    </row>
    <row r="1205" spans="1:20" ht="35.25" customHeight="1">
      <c r="A1205" s="6">
        <f t="shared" si="142"/>
        <v>1204</v>
      </c>
      <c r="B1205" s="17" t="s">
        <v>3167</v>
      </c>
      <c r="C1205" s="8" t="s">
        <v>3168</v>
      </c>
      <c r="D1205" s="9" t="s">
        <v>26</v>
      </c>
      <c r="E1205" s="10">
        <v>30823</v>
      </c>
      <c r="F1205" s="11">
        <f t="shared" ca="1" si="145"/>
        <v>39.583561643835615</v>
      </c>
      <c r="G1205" s="11">
        <f t="shared" si="146"/>
        <v>5</v>
      </c>
      <c r="H1205" s="11">
        <f t="shared" si="147"/>
        <v>21</v>
      </c>
      <c r="I1205" s="10">
        <v>40889</v>
      </c>
      <c r="J1205" s="9" t="s">
        <v>226</v>
      </c>
      <c r="K1205" s="9" t="s">
        <v>3136</v>
      </c>
      <c r="L1205" s="9" t="s">
        <v>1603</v>
      </c>
      <c r="M1205" s="9" t="s">
        <v>35</v>
      </c>
      <c r="N1205" s="11">
        <v>3.4</v>
      </c>
      <c r="O1205" s="11">
        <v>0</v>
      </c>
      <c r="P1205" s="12">
        <f t="shared" si="148"/>
        <v>3.4</v>
      </c>
      <c r="Q1205" s="12" t="s">
        <v>68</v>
      </c>
      <c r="R1205" s="9" t="s">
        <v>627</v>
      </c>
      <c r="S1205" s="24" t="s">
        <v>36</v>
      </c>
      <c r="T1205" s="9" t="s">
        <v>72</v>
      </c>
    </row>
    <row r="1206" spans="1:20" ht="35.25" customHeight="1">
      <c r="A1206" s="6">
        <f t="shared" si="142"/>
        <v>1205</v>
      </c>
      <c r="B1206" s="17" t="s">
        <v>3169</v>
      </c>
      <c r="C1206" s="8" t="s">
        <v>3170</v>
      </c>
      <c r="D1206" s="9" t="s">
        <v>26</v>
      </c>
      <c r="E1206" s="10">
        <v>31785</v>
      </c>
      <c r="F1206" s="11">
        <f t="shared" ca="1" si="145"/>
        <v>36.947945205479449</v>
      </c>
      <c r="G1206" s="11">
        <f t="shared" si="146"/>
        <v>1</v>
      </c>
      <c r="H1206" s="11">
        <f t="shared" si="147"/>
        <v>8</v>
      </c>
      <c r="I1206" s="10">
        <v>40889</v>
      </c>
      <c r="J1206" s="9" t="s">
        <v>45</v>
      </c>
      <c r="K1206" s="9" t="s">
        <v>3171</v>
      </c>
      <c r="L1206" s="9" t="s">
        <v>2760</v>
      </c>
      <c r="M1206" s="9" t="s">
        <v>35</v>
      </c>
      <c r="N1206" s="11">
        <v>3.3</v>
      </c>
      <c r="O1206" s="11">
        <v>0</v>
      </c>
      <c r="P1206" s="12">
        <f t="shared" si="148"/>
        <v>3.3</v>
      </c>
      <c r="Q1206" s="12" t="s">
        <v>68</v>
      </c>
      <c r="R1206" s="9" t="s">
        <v>27</v>
      </c>
      <c r="S1206" s="24" t="s">
        <v>36</v>
      </c>
      <c r="T1206" s="9" t="s">
        <v>90</v>
      </c>
    </row>
    <row r="1207" spans="1:20" ht="35.25" customHeight="1">
      <c r="A1207" s="6">
        <f t="shared" si="142"/>
        <v>1206</v>
      </c>
      <c r="B1207" s="17" t="s">
        <v>3172</v>
      </c>
      <c r="C1207" s="8" t="s">
        <v>3173</v>
      </c>
      <c r="D1207" s="9" t="s">
        <v>26</v>
      </c>
      <c r="E1207" s="10">
        <v>32647</v>
      </c>
      <c r="F1207" s="11">
        <f t="shared" ca="1" si="145"/>
        <v>34.586301369863016</v>
      </c>
      <c r="G1207" s="11">
        <f t="shared" si="146"/>
        <v>5</v>
      </c>
      <c r="H1207" s="11">
        <f t="shared" si="147"/>
        <v>19</v>
      </c>
      <c r="I1207" s="10">
        <v>40889</v>
      </c>
      <c r="J1207" s="9" t="s">
        <v>226</v>
      </c>
      <c r="K1207" s="9" t="s">
        <v>3174</v>
      </c>
      <c r="L1207" s="9" t="s">
        <v>2760</v>
      </c>
      <c r="M1207" s="9" t="s">
        <v>35</v>
      </c>
      <c r="N1207" s="11">
        <v>1.5</v>
      </c>
      <c r="O1207" s="11">
        <v>0</v>
      </c>
      <c r="P1207" s="12">
        <f t="shared" si="148"/>
        <v>1.5</v>
      </c>
      <c r="Q1207" s="12" t="s">
        <v>68</v>
      </c>
      <c r="R1207" s="9" t="s">
        <v>27</v>
      </c>
      <c r="S1207" s="24" t="s">
        <v>36</v>
      </c>
      <c r="T1207" s="9" t="s">
        <v>137</v>
      </c>
    </row>
    <row r="1208" spans="1:20" ht="35.25" customHeight="1">
      <c r="A1208" s="6">
        <f t="shared" si="142"/>
        <v>1207</v>
      </c>
      <c r="B1208" s="17" t="s">
        <v>3175</v>
      </c>
      <c r="C1208" s="8" t="s">
        <v>3176</v>
      </c>
      <c r="D1208" s="9" t="s">
        <v>26</v>
      </c>
      <c r="E1208" s="10">
        <v>31105</v>
      </c>
      <c r="F1208" s="11">
        <f t="shared" ca="1" si="145"/>
        <v>38.81095890410959</v>
      </c>
      <c r="G1208" s="11">
        <f t="shared" si="146"/>
        <v>2</v>
      </c>
      <c r="H1208" s="11">
        <f t="shared" si="147"/>
        <v>27</v>
      </c>
      <c r="I1208" s="10">
        <v>40889</v>
      </c>
      <c r="J1208" s="9" t="s">
        <v>110</v>
      </c>
      <c r="K1208" s="9" t="s">
        <v>212</v>
      </c>
      <c r="L1208" s="9" t="s">
        <v>213</v>
      </c>
      <c r="M1208" s="9" t="s">
        <v>35</v>
      </c>
      <c r="N1208" s="11">
        <v>5</v>
      </c>
      <c r="O1208" s="11">
        <v>0</v>
      </c>
      <c r="P1208" s="12">
        <f t="shared" si="148"/>
        <v>5</v>
      </c>
      <c r="Q1208" s="12" t="s">
        <v>26</v>
      </c>
      <c r="R1208" s="9" t="s">
        <v>27</v>
      </c>
      <c r="S1208" s="24" t="s">
        <v>36</v>
      </c>
      <c r="T1208" s="9" t="s">
        <v>3177</v>
      </c>
    </row>
    <row r="1209" spans="1:20" ht="35.25" customHeight="1">
      <c r="A1209" s="6">
        <f t="shared" si="142"/>
        <v>1208</v>
      </c>
      <c r="B1209" s="17" t="s">
        <v>3178</v>
      </c>
      <c r="C1209" s="8" t="s">
        <v>3179</v>
      </c>
      <c r="D1209" s="9" t="s">
        <v>26</v>
      </c>
      <c r="E1209" s="10">
        <v>26033</v>
      </c>
      <c r="F1209" s="11">
        <f t="shared" ca="1" si="145"/>
        <v>52.706849315068496</v>
      </c>
      <c r="G1209" s="11">
        <f t="shared" si="146"/>
        <v>4</v>
      </c>
      <c r="H1209" s="11">
        <f t="shared" si="147"/>
        <v>10</v>
      </c>
      <c r="I1209" s="10">
        <v>40887</v>
      </c>
      <c r="J1209" s="9" t="s">
        <v>58</v>
      </c>
      <c r="K1209" s="9" t="s">
        <v>136</v>
      </c>
      <c r="L1209" s="9" t="s">
        <v>704</v>
      </c>
      <c r="M1209" s="9" t="s">
        <v>491</v>
      </c>
      <c r="N1209" s="11">
        <v>16</v>
      </c>
      <c r="O1209" s="11">
        <v>0</v>
      </c>
      <c r="P1209" s="12">
        <f>SUM(N1209+O1209)</f>
        <v>16</v>
      </c>
      <c r="Q1209" s="12" t="s">
        <v>26</v>
      </c>
      <c r="R1209" s="9" t="s">
        <v>577</v>
      </c>
      <c r="S1209" s="24" t="s">
        <v>36</v>
      </c>
      <c r="T1209" s="9" t="s">
        <v>490</v>
      </c>
    </row>
    <row r="1210" spans="1:20" ht="35.25" customHeight="1">
      <c r="A1210" s="6">
        <f t="shared" si="142"/>
        <v>1209</v>
      </c>
      <c r="B1210" s="17" t="s">
        <v>3180</v>
      </c>
      <c r="C1210" s="8" t="s">
        <v>3181</v>
      </c>
      <c r="D1210" s="9" t="s">
        <v>26</v>
      </c>
      <c r="E1210" s="10">
        <v>23833</v>
      </c>
      <c r="F1210" s="11">
        <f t="shared" ca="1" si="145"/>
        <v>58.734246575342468</v>
      </c>
      <c r="G1210" s="11">
        <f t="shared" si="146"/>
        <v>4</v>
      </c>
      <c r="H1210" s="11">
        <f t="shared" si="147"/>
        <v>1</v>
      </c>
      <c r="I1210" s="10">
        <v>40889</v>
      </c>
      <c r="J1210" s="9" t="s">
        <v>58</v>
      </c>
      <c r="K1210" s="9" t="s">
        <v>136</v>
      </c>
      <c r="L1210" s="9" t="s">
        <v>34</v>
      </c>
      <c r="M1210" s="9" t="s">
        <v>491</v>
      </c>
      <c r="N1210" s="11">
        <v>22</v>
      </c>
      <c r="O1210" s="11">
        <v>0</v>
      </c>
      <c r="P1210" s="12">
        <f>SUM(N1210+O1210)</f>
        <v>22</v>
      </c>
      <c r="Q1210" s="12" t="s">
        <v>26</v>
      </c>
      <c r="R1210" s="9" t="s">
        <v>3182</v>
      </c>
      <c r="S1210" s="24" t="s">
        <v>36</v>
      </c>
      <c r="T1210" s="9" t="s">
        <v>490</v>
      </c>
    </row>
    <row r="1211" spans="1:20" ht="35.25" customHeight="1">
      <c r="A1211" s="6">
        <f t="shared" si="142"/>
        <v>1210</v>
      </c>
      <c r="B1211" s="17" t="s">
        <v>3183</v>
      </c>
      <c r="C1211" s="8" t="s">
        <v>3184</v>
      </c>
      <c r="D1211" s="9" t="s">
        <v>26</v>
      </c>
      <c r="E1211" s="10">
        <v>26202</v>
      </c>
      <c r="F1211" s="11">
        <f t="shared" ca="1" si="145"/>
        <v>52.243835616438353</v>
      </c>
      <c r="G1211" s="11">
        <f t="shared" si="146"/>
        <v>9</v>
      </c>
      <c r="H1211" s="11">
        <f t="shared" si="147"/>
        <v>26</v>
      </c>
      <c r="I1211" s="10">
        <v>40891</v>
      </c>
      <c r="J1211" s="9" t="s">
        <v>66</v>
      </c>
      <c r="K1211" s="9" t="s">
        <v>3185</v>
      </c>
      <c r="L1211" s="9" t="s">
        <v>2524</v>
      </c>
      <c r="M1211" s="9" t="s">
        <v>35</v>
      </c>
      <c r="N1211" s="11">
        <v>17</v>
      </c>
      <c r="O1211" s="11">
        <v>0</v>
      </c>
      <c r="P1211" s="12">
        <f>SUM(N1211+O1211)</f>
        <v>17</v>
      </c>
      <c r="Q1211" s="12" t="s">
        <v>26</v>
      </c>
      <c r="R1211" s="9" t="s">
        <v>27</v>
      </c>
      <c r="S1211" s="24" t="s">
        <v>36</v>
      </c>
      <c r="T1211" s="9" t="s">
        <v>29</v>
      </c>
    </row>
    <row r="1212" spans="1:20" ht="35.25" customHeight="1">
      <c r="A1212" s="6">
        <f t="shared" si="142"/>
        <v>1211</v>
      </c>
      <c r="B1212" s="17" t="s">
        <v>3186</v>
      </c>
      <c r="C1212" s="64" t="s">
        <v>3187</v>
      </c>
      <c r="D1212" s="9" t="s">
        <v>26</v>
      </c>
      <c r="E1212" s="10">
        <v>28280</v>
      </c>
      <c r="F1212" s="11">
        <f t="shared" ca="1" si="145"/>
        <v>46.550684931506851</v>
      </c>
      <c r="G1212" s="11">
        <f t="shared" si="146"/>
        <v>6</v>
      </c>
      <c r="H1212" s="11">
        <f t="shared" si="147"/>
        <v>4</v>
      </c>
      <c r="I1212" s="10">
        <v>40891</v>
      </c>
      <c r="J1212" s="9" t="s">
        <v>87</v>
      </c>
      <c r="K1212" s="9" t="s">
        <v>216</v>
      </c>
      <c r="L1212" s="9" t="s">
        <v>724</v>
      </c>
      <c r="M1212" s="9" t="s">
        <v>134</v>
      </c>
      <c r="N1212" s="11">
        <v>7</v>
      </c>
      <c r="O1212" s="11">
        <v>0</v>
      </c>
      <c r="P1212" s="12">
        <f>SUM(N1212+O1212)</f>
        <v>7</v>
      </c>
      <c r="Q1212" s="12" t="s">
        <v>26</v>
      </c>
      <c r="R1212" s="9" t="s">
        <v>27</v>
      </c>
      <c r="S1212" s="24" t="s">
        <v>36</v>
      </c>
      <c r="T1212" s="9" t="s">
        <v>137</v>
      </c>
    </row>
    <row r="1213" spans="1:20" ht="35.25" customHeight="1">
      <c r="A1213" s="6">
        <f t="shared" si="142"/>
        <v>1212</v>
      </c>
      <c r="B1213" s="17" t="s">
        <v>3188</v>
      </c>
      <c r="C1213" s="64" t="s">
        <v>3189</v>
      </c>
      <c r="D1213" s="9" t="s">
        <v>26</v>
      </c>
      <c r="E1213" s="10">
        <v>31336</v>
      </c>
      <c r="F1213" s="11">
        <f t="shared" ca="1" si="145"/>
        <v>38.178082191780824</v>
      </c>
      <c r="G1213" s="11">
        <f t="shared" si="146"/>
        <v>10</v>
      </c>
      <c r="H1213" s="11">
        <f t="shared" si="147"/>
        <v>16</v>
      </c>
      <c r="I1213" s="10">
        <v>40891</v>
      </c>
      <c r="J1213" s="9" t="s">
        <v>50</v>
      </c>
      <c r="K1213" s="9" t="s">
        <v>159</v>
      </c>
      <c r="L1213" s="9" t="s">
        <v>471</v>
      </c>
      <c r="M1213" s="9" t="s">
        <v>25</v>
      </c>
      <c r="N1213" s="11">
        <v>8</v>
      </c>
      <c r="O1213" s="11">
        <v>0</v>
      </c>
      <c r="P1213" s="12">
        <f>SUM(N1213+O1213)</f>
        <v>8</v>
      </c>
      <c r="Q1213" s="12" t="s">
        <v>68</v>
      </c>
      <c r="R1213" s="9" t="s">
        <v>442</v>
      </c>
      <c r="S1213" s="24" t="s">
        <v>28</v>
      </c>
      <c r="T1213" s="24" t="s">
        <v>29</v>
      </c>
    </row>
    <row r="1214" spans="1:20" ht="35.25" customHeight="1">
      <c r="A1214" s="6">
        <f t="shared" si="142"/>
        <v>1213</v>
      </c>
      <c r="B1214" s="17" t="s">
        <v>3190</v>
      </c>
      <c r="C1214" s="64" t="s">
        <v>3191</v>
      </c>
      <c r="D1214" s="9" t="s">
        <v>26</v>
      </c>
      <c r="E1214" s="10">
        <v>32042</v>
      </c>
      <c r="F1214" s="11">
        <f t="shared" ca="1" si="145"/>
        <v>36.243835616438353</v>
      </c>
      <c r="G1214" s="11">
        <f t="shared" si="146"/>
        <v>9</v>
      </c>
      <c r="H1214" s="11">
        <f t="shared" si="147"/>
        <v>22</v>
      </c>
      <c r="I1214" s="10">
        <v>40893</v>
      </c>
      <c r="J1214" s="9" t="s">
        <v>110</v>
      </c>
      <c r="K1214" s="9" t="s">
        <v>167</v>
      </c>
      <c r="L1214" s="9" t="s">
        <v>38</v>
      </c>
      <c r="M1214" s="9" t="s">
        <v>134</v>
      </c>
      <c r="N1214" s="11">
        <v>2.5</v>
      </c>
      <c r="O1214" s="11">
        <v>0</v>
      </c>
      <c r="P1214" s="12">
        <f t="shared" ref="P1214:P1221" si="149">SUM(N1214+O1214)</f>
        <v>2.5</v>
      </c>
      <c r="Q1214" s="12" t="s">
        <v>68</v>
      </c>
      <c r="R1214" s="9" t="s">
        <v>27</v>
      </c>
      <c r="S1214" s="24" t="s">
        <v>36</v>
      </c>
      <c r="T1214" s="9" t="s">
        <v>137</v>
      </c>
    </row>
    <row r="1215" spans="1:20" ht="35.25" customHeight="1">
      <c r="A1215" s="6">
        <f t="shared" si="142"/>
        <v>1214</v>
      </c>
      <c r="B1215" s="17" t="s">
        <v>3192</v>
      </c>
      <c r="C1215" s="64" t="s">
        <v>3193</v>
      </c>
      <c r="D1215" s="9" t="s">
        <v>26</v>
      </c>
      <c r="E1215" s="10">
        <v>30554</v>
      </c>
      <c r="F1215" s="11">
        <f t="shared" ca="1" si="145"/>
        <v>40.320547945205476</v>
      </c>
      <c r="G1215" s="11">
        <f t="shared" si="146"/>
        <v>8</v>
      </c>
      <c r="H1215" s="11">
        <f t="shared" si="147"/>
        <v>26</v>
      </c>
      <c r="I1215" s="10">
        <v>40889</v>
      </c>
      <c r="J1215" s="9" t="s">
        <v>87</v>
      </c>
      <c r="K1215" s="9" t="s">
        <v>166</v>
      </c>
      <c r="L1215" s="9" t="s">
        <v>34</v>
      </c>
      <c r="M1215" s="9" t="s">
        <v>491</v>
      </c>
      <c r="N1215" s="11">
        <v>6</v>
      </c>
      <c r="O1215" s="11">
        <v>0</v>
      </c>
      <c r="P1215" s="12">
        <f t="shared" si="149"/>
        <v>6</v>
      </c>
      <c r="Q1215" s="12"/>
      <c r="R1215" s="9"/>
      <c r="S1215" s="24"/>
      <c r="T1215" s="9"/>
    </row>
    <row r="1216" spans="1:20" ht="35.25" customHeight="1">
      <c r="A1216" s="6">
        <f t="shared" si="142"/>
        <v>1215</v>
      </c>
      <c r="B1216" s="17" t="s">
        <v>3194</v>
      </c>
      <c r="C1216" s="64" t="s">
        <v>3195</v>
      </c>
      <c r="D1216" s="9" t="s">
        <v>26</v>
      </c>
      <c r="E1216" s="10">
        <v>32283</v>
      </c>
      <c r="F1216" s="11">
        <f t="shared" ca="1" si="145"/>
        <v>35.583561643835615</v>
      </c>
      <c r="G1216" s="11">
        <f t="shared" si="146"/>
        <v>5</v>
      </c>
      <c r="H1216" s="11">
        <f t="shared" si="147"/>
        <v>20</v>
      </c>
      <c r="I1216" s="10">
        <v>40891</v>
      </c>
      <c r="J1216" s="9" t="s">
        <v>45</v>
      </c>
      <c r="K1216" s="9" t="s">
        <v>520</v>
      </c>
      <c r="L1216" s="9" t="s">
        <v>34</v>
      </c>
      <c r="M1216" s="9" t="s">
        <v>35</v>
      </c>
      <c r="N1216" s="11">
        <v>5.4</v>
      </c>
      <c r="O1216" s="11">
        <v>0</v>
      </c>
      <c r="P1216" s="12">
        <f t="shared" si="149"/>
        <v>5.4</v>
      </c>
      <c r="Q1216" s="12" t="s">
        <v>68</v>
      </c>
      <c r="R1216" s="9" t="s">
        <v>27</v>
      </c>
      <c r="S1216" s="24" t="s">
        <v>36</v>
      </c>
      <c r="T1216" s="9" t="s">
        <v>3073</v>
      </c>
    </row>
    <row r="1217" spans="1:20" ht="35.25" customHeight="1">
      <c r="A1217" s="6">
        <f t="shared" si="142"/>
        <v>1216</v>
      </c>
      <c r="B1217" s="17" t="s">
        <v>3196</v>
      </c>
      <c r="C1217" s="64" t="s">
        <v>3197</v>
      </c>
      <c r="D1217" s="9" t="s">
        <v>26</v>
      </c>
      <c r="E1217" s="10">
        <v>31154</v>
      </c>
      <c r="F1217" s="11">
        <f t="shared" ca="1" si="145"/>
        <v>38.676712328767124</v>
      </c>
      <c r="G1217" s="11">
        <f t="shared" si="146"/>
        <v>4</v>
      </c>
      <c r="H1217" s="11">
        <f t="shared" si="147"/>
        <v>17</v>
      </c>
      <c r="I1217" s="10">
        <v>40878</v>
      </c>
      <c r="J1217" s="9" t="s">
        <v>87</v>
      </c>
      <c r="K1217" s="9" t="s">
        <v>216</v>
      </c>
      <c r="L1217" s="9" t="s">
        <v>24</v>
      </c>
      <c r="M1217" s="9" t="s">
        <v>25</v>
      </c>
      <c r="N1217" s="11">
        <v>5.6</v>
      </c>
      <c r="O1217" s="11">
        <v>0</v>
      </c>
      <c r="P1217" s="12">
        <f t="shared" si="149"/>
        <v>5.6</v>
      </c>
      <c r="Q1217" s="12" t="s">
        <v>68</v>
      </c>
      <c r="R1217" s="9" t="s">
        <v>27</v>
      </c>
      <c r="S1217" s="24" t="s">
        <v>28</v>
      </c>
      <c r="T1217" s="9" t="s">
        <v>29</v>
      </c>
    </row>
    <row r="1218" spans="1:20" ht="35.25" customHeight="1">
      <c r="A1218" s="6">
        <f t="shared" si="142"/>
        <v>1217</v>
      </c>
      <c r="B1218" s="17" t="s">
        <v>3198</v>
      </c>
      <c r="C1218" s="64" t="s">
        <v>3199</v>
      </c>
      <c r="D1218" s="9" t="s">
        <v>26</v>
      </c>
      <c r="E1218" s="10">
        <v>31095</v>
      </c>
      <c r="F1218" s="11">
        <f t="shared" ca="1" si="145"/>
        <v>38.838356164383562</v>
      </c>
      <c r="G1218" s="11">
        <f t="shared" si="146"/>
        <v>2</v>
      </c>
      <c r="H1218" s="11">
        <f t="shared" si="147"/>
        <v>17</v>
      </c>
      <c r="I1218" s="10">
        <v>40892</v>
      </c>
      <c r="J1218" s="9" t="s">
        <v>87</v>
      </c>
      <c r="K1218" s="9" t="s">
        <v>135</v>
      </c>
      <c r="L1218" s="9" t="s">
        <v>34</v>
      </c>
      <c r="M1218" s="9" t="s">
        <v>491</v>
      </c>
      <c r="N1218" s="11">
        <v>4.5999999999999996</v>
      </c>
      <c r="O1218" s="11">
        <v>0</v>
      </c>
      <c r="P1218" s="12">
        <f t="shared" si="149"/>
        <v>4.5999999999999996</v>
      </c>
      <c r="Q1218" s="12" t="s">
        <v>26</v>
      </c>
      <c r="R1218" s="9" t="s">
        <v>3182</v>
      </c>
      <c r="S1218" s="24" t="s">
        <v>36</v>
      </c>
      <c r="T1218" s="9" t="s">
        <v>490</v>
      </c>
    </row>
    <row r="1219" spans="1:20" ht="35.25" customHeight="1">
      <c r="A1219" s="6">
        <f t="shared" si="142"/>
        <v>1218</v>
      </c>
      <c r="B1219" s="17" t="s">
        <v>3200</v>
      </c>
      <c r="C1219" s="64" t="s">
        <v>3201</v>
      </c>
      <c r="D1219" s="9" t="s">
        <v>26</v>
      </c>
      <c r="E1219" s="10">
        <v>25837</v>
      </c>
      <c r="F1219" s="11">
        <f t="shared" ca="1" si="145"/>
        <v>53.243835616438353</v>
      </c>
      <c r="G1219" s="11">
        <f t="shared" si="146"/>
        <v>9</v>
      </c>
      <c r="H1219" s="11">
        <f t="shared" si="147"/>
        <v>26</v>
      </c>
      <c r="I1219" s="10">
        <v>40896</v>
      </c>
      <c r="J1219" s="9" t="s">
        <v>132</v>
      </c>
      <c r="K1219" s="9" t="s">
        <v>3202</v>
      </c>
      <c r="L1219" s="9" t="s">
        <v>389</v>
      </c>
      <c r="M1219" s="9" t="s">
        <v>205</v>
      </c>
      <c r="N1219" s="11">
        <v>11.9</v>
      </c>
      <c r="O1219" s="11">
        <v>0</v>
      </c>
      <c r="P1219" s="12">
        <f t="shared" si="149"/>
        <v>11.9</v>
      </c>
      <c r="Q1219" s="12" t="s">
        <v>26</v>
      </c>
      <c r="R1219" s="9" t="s">
        <v>3203</v>
      </c>
      <c r="S1219" s="24"/>
      <c r="T1219" s="9"/>
    </row>
    <row r="1220" spans="1:20" ht="35.25" customHeight="1">
      <c r="A1220" s="6">
        <f t="shared" ref="A1220:A1271" si="150">+A1219+1</f>
        <v>1219</v>
      </c>
      <c r="B1220" s="17" t="s">
        <v>3204</v>
      </c>
      <c r="C1220" s="64" t="s">
        <v>3205</v>
      </c>
      <c r="D1220" s="9" t="s">
        <v>26</v>
      </c>
      <c r="E1220" s="10">
        <v>27369</v>
      </c>
      <c r="F1220" s="11">
        <f t="shared" ca="1" si="145"/>
        <v>49.046575342465751</v>
      </c>
      <c r="G1220" s="11">
        <f t="shared" si="146"/>
        <v>12</v>
      </c>
      <c r="H1220" s="11">
        <f t="shared" si="147"/>
        <v>6</v>
      </c>
      <c r="I1220" s="10">
        <v>40896</v>
      </c>
      <c r="J1220" s="9" t="s">
        <v>66</v>
      </c>
      <c r="K1220" s="9" t="s">
        <v>489</v>
      </c>
      <c r="L1220" s="9" t="s">
        <v>34</v>
      </c>
      <c r="M1220" s="9" t="s">
        <v>205</v>
      </c>
      <c r="N1220" s="11">
        <v>15</v>
      </c>
      <c r="O1220" s="11">
        <v>0</v>
      </c>
      <c r="P1220" s="12">
        <f t="shared" si="149"/>
        <v>15</v>
      </c>
      <c r="Q1220" s="12" t="s">
        <v>26</v>
      </c>
      <c r="R1220" s="9" t="s">
        <v>27</v>
      </c>
      <c r="S1220" s="24" t="s">
        <v>28</v>
      </c>
      <c r="T1220" s="9" t="s">
        <v>29</v>
      </c>
    </row>
    <row r="1221" spans="1:20" ht="35.25" customHeight="1">
      <c r="A1221" s="6">
        <f t="shared" si="150"/>
        <v>1220</v>
      </c>
      <c r="B1221" s="17" t="s">
        <v>3206</v>
      </c>
      <c r="C1221" s="64" t="s">
        <v>3207</v>
      </c>
      <c r="D1221" s="9" t="s">
        <v>26</v>
      </c>
      <c r="E1221" s="10">
        <v>32001</v>
      </c>
      <c r="F1221" s="11">
        <f t="shared" ca="1" si="145"/>
        <v>36.356164383561641</v>
      </c>
      <c r="G1221" s="11">
        <f t="shared" si="146"/>
        <v>8</v>
      </c>
      <c r="H1221" s="11">
        <f t="shared" si="147"/>
        <v>12</v>
      </c>
      <c r="I1221" s="10">
        <v>40896</v>
      </c>
      <c r="J1221" s="9" t="s">
        <v>87</v>
      </c>
      <c r="K1221" s="9" t="s">
        <v>2117</v>
      </c>
      <c r="L1221" s="9" t="s">
        <v>2760</v>
      </c>
      <c r="M1221" s="9" t="s">
        <v>35</v>
      </c>
      <c r="N1221" s="11">
        <v>5.5</v>
      </c>
      <c r="O1221" s="11">
        <v>0</v>
      </c>
      <c r="P1221" s="12">
        <f t="shared" si="149"/>
        <v>5.5</v>
      </c>
      <c r="Q1221" s="12" t="s">
        <v>68</v>
      </c>
      <c r="R1221" s="9" t="s">
        <v>27</v>
      </c>
      <c r="S1221" s="24" t="s">
        <v>36</v>
      </c>
      <c r="T1221" s="9" t="s">
        <v>72</v>
      </c>
    </row>
    <row r="1222" spans="1:20" ht="35.25" customHeight="1">
      <c r="A1222" s="6">
        <f t="shared" si="150"/>
        <v>1221</v>
      </c>
      <c r="B1222" s="17" t="s">
        <v>3208</v>
      </c>
      <c r="C1222" s="64" t="s">
        <v>3209</v>
      </c>
      <c r="D1222" s="9" t="s">
        <v>26</v>
      </c>
      <c r="E1222" s="10">
        <v>31102</v>
      </c>
      <c r="F1222" s="11">
        <f t="shared" ca="1" si="145"/>
        <v>38.819178082191783</v>
      </c>
      <c r="G1222" s="11">
        <f t="shared" si="146"/>
        <v>2</v>
      </c>
      <c r="H1222" s="11">
        <f t="shared" si="147"/>
        <v>24</v>
      </c>
      <c r="I1222" s="10">
        <v>40896</v>
      </c>
      <c r="J1222" s="9" t="s">
        <v>87</v>
      </c>
      <c r="K1222" s="9" t="s">
        <v>332</v>
      </c>
      <c r="L1222" s="9" t="s">
        <v>34</v>
      </c>
      <c r="M1222" s="9" t="s">
        <v>35</v>
      </c>
      <c r="N1222" s="11">
        <v>7.4</v>
      </c>
      <c r="O1222" s="11">
        <v>0</v>
      </c>
      <c r="P1222" s="12">
        <v>7.4</v>
      </c>
      <c r="Q1222" s="12" t="s">
        <v>68</v>
      </c>
      <c r="R1222" s="9" t="s">
        <v>27</v>
      </c>
      <c r="S1222" s="24" t="s">
        <v>36</v>
      </c>
      <c r="T1222" s="9" t="s">
        <v>1644</v>
      </c>
    </row>
    <row r="1223" spans="1:20" ht="35.25" customHeight="1">
      <c r="A1223" s="6">
        <f t="shared" si="150"/>
        <v>1222</v>
      </c>
      <c r="B1223" s="17" t="s">
        <v>3210</v>
      </c>
      <c r="C1223" s="64" t="s">
        <v>3211</v>
      </c>
      <c r="D1223" s="9" t="s">
        <v>26</v>
      </c>
      <c r="E1223" s="31">
        <v>27560</v>
      </c>
      <c r="F1223" s="11">
        <f t="shared" ca="1" si="145"/>
        <v>48.523287671232879</v>
      </c>
      <c r="G1223" s="11">
        <f t="shared" si="146"/>
        <v>6</v>
      </c>
      <c r="H1223" s="11">
        <f t="shared" si="147"/>
        <v>15</v>
      </c>
      <c r="I1223" s="10">
        <v>40898</v>
      </c>
      <c r="J1223" s="9" t="s">
        <v>1055</v>
      </c>
      <c r="K1223" s="61" t="s">
        <v>3212</v>
      </c>
      <c r="L1223" s="61" t="s">
        <v>34</v>
      </c>
      <c r="M1223" s="9" t="s">
        <v>61</v>
      </c>
      <c r="N1223" s="11">
        <v>11.3</v>
      </c>
      <c r="O1223" s="11">
        <v>0</v>
      </c>
      <c r="P1223" s="12">
        <f t="shared" ref="P1223:P1232" si="151">SUM(N1223+O1223)</f>
        <v>11.3</v>
      </c>
      <c r="Q1223" s="12" t="s">
        <v>68</v>
      </c>
      <c r="R1223" s="9" t="s">
        <v>27</v>
      </c>
      <c r="S1223" s="24" t="s">
        <v>36</v>
      </c>
      <c r="T1223" s="9"/>
    </row>
    <row r="1224" spans="1:20" ht="35.25" customHeight="1">
      <c r="A1224" s="6">
        <f t="shared" si="150"/>
        <v>1223</v>
      </c>
      <c r="B1224" s="17" t="s">
        <v>3214</v>
      </c>
      <c r="C1224" s="64" t="s">
        <v>3215</v>
      </c>
      <c r="D1224" s="9" t="s">
        <v>26</v>
      </c>
      <c r="E1224" s="10">
        <v>24533</v>
      </c>
      <c r="F1224" s="11">
        <f t="shared" ca="1" si="145"/>
        <v>56.816438356164383</v>
      </c>
      <c r="G1224" s="11">
        <f t="shared" si="146"/>
        <v>3</v>
      </c>
      <c r="H1224" s="11">
        <f t="shared" si="147"/>
        <v>2</v>
      </c>
      <c r="I1224" s="10">
        <v>40896</v>
      </c>
      <c r="J1224" s="9" t="s">
        <v>1055</v>
      </c>
      <c r="K1224" s="9" t="s">
        <v>3213</v>
      </c>
      <c r="L1224" s="9" t="s">
        <v>704</v>
      </c>
      <c r="M1224" s="9" t="s">
        <v>491</v>
      </c>
      <c r="N1224" s="11">
        <v>6.5</v>
      </c>
      <c r="O1224" s="11">
        <v>0</v>
      </c>
      <c r="P1224" s="12">
        <f t="shared" si="151"/>
        <v>6.5</v>
      </c>
      <c r="Q1224" s="12" t="s">
        <v>26</v>
      </c>
      <c r="R1224" s="9" t="s">
        <v>492</v>
      </c>
      <c r="S1224" s="24" t="s">
        <v>36</v>
      </c>
      <c r="T1224" s="9" t="s">
        <v>492</v>
      </c>
    </row>
    <row r="1225" spans="1:20" ht="35.25" customHeight="1">
      <c r="A1225" s="6">
        <f t="shared" si="150"/>
        <v>1224</v>
      </c>
      <c r="B1225" s="17" t="s">
        <v>3216</v>
      </c>
      <c r="C1225" s="64" t="s">
        <v>3217</v>
      </c>
      <c r="D1225" s="9" t="s">
        <v>21</v>
      </c>
      <c r="E1225" s="10">
        <v>31933</v>
      </c>
      <c r="F1225" s="11">
        <f t="shared" ca="1" si="145"/>
        <v>36.542465753424658</v>
      </c>
      <c r="G1225" s="11">
        <f t="shared" si="146"/>
        <v>6</v>
      </c>
      <c r="H1225" s="11">
        <f t="shared" si="147"/>
        <v>5</v>
      </c>
      <c r="I1225" s="10">
        <v>40898</v>
      </c>
      <c r="J1225" s="9" t="s">
        <v>45</v>
      </c>
      <c r="K1225" s="9" t="s">
        <v>3218</v>
      </c>
      <c r="L1225" s="9" t="s">
        <v>3219</v>
      </c>
      <c r="M1225" s="9" t="s">
        <v>35</v>
      </c>
      <c r="N1225" s="11">
        <v>5.0999999999999996</v>
      </c>
      <c r="O1225" s="11">
        <v>0</v>
      </c>
      <c r="P1225" s="12">
        <f t="shared" si="151"/>
        <v>5.0999999999999996</v>
      </c>
      <c r="Q1225" s="12" t="s">
        <v>26</v>
      </c>
      <c r="R1225" s="9" t="s">
        <v>27</v>
      </c>
      <c r="S1225" s="24"/>
      <c r="T1225" s="9"/>
    </row>
    <row r="1226" spans="1:20" ht="35.25" customHeight="1">
      <c r="A1226" s="6">
        <f t="shared" si="150"/>
        <v>1225</v>
      </c>
      <c r="B1226" s="17" t="s">
        <v>3220</v>
      </c>
      <c r="C1226" s="64" t="s">
        <v>3221</v>
      </c>
      <c r="D1226" s="9" t="s">
        <v>26</v>
      </c>
      <c r="E1226" s="10">
        <v>26531</v>
      </c>
      <c r="F1226" s="11">
        <f t="shared" ca="1" si="145"/>
        <v>51.342465753424655</v>
      </c>
      <c r="G1226" s="11">
        <f t="shared" si="146"/>
        <v>8</v>
      </c>
      <c r="H1226" s="11">
        <f t="shared" si="147"/>
        <v>20</v>
      </c>
      <c r="I1226" s="10">
        <v>40899</v>
      </c>
      <c r="J1226" s="9" t="s">
        <v>1055</v>
      </c>
      <c r="K1226" s="9" t="s">
        <v>159</v>
      </c>
      <c r="L1226" s="9" t="s">
        <v>24</v>
      </c>
      <c r="M1226" s="9" t="s">
        <v>61</v>
      </c>
      <c r="N1226" s="11">
        <v>11</v>
      </c>
      <c r="O1226" s="11">
        <v>0</v>
      </c>
      <c r="P1226" s="12">
        <f t="shared" si="151"/>
        <v>11</v>
      </c>
      <c r="Q1226" s="12" t="s">
        <v>26</v>
      </c>
      <c r="R1226" s="9" t="s">
        <v>27</v>
      </c>
      <c r="S1226" s="24" t="s">
        <v>36</v>
      </c>
      <c r="T1226" s="9" t="s">
        <v>72</v>
      </c>
    </row>
    <row r="1227" spans="1:20" ht="35.25" customHeight="1">
      <c r="A1227" s="6">
        <f t="shared" si="150"/>
        <v>1226</v>
      </c>
      <c r="B1227" s="17" t="s">
        <v>3222</v>
      </c>
      <c r="C1227" s="64" t="s">
        <v>3223</v>
      </c>
      <c r="D1227" s="9" t="s">
        <v>26</v>
      </c>
      <c r="E1227" s="10">
        <v>32120</v>
      </c>
      <c r="F1227" s="11">
        <f t="shared" ca="1" si="145"/>
        <v>36.030136986301372</v>
      </c>
      <c r="G1227" s="11">
        <f t="shared" si="146"/>
        <v>12</v>
      </c>
      <c r="H1227" s="11">
        <f t="shared" si="147"/>
        <v>9</v>
      </c>
      <c r="I1227" s="10">
        <v>40900</v>
      </c>
      <c r="J1227" s="9" t="s">
        <v>2581</v>
      </c>
      <c r="K1227" s="9" t="s">
        <v>3094</v>
      </c>
      <c r="L1227" s="9" t="s">
        <v>724</v>
      </c>
      <c r="M1227" s="9" t="s">
        <v>134</v>
      </c>
      <c r="N1227" s="11">
        <v>0</v>
      </c>
      <c r="O1227" s="11">
        <v>0</v>
      </c>
      <c r="P1227" s="12">
        <f t="shared" si="151"/>
        <v>0</v>
      </c>
      <c r="Q1227" s="12" t="s">
        <v>68</v>
      </c>
      <c r="R1227" s="9" t="s">
        <v>27</v>
      </c>
      <c r="S1227" s="24" t="s">
        <v>36</v>
      </c>
      <c r="T1227" s="9" t="s">
        <v>137</v>
      </c>
    </row>
    <row r="1228" spans="1:20" ht="35.25" customHeight="1">
      <c r="A1228" s="6">
        <f t="shared" si="150"/>
        <v>1227</v>
      </c>
      <c r="B1228" s="17" t="s">
        <v>3224</v>
      </c>
      <c r="C1228" s="64" t="s">
        <v>3225</v>
      </c>
      <c r="D1228" s="9" t="s">
        <v>26</v>
      </c>
      <c r="E1228" s="10">
        <v>31868</v>
      </c>
      <c r="F1228" s="11">
        <f t="shared" ca="1" si="145"/>
        <v>36.720547945205482</v>
      </c>
      <c r="G1228" s="11">
        <f t="shared" si="146"/>
        <v>4</v>
      </c>
      <c r="H1228" s="11">
        <f t="shared" si="147"/>
        <v>1</v>
      </c>
      <c r="I1228" s="10">
        <v>40903</v>
      </c>
      <c r="J1228" s="9" t="s">
        <v>41</v>
      </c>
      <c r="K1228" s="9" t="s">
        <v>520</v>
      </c>
      <c r="L1228" s="9" t="s">
        <v>122</v>
      </c>
      <c r="M1228" s="9" t="s">
        <v>134</v>
      </c>
      <c r="N1228" s="11">
        <v>3.5</v>
      </c>
      <c r="O1228" s="11">
        <v>0</v>
      </c>
      <c r="P1228" s="12">
        <f t="shared" si="151"/>
        <v>3.5</v>
      </c>
      <c r="Q1228" s="12" t="s">
        <v>68</v>
      </c>
      <c r="R1228" s="9" t="s">
        <v>442</v>
      </c>
      <c r="S1228" s="24" t="s">
        <v>36</v>
      </c>
      <c r="T1228" s="9" t="s">
        <v>137</v>
      </c>
    </row>
    <row r="1229" spans="1:20" ht="35.25" customHeight="1">
      <c r="A1229" s="6">
        <f t="shared" si="150"/>
        <v>1228</v>
      </c>
      <c r="B1229" s="54" t="s">
        <v>3226</v>
      </c>
      <c r="C1229" s="65" t="s">
        <v>3227</v>
      </c>
      <c r="D1229" s="55" t="s">
        <v>26</v>
      </c>
      <c r="E1229" s="56">
        <v>31828</v>
      </c>
      <c r="F1229" s="57">
        <f t="shared" ca="1" si="145"/>
        <v>36.830136986301369</v>
      </c>
      <c r="G1229" s="57">
        <f t="shared" si="146"/>
        <v>2</v>
      </c>
      <c r="H1229" s="57">
        <f t="shared" si="147"/>
        <v>20</v>
      </c>
      <c r="I1229" s="56">
        <v>40903</v>
      </c>
      <c r="J1229" s="55" t="s">
        <v>87</v>
      </c>
      <c r="K1229" s="55" t="s">
        <v>166</v>
      </c>
      <c r="L1229" s="55" t="s">
        <v>904</v>
      </c>
      <c r="M1229" s="55" t="s">
        <v>35</v>
      </c>
      <c r="N1229" s="57">
        <v>5.6</v>
      </c>
      <c r="O1229" s="57">
        <v>0</v>
      </c>
      <c r="P1229" s="58">
        <f t="shared" si="151"/>
        <v>5.6</v>
      </c>
      <c r="Q1229" s="58" t="s">
        <v>68</v>
      </c>
      <c r="R1229" s="55" t="s">
        <v>27</v>
      </c>
      <c r="S1229" s="59" t="s">
        <v>36</v>
      </c>
      <c r="T1229" s="55" t="s">
        <v>72</v>
      </c>
    </row>
    <row r="1230" spans="1:20" ht="35.25" customHeight="1">
      <c r="A1230" s="6">
        <f t="shared" si="150"/>
        <v>1229</v>
      </c>
      <c r="B1230" s="17" t="s">
        <v>3228</v>
      </c>
      <c r="C1230" s="64" t="s">
        <v>3229</v>
      </c>
      <c r="D1230" s="9" t="s">
        <v>26</v>
      </c>
      <c r="E1230" s="10">
        <v>31858</v>
      </c>
      <c r="F1230" s="11">
        <f t="shared" ca="1" si="145"/>
        <v>36.747945205479454</v>
      </c>
      <c r="G1230" s="11">
        <f t="shared" si="146"/>
        <v>3</v>
      </c>
      <c r="H1230" s="11">
        <f t="shared" si="147"/>
        <v>22</v>
      </c>
      <c r="I1230" s="10">
        <v>40903</v>
      </c>
      <c r="J1230" s="9" t="s">
        <v>87</v>
      </c>
      <c r="K1230" s="9" t="s">
        <v>298</v>
      </c>
      <c r="L1230" s="9" t="s">
        <v>55</v>
      </c>
      <c r="M1230" s="9" t="s">
        <v>35</v>
      </c>
      <c r="N1230" s="11">
        <v>4</v>
      </c>
      <c r="O1230" s="11">
        <v>0</v>
      </c>
      <c r="P1230" s="12">
        <f t="shared" si="151"/>
        <v>4</v>
      </c>
      <c r="Q1230" s="12" t="s">
        <v>68</v>
      </c>
      <c r="R1230" s="9" t="s">
        <v>27</v>
      </c>
      <c r="S1230" s="24" t="s">
        <v>36</v>
      </c>
      <c r="T1230" s="9" t="s">
        <v>3230</v>
      </c>
    </row>
    <row r="1231" spans="1:20" ht="35.25" customHeight="1">
      <c r="A1231" s="6">
        <f t="shared" si="150"/>
        <v>1230</v>
      </c>
      <c r="B1231" s="17" t="s">
        <v>3231</v>
      </c>
      <c r="C1231" s="64" t="s">
        <v>3232</v>
      </c>
      <c r="D1231" s="9" t="s">
        <v>26</v>
      </c>
      <c r="E1231" s="10">
        <v>29348</v>
      </c>
      <c r="F1231" s="11">
        <f t="shared" ca="1" si="145"/>
        <v>43.624657534246573</v>
      </c>
      <c r="G1231" s="11">
        <f t="shared" si="146"/>
        <v>5</v>
      </c>
      <c r="H1231" s="11">
        <f t="shared" si="147"/>
        <v>7</v>
      </c>
      <c r="I1231" s="10">
        <v>40903</v>
      </c>
      <c r="J1231" s="9" t="s">
        <v>110</v>
      </c>
      <c r="K1231" s="9" t="s">
        <v>1664</v>
      </c>
      <c r="L1231" s="9" t="s">
        <v>55</v>
      </c>
      <c r="M1231" s="9" t="s">
        <v>35</v>
      </c>
      <c r="N1231" s="11">
        <v>8</v>
      </c>
      <c r="O1231" s="11">
        <v>0</v>
      </c>
      <c r="P1231" s="12">
        <f t="shared" si="151"/>
        <v>8</v>
      </c>
      <c r="Q1231" s="12" t="s">
        <v>26</v>
      </c>
      <c r="R1231" s="9" t="s">
        <v>27</v>
      </c>
      <c r="S1231" s="24" t="s">
        <v>36</v>
      </c>
      <c r="T1231" s="9" t="s">
        <v>3233</v>
      </c>
    </row>
    <row r="1232" spans="1:20" ht="35.25" customHeight="1">
      <c r="A1232" s="6">
        <f t="shared" si="150"/>
        <v>1231</v>
      </c>
      <c r="B1232" s="17" t="s">
        <v>3234</v>
      </c>
      <c r="C1232" s="64" t="s">
        <v>3235</v>
      </c>
      <c r="D1232" s="9" t="s">
        <v>26</v>
      </c>
      <c r="E1232" s="10">
        <v>26126</v>
      </c>
      <c r="F1232" s="11">
        <f t="shared" ca="1" si="145"/>
        <v>52.452054794520549</v>
      </c>
      <c r="G1232" s="11">
        <f t="shared" si="146"/>
        <v>7</v>
      </c>
      <c r="H1232" s="11">
        <f t="shared" si="147"/>
        <v>12</v>
      </c>
      <c r="I1232" s="10">
        <v>40903</v>
      </c>
      <c r="J1232" s="9" t="s">
        <v>32</v>
      </c>
      <c r="K1232" s="9" t="s">
        <v>313</v>
      </c>
      <c r="L1232" s="9" t="s">
        <v>3236</v>
      </c>
      <c r="M1232" s="9" t="s">
        <v>134</v>
      </c>
      <c r="N1232" s="11">
        <v>18</v>
      </c>
      <c r="O1232" s="11">
        <v>0</v>
      </c>
      <c r="P1232" s="12">
        <f t="shared" si="151"/>
        <v>18</v>
      </c>
      <c r="Q1232" s="12" t="s">
        <v>26</v>
      </c>
      <c r="R1232" s="9" t="s">
        <v>27</v>
      </c>
      <c r="S1232" s="24" t="s">
        <v>36</v>
      </c>
      <c r="T1232" s="9" t="s">
        <v>137</v>
      </c>
    </row>
    <row r="1233" spans="1:20" ht="35.25" customHeight="1">
      <c r="A1233" s="6">
        <f t="shared" si="150"/>
        <v>1232</v>
      </c>
      <c r="B1233" s="17" t="s">
        <v>3237</v>
      </c>
      <c r="C1233" s="64" t="s">
        <v>3238</v>
      </c>
      <c r="D1233" s="9" t="s">
        <v>26</v>
      </c>
      <c r="E1233" s="10">
        <v>32064</v>
      </c>
      <c r="F1233" s="11">
        <f ca="1">(TODAY()-E1233)/365</f>
        <v>36.183561643835617</v>
      </c>
      <c r="G1233" s="11">
        <f t="shared" si="146"/>
        <v>10</v>
      </c>
      <c r="H1233" s="11">
        <f t="shared" si="147"/>
        <v>14</v>
      </c>
      <c r="I1233" s="10">
        <v>40878</v>
      </c>
      <c r="J1233" s="9" t="s">
        <v>87</v>
      </c>
      <c r="K1233" s="9" t="s">
        <v>216</v>
      </c>
      <c r="L1233" s="9" t="s">
        <v>24</v>
      </c>
      <c r="M1233" s="9" t="s">
        <v>25</v>
      </c>
      <c r="N1233" s="11">
        <v>0</v>
      </c>
      <c r="O1233" s="11">
        <v>0</v>
      </c>
      <c r="P1233" s="12">
        <v>0</v>
      </c>
      <c r="Q1233" s="12" t="s">
        <v>68</v>
      </c>
      <c r="R1233" s="9" t="s">
        <v>442</v>
      </c>
      <c r="S1233" s="24" t="s">
        <v>28</v>
      </c>
      <c r="T1233" s="9" t="s">
        <v>170</v>
      </c>
    </row>
    <row r="1234" spans="1:20" ht="35.25" customHeight="1">
      <c r="A1234" s="6">
        <f t="shared" si="150"/>
        <v>1233</v>
      </c>
      <c r="B1234" s="17" t="s">
        <v>3239</v>
      </c>
      <c r="C1234" s="64" t="s">
        <v>3240</v>
      </c>
      <c r="D1234" s="9" t="s">
        <v>26</v>
      </c>
      <c r="E1234" s="10">
        <v>31653</v>
      </c>
      <c r="F1234" s="11">
        <f ca="1">(TODAY()-E1234)/365</f>
        <v>37.30958904109589</v>
      </c>
      <c r="G1234" s="11">
        <f t="shared" si="146"/>
        <v>8</v>
      </c>
      <c r="H1234" s="11">
        <f t="shared" si="147"/>
        <v>29</v>
      </c>
      <c r="I1234" s="10">
        <v>40910</v>
      </c>
      <c r="J1234" s="9" t="s">
        <v>110</v>
      </c>
      <c r="K1234" s="9" t="s">
        <v>63</v>
      </c>
      <c r="L1234" s="9" t="s">
        <v>325</v>
      </c>
      <c r="M1234" s="9" t="s">
        <v>205</v>
      </c>
      <c r="N1234" s="11">
        <v>3</v>
      </c>
      <c r="O1234" s="11">
        <v>0</v>
      </c>
      <c r="P1234" s="12">
        <v>0</v>
      </c>
      <c r="Q1234" s="12" t="s">
        <v>68</v>
      </c>
      <c r="R1234" s="9" t="s">
        <v>27</v>
      </c>
      <c r="S1234" s="24" t="s">
        <v>28</v>
      </c>
      <c r="T1234" s="9" t="s">
        <v>29</v>
      </c>
    </row>
    <row r="1235" spans="1:20" ht="35.25" customHeight="1">
      <c r="A1235" s="6">
        <f t="shared" si="150"/>
        <v>1234</v>
      </c>
      <c r="B1235" s="17" t="s">
        <v>3241</v>
      </c>
      <c r="C1235" s="64" t="s">
        <v>3242</v>
      </c>
      <c r="D1235" s="9" t="s">
        <v>26</v>
      </c>
      <c r="E1235" s="10">
        <v>23156</v>
      </c>
      <c r="F1235" s="11">
        <f t="shared" ref="F1235:F1271" ca="1" si="152">(TODAY()-E1235)/365</f>
        <v>60.589041095890408</v>
      </c>
      <c r="G1235" s="11">
        <f t="shared" si="146"/>
        <v>5</v>
      </c>
      <c r="H1235" s="11">
        <f t="shared" si="147"/>
        <v>25</v>
      </c>
      <c r="I1235" s="10">
        <v>40910</v>
      </c>
      <c r="J1235" s="9" t="s">
        <v>132</v>
      </c>
      <c r="K1235" s="9" t="s">
        <v>301</v>
      </c>
      <c r="L1235" s="9" t="s">
        <v>34</v>
      </c>
      <c r="M1235" s="9" t="s">
        <v>35</v>
      </c>
      <c r="N1235" s="11">
        <v>27</v>
      </c>
      <c r="O1235" s="11">
        <v>0</v>
      </c>
      <c r="P1235" s="12">
        <f t="shared" ref="P1235:P1241" si="153">SUM(N1235+O1235)</f>
        <v>27</v>
      </c>
      <c r="Q1235" s="12" t="s">
        <v>26</v>
      </c>
      <c r="R1235" s="9" t="s">
        <v>27</v>
      </c>
      <c r="S1235" s="24" t="s">
        <v>36</v>
      </c>
      <c r="T1235" s="9" t="s">
        <v>72</v>
      </c>
    </row>
    <row r="1236" spans="1:20" ht="35.25" customHeight="1">
      <c r="A1236" s="6">
        <f t="shared" si="150"/>
        <v>1235</v>
      </c>
      <c r="B1236" s="17" t="s">
        <v>3243</v>
      </c>
      <c r="C1236" s="64" t="s">
        <v>3244</v>
      </c>
      <c r="D1236" s="9" t="s">
        <v>26</v>
      </c>
      <c r="E1236" s="10">
        <v>31859</v>
      </c>
      <c r="F1236" s="11">
        <f t="shared" ca="1" si="152"/>
        <v>36.745205479452054</v>
      </c>
      <c r="G1236" s="11">
        <f t="shared" si="146"/>
        <v>3</v>
      </c>
      <c r="H1236" s="11">
        <f t="shared" si="147"/>
        <v>23</v>
      </c>
      <c r="I1236" s="10">
        <v>40910</v>
      </c>
      <c r="J1236" s="9" t="s">
        <v>87</v>
      </c>
      <c r="K1236" s="9" t="s">
        <v>216</v>
      </c>
      <c r="L1236" s="9" t="s">
        <v>208</v>
      </c>
      <c r="M1236" s="9" t="s">
        <v>35</v>
      </c>
      <c r="N1236" s="11">
        <v>4.5</v>
      </c>
      <c r="O1236" s="11">
        <v>0</v>
      </c>
      <c r="P1236" s="12">
        <f t="shared" si="153"/>
        <v>4.5</v>
      </c>
      <c r="Q1236" s="12" t="s">
        <v>68</v>
      </c>
      <c r="R1236" s="9" t="s">
        <v>27</v>
      </c>
      <c r="S1236" s="24" t="s">
        <v>36</v>
      </c>
      <c r="T1236" s="9" t="s">
        <v>3233</v>
      </c>
    </row>
    <row r="1237" spans="1:20" ht="35.25" customHeight="1">
      <c r="A1237" s="6">
        <f t="shared" si="150"/>
        <v>1236</v>
      </c>
      <c r="B1237" s="17" t="s">
        <v>3245</v>
      </c>
      <c r="C1237" s="64" t="s">
        <v>3246</v>
      </c>
      <c r="D1237" s="9" t="s">
        <v>26</v>
      </c>
      <c r="E1237" s="10">
        <v>26759</v>
      </c>
      <c r="F1237" s="11">
        <f t="shared" ca="1" si="152"/>
        <v>50.717808219178082</v>
      </c>
      <c r="G1237" s="11">
        <f t="shared" si="146"/>
        <v>4</v>
      </c>
      <c r="H1237" s="11">
        <f t="shared" si="147"/>
        <v>5</v>
      </c>
      <c r="I1237" s="10">
        <v>40910</v>
      </c>
      <c r="J1237" s="9" t="s">
        <v>110</v>
      </c>
      <c r="K1237" s="9" t="s">
        <v>167</v>
      </c>
      <c r="L1237" s="9" t="s">
        <v>34</v>
      </c>
      <c r="M1237" s="9" t="s">
        <v>35</v>
      </c>
      <c r="N1237" s="11">
        <v>18</v>
      </c>
      <c r="O1237" s="11">
        <v>0</v>
      </c>
      <c r="P1237" s="12">
        <f t="shared" si="153"/>
        <v>18</v>
      </c>
      <c r="Q1237" s="12" t="s">
        <v>26</v>
      </c>
      <c r="R1237" s="9" t="s">
        <v>27</v>
      </c>
      <c r="S1237" s="24" t="s">
        <v>36</v>
      </c>
      <c r="T1237" s="9" t="s">
        <v>1544</v>
      </c>
    </row>
    <row r="1238" spans="1:20" ht="35.25" customHeight="1">
      <c r="A1238" s="6">
        <f t="shared" si="150"/>
        <v>1237</v>
      </c>
      <c r="B1238" s="17" t="s">
        <v>3247</v>
      </c>
      <c r="C1238" s="64" t="s">
        <v>3248</v>
      </c>
      <c r="D1238" s="9" t="s">
        <v>26</v>
      </c>
      <c r="E1238" s="10">
        <v>29412</v>
      </c>
      <c r="F1238" s="11">
        <f t="shared" ca="1" si="152"/>
        <v>43.449315068493149</v>
      </c>
      <c r="G1238" s="11">
        <f t="shared" si="146"/>
        <v>7</v>
      </c>
      <c r="H1238" s="11">
        <f t="shared" si="147"/>
        <v>10</v>
      </c>
      <c r="I1238" s="10">
        <v>40910</v>
      </c>
      <c r="J1238" s="9" t="s">
        <v>87</v>
      </c>
      <c r="K1238" s="9" t="s">
        <v>216</v>
      </c>
      <c r="L1238" s="9" t="s">
        <v>55</v>
      </c>
      <c r="M1238" s="9" t="s">
        <v>35</v>
      </c>
      <c r="N1238" s="11">
        <v>7.1</v>
      </c>
      <c r="O1238" s="11">
        <v>0</v>
      </c>
      <c r="P1238" s="12">
        <f t="shared" si="153"/>
        <v>7.1</v>
      </c>
      <c r="Q1238" s="12" t="s">
        <v>68</v>
      </c>
      <c r="R1238" s="9" t="s">
        <v>27</v>
      </c>
      <c r="S1238" s="24" t="s">
        <v>36</v>
      </c>
      <c r="T1238" s="9" t="s">
        <v>3249</v>
      </c>
    </row>
    <row r="1239" spans="1:20" ht="35.25" customHeight="1">
      <c r="A1239" s="6">
        <f t="shared" si="150"/>
        <v>1238</v>
      </c>
      <c r="B1239" s="17" t="s">
        <v>3250</v>
      </c>
      <c r="C1239" s="64" t="s">
        <v>3251</v>
      </c>
      <c r="D1239" s="9" t="s">
        <v>26</v>
      </c>
      <c r="E1239" s="10">
        <v>27485</v>
      </c>
      <c r="F1239" s="11">
        <f t="shared" ca="1" si="152"/>
        <v>48.728767123287675</v>
      </c>
      <c r="G1239" s="11">
        <f t="shared" si="146"/>
        <v>4</v>
      </c>
      <c r="H1239" s="11">
        <f t="shared" si="147"/>
        <v>1</v>
      </c>
      <c r="I1239" s="10">
        <v>40912</v>
      </c>
      <c r="J1239" s="9" t="s">
        <v>226</v>
      </c>
      <c r="K1239" s="9" t="s">
        <v>248</v>
      </c>
      <c r="L1239" s="9" t="s">
        <v>724</v>
      </c>
      <c r="M1239" s="9" t="s">
        <v>134</v>
      </c>
      <c r="N1239" s="11">
        <v>14</v>
      </c>
      <c r="O1239" s="11">
        <v>0</v>
      </c>
      <c r="P1239" s="12">
        <f t="shared" si="153"/>
        <v>14</v>
      </c>
      <c r="Q1239" s="12" t="s">
        <v>26</v>
      </c>
      <c r="R1239" s="9" t="s">
        <v>27</v>
      </c>
      <c r="S1239" s="24" t="s">
        <v>36</v>
      </c>
      <c r="T1239" s="9" t="s">
        <v>137</v>
      </c>
    </row>
    <row r="1240" spans="1:20" ht="35.25" customHeight="1">
      <c r="A1240" s="6">
        <f t="shared" si="150"/>
        <v>1239</v>
      </c>
      <c r="B1240" s="17" t="s">
        <v>3252</v>
      </c>
      <c r="C1240" s="64" t="s">
        <v>3253</v>
      </c>
      <c r="D1240" s="9" t="s">
        <v>26</v>
      </c>
      <c r="E1240" s="10">
        <v>30352</v>
      </c>
      <c r="F1240" s="11">
        <f t="shared" ca="1" si="152"/>
        <v>40.873972602739727</v>
      </c>
      <c r="G1240" s="11">
        <f t="shared" si="146"/>
        <v>2</v>
      </c>
      <c r="H1240" s="11">
        <f t="shared" si="147"/>
        <v>5</v>
      </c>
      <c r="I1240" s="10">
        <v>40913</v>
      </c>
      <c r="J1240" s="9" t="s">
        <v>87</v>
      </c>
      <c r="K1240" s="9" t="s">
        <v>3254</v>
      </c>
      <c r="L1240" s="9" t="s">
        <v>1713</v>
      </c>
      <c r="M1240" s="9" t="s">
        <v>35</v>
      </c>
      <c r="N1240" s="11">
        <v>7.9</v>
      </c>
      <c r="O1240" s="11">
        <v>0</v>
      </c>
      <c r="P1240" s="12">
        <f t="shared" si="153"/>
        <v>7.9</v>
      </c>
      <c r="Q1240" s="12" t="s">
        <v>26</v>
      </c>
      <c r="R1240" s="9" t="s">
        <v>27</v>
      </c>
      <c r="S1240" s="24" t="s">
        <v>36</v>
      </c>
      <c r="T1240" s="9" t="s">
        <v>72</v>
      </c>
    </row>
    <row r="1241" spans="1:20" ht="35.25" customHeight="1">
      <c r="A1241" s="6">
        <f t="shared" si="150"/>
        <v>1240</v>
      </c>
      <c r="B1241" s="17" t="s">
        <v>3255</v>
      </c>
      <c r="C1241" s="64" t="s">
        <v>3256</v>
      </c>
      <c r="D1241" s="9" t="s">
        <v>26</v>
      </c>
      <c r="E1241" s="10">
        <v>25336</v>
      </c>
      <c r="F1241" s="11">
        <f t="shared" ca="1" si="152"/>
        <v>54.61643835616438</v>
      </c>
      <c r="G1241" s="11">
        <f t="shared" si="146"/>
        <v>5</v>
      </c>
      <c r="H1241" s="11">
        <f t="shared" si="147"/>
        <v>13</v>
      </c>
      <c r="I1241" s="10">
        <v>40914</v>
      </c>
      <c r="J1241" s="9" t="s">
        <v>66</v>
      </c>
      <c r="K1241" s="9" t="s">
        <v>3257</v>
      </c>
      <c r="L1241" s="9" t="s">
        <v>34</v>
      </c>
      <c r="M1241" s="9" t="s">
        <v>134</v>
      </c>
      <c r="N1241" s="11">
        <v>17</v>
      </c>
      <c r="O1241" s="11">
        <v>0</v>
      </c>
      <c r="P1241" s="12">
        <f t="shared" si="153"/>
        <v>17</v>
      </c>
      <c r="Q1241" s="12" t="s">
        <v>26</v>
      </c>
      <c r="R1241" s="9" t="s">
        <v>27</v>
      </c>
      <c r="S1241" s="24" t="s">
        <v>36</v>
      </c>
      <c r="T1241" s="9" t="s">
        <v>137</v>
      </c>
    </row>
    <row r="1242" spans="1:20" ht="35.25" customHeight="1">
      <c r="A1242" s="6">
        <f t="shared" si="150"/>
        <v>1241</v>
      </c>
      <c r="B1242" s="17" t="s">
        <v>3258</v>
      </c>
      <c r="C1242" s="64" t="s">
        <v>3259</v>
      </c>
      <c r="D1242" s="9" t="s">
        <v>26</v>
      </c>
      <c r="E1242" s="10">
        <v>28484</v>
      </c>
      <c r="F1242" s="11">
        <f t="shared" ca="1" si="152"/>
        <v>45.991780821917807</v>
      </c>
      <c r="G1242" s="11">
        <f t="shared" si="146"/>
        <v>12</v>
      </c>
      <c r="H1242" s="11">
        <f t="shared" si="147"/>
        <v>25</v>
      </c>
      <c r="I1242" s="10">
        <v>40917</v>
      </c>
      <c r="J1242" s="9" t="s">
        <v>132</v>
      </c>
      <c r="K1242" s="9" t="s">
        <v>3202</v>
      </c>
      <c r="L1242" s="9" t="s">
        <v>128</v>
      </c>
      <c r="M1242" s="9" t="s">
        <v>356</v>
      </c>
      <c r="N1242" s="11">
        <v>7.5</v>
      </c>
      <c r="O1242" s="11">
        <v>0</v>
      </c>
      <c r="P1242" s="12">
        <f t="shared" ref="P1242:P1266" si="154">SUM(N1242+O1247)</f>
        <v>7.5</v>
      </c>
      <c r="Q1242" s="12" t="s">
        <v>26</v>
      </c>
      <c r="R1242" s="9" t="s">
        <v>705</v>
      </c>
      <c r="S1242" s="24" t="s">
        <v>28</v>
      </c>
      <c r="T1242" s="9" t="s">
        <v>29</v>
      </c>
    </row>
    <row r="1243" spans="1:20" ht="35.25" customHeight="1">
      <c r="A1243" s="6">
        <f t="shared" si="150"/>
        <v>1242</v>
      </c>
      <c r="B1243" s="17" t="s">
        <v>3260</v>
      </c>
      <c r="C1243" s="64" t="s">
        <v>3261</v>
      </c>
      <c r="D1243" s="9" t="s">
        <v>26</v>
      </c>
      <c r="E1243" s="10">
        <v>28202</v>
      </c>
      <c r="F1243" s="11">
        <f t="shared" ca="1" si="152"/>
        <v>46.764383561643832</v>
      </c>
      <c r="G1243" s="11">
        <f t="shared" si="146"/>
        <v>3</v>
      </c>
      <c r="H1243" s="11">
        <f t="shared" si="147"/>
        <v>18</v>
      </c>
      <c r="I1243" s="10">
        <v>40917</v>
      </c>
      <c r="J1243" s="9" t="s">
        <v>50</v>
      </c>
      <c r="K1243" s="9" t="s">
        <v>159</v>
      </c>
      <c r="L1243" s="9" t="s">
        <v>147</v>
      </c>
      <c r="M1243" s="9" t="s">
        <v>134</v>
      </c>
      <c r="N1243" s="11">
        <v>13</v>
      </c>
      <c r="O1243" s="11">
        <v>0</v>
      </c>
      <c r="P1243" s="12">
        <f t="shared" si="154"/>
        <v>13</v>
      </c>
      <c r="Q1243" s="12" t="s">
        <v>26</v>
      </c>
      <c r="R1243" s="9" t="s">
        <v>27</v>
      </c>
      <c r="S1243" s="24" t="s">
        <v>36</v>
      </c>
      <c r="T1243" s="9" t="s">
        <v>137</v>
      </c>
    </row>
    <row r="1244" spans="1:20" ht="35.25" customHeight="1">
      <c r="A1244" s="6">
        <f t="shared" si="150"/>
        <v>1243</v>
      </c>
      <c r="B1244" s="17" t="s">
        <v>3262</v>
      </c>
      <c r="C1244" s="64" t="s">
        <v>3263</v>
      </c>
      <c r="D1244" s="9" t="s">
        <v>26</v>
      </c>
      <c r="E1244" s="10">
        <v>28375</v>
      </c>
      <c r="F1244" s="11">
        <f t="shared" ca="1" si="152"/>
        <v>46.290410958904111</v>
      </c>
      <c r="G1244" s="11">
        <f t="shared" si="146"/>
        <v>9</v>
      </c>
      <c r="H1244" s="11">
        <f t="shared" si="147"/>
        <v>7</v>
      </c>
      <c r="I1244" s="10">
        <v>40917</v>
      </c>
      <c r="J1244" s="9" t="s">
        <v>58</v>
      </c>
      <c r="K1244" s="9" t="s">
        <v>129</v>
      </c>
      <c r="L1244" s="9" t="s">
        <v>101</v>
      </c>
      <c r="M1244" s="9" t="s">
        <v>134</v>
      </c>
      <c r="N1244" s="11">
        <v>13</v>
      </c>
      <c r="O1244" s="11">
        <v>0</v>
      </c>
      <c r="P1244" s="12">
        <f t="shared" si="154"/>
        <v>13</v>
      </c>
      <c r="Q1244" s="12" t="s">
        <v>68</v>
      </c>
      <c r="R1244" s="9" t="s">
        <v>27</v>
      </c>
      <c r="S1244" s="24" t="s">
        <v>28</v>
      </c>
      <c r="T1244" s="9" t="s">
        <v>29</v>
      </c>
    </row>
    <row r="1245" spans="1:20" ht="35.25" customHeight="1">
      <c r="A1245" s="6">
        <f t="shared" si="150"/>
        <v>1244</v>
      </c>
      <c r="B1245" s="17" t="s">
        <v>3264</v>
      </c>
      <c r="C1245" s="64" t="s">
        <v>3265</v>
      </c>
      <c r="D1245" s="9" t="s">
        <v>26</v>
      </c>
      <c r="E1245" s="10">
        <v>28691</v>
      </c>
      <c r="F1245" s="11">
        <f t="shared" ca="1" si="152"/>
        <v>45.424657534246577</v>
      </c>
      <c r="G1245" s="11">
        <f t="shared" si="146"/>
        <v>7</v>
      </c>
      <c r="H1245" s="11">
        <f t="shared" si="147"/>
        <v>20</v>
      </c>
      <c r="I1245" s="10">
        <v>40918</v>
      </c>
      <c r="J1245" s="9" t="s">
        <v>58</v>
      </c>
      <c r="K1245" s="9" t="s">
        <v>129</v>
      </c>
      <c r="L1245" s="9" t="s">
        <v>377</v>
      </c>
      <c r="M1245" s="9" t="s">
        <v>205</v>
      </c>
      <c r="N1245" s="11">
        <v>9</v>
      </c>
      <c r="O1245" s="11">
        <v>0</v>
      </c>
      <c r="P1245" s="12">
        <f t="shared" si="154"/>
        <v>9</v>
      </c>
      <c r="Q1245" s="12" t="s">
        <v>26</v>
      </c>
      <c r="R1245" s="9" t="s">
        <v>27</v>
      </c>
      <c r="S1245" s="24" t="s">
        <v>28</v>
      </c>
      <c r="T1245" s="9" t="s">
        <v>29</v>
      </c>
    </row>
    <row r="1246" spans="1:20" ht="35.25" customHeight="1">
      <c r="A1246" s="6">
        <f t="shared" si="150"/>
        <v>1245</v>
      </c>
      <c r="B1246" s="17" t="s">
        <v>3266</v>
      </c>
      <c r="C1246" s="64" t="s">
        <v>3267</v>
      </c>
      <c r="D1246" s="9" t="s">
        <v>26</v>
      </c>
      <c r="E1246" s="10">
        <v>30077</v>
      </c>
      <c r="F1246" s="11">
        <f t="shared" ca="1" si="152"/>
        <v>41.627397260273973</v>
      </c>
      <c r="G1246" s="11">
        <f t="shared" si="146"/>
        <v>5</v>
      </c>
      <c r="H1246" s="11">
        <f t="shared" si="147"/>
        <v>6</v>
      </c>
      <c r="I1246" s="10">
        <v>40917</v>
      </c>
      <c r="J1246" s="9" t="s">
        <v>110</v>
      </c>
      <c r="K1246" s="9" t="s">
        <v>167</v>
      </c>
      <c r="L1246" s="9" t="s">
        <v>904</v>
      </c>
      <c r="M1246" s="9" t="s">
        <v>35</v>
      </c>
      <c r="N1246" s="11">
        <v>9</v>
      </c>
      <c r="O1246" s="11">
        <v>0</v>
      </c>
      <c r="P1246" s="12">
        <f t="shared" si="154"/>
        <v>9</v>
      </c>
      <c r="Q1246" s="12" t="s">
        <v>26</v>
      </c>
      <c r="R1246" s="9" t="s">
        <v>27</v>
      </c>
      <c r="S1246" s="24" t="s">
        <v>28</v>
      </c>
      <c r="T1246" s="9" t="s">
        <v>29</v>
      </c>
    </row>
    <row r="1247" spans="1:20" ht="35.25" customHeight="1">
      <c r="A1247" s="6">
        <f t="shared" si="150"/>
        <v>1246</v>
      </c>
      <c r="B1247" s="17" t="s">
        <v>3268</v>
      </c>
      <c r="C1247" s="64" t="s">
        <v>3269</v>
      </c>
      <c r="D1247" s="9" t="s">
        <v>26</v>
      </c>
      <c r="E1247" s="10">
        <v>32295</v>
      </c>
      <c r="F1247" s="11">
        <f t="shared" ca="1" si="152"/>
        <v>35.550684931506851</v>
      </c>
      <c r="G1247" s="11">
        <f t="shared" si="146"/>
        <v>6</v>
      </c>
      <c r="H1247" s="11">
        <f t="shared" si="147"/>
        <v>1</v>
      </c>
      <c r="I1247" s="10">
        <v>40917</v>
      </c>
      <c r="J1247" s="9" t="s">
        <v>226</v>
      </c>
      <c r="K1247" s="9" t="s">
        <v>96</v>
      </c>
      <c r="L1247" s="9" t="s">
        <v>2760</v>
      </c>
      <c r="M1247" s="9" t="s">
        <v>35</v>
      </c>
      <c r="N1247" s="11">
        <v>1.6</v>
      </c>
      <c r="O1247" s="11">
        <v>0</v>
      </c>
      <c r="P1247" s="12">
        <f t="shared" si="154"/>
        <v>1.6</v>
      </c>
      <c r="Q1247" s="12" t="s">
        <v>68</v>
      </c>
      <c r="R1247" s="9" t="s">
        <v>27</v>
      </c>
      <c r="S1247" s="24" t="s">
        <v>36</v>
      </c>
      <c r="T1247" s="9" t="s">
        <v>72</v>
      </c>
    </row>
    <row r="1248" spans="1:20" ht="35.25" customHeight="1">
      <c r="A1248" s="6">
        <f t="shared" si="150"/>
        <v>1247</v>
      </c>
      <c r="B1248" s="17" t="s">
        <v>3270</v>
      </c>
      <c r="C1248" s="64" t="s">
        <v>3271</v>
      </c>
      <c r="D1248" s="9" t="s">
        <v>26</v>
      </c>
      <c r="E1248" s="10">
        <v>30596</v>
      </c>
      <c r="F1248" s="11">
        <f t="shared" ca="1" si="152"/>
        <v>40.205479452054796</v>
      </c>
      <c r="G1248" s="11">
        <f t="shared" si="146"/>
        <v>10</v>
      </c>
      <c r="H1248" s="11">
        <f t="shared" si="147"/>
        <v>7</v>
      </c>
      <c r="I1248" s="10">
        <v>40920</v>
      </c>
      <c r="J1248" s="9" t="s">
        <v>226</v>
      </c>
      <c r="K1248" s="9" t="s">
        <v>96</v>
      </c>
      <c r="L1248" s="9" t="s">
        <v>3272</v>
      </c>
      <c r="M1248" s="9" t="s">
        <v>491</v>
      </c>
      <c r="N1248" s="11">
        <v>3</v>
      </c>
      <c r="O1248" s="11">
        <v>0</v>
      </c>
      <c r="P1248" s="12">
        <f t="shared" si="154"/>
        <v>3</v>
      </c>
      <c r="Q1248" s="12" t="s">
        <v>68</v>
      </c>
      <c r="R1248" s="9" t="s">
        <v>492</v>
      </c>
      <c r="S1248" s="24" t="s">
        <v>817</v>
      </c>
      <c r="T1248" s="9" t="s">
        <v>492</v>
      </c>
    </row>
    <row r="1249" spans="1:20" ht="35.25" customHeight="1">
      <c r="A1249" s="6">
        <f t="shared" si="150"/>
        <v>1248</v>
      </c>
      <c r="B1249" s="17" t="s">
        <v>3273</v>
      </c>
      <c r="C1249" s="64" t="s">
        <v>3274</v>
      </c>
      <c r="D1249" s="9" t="s">
        <v>26</v>
      </c>
      <c r="E1249" s="10">
        <v>31581</v>
      </c>
      <c r="F1249" s="11">
        <f t="shared" ca="1" si="152"/>
        <v>37.506849315068493</v>
      </c>
      <c r="G1249" s="11">
        <f t="shared" si="146"/>
        <v>6</v>
      </c>
      <c r="H1249" s="11">
        <f t="shared" si="147"/>
        <v>18</v>
      </c>
      <c r="I1249" s="10">
        <v>40924</v>
      </c>
      <c r="J1249" s="9" t="s">
        <v>87</v>
      </c>
      <c r="K1249" s="9" t="s">
        <v>216</v>
      </c>
      <c r="L1249" s="9" t="s">
        <v>231</v>
      </c>
      <c r="M1249" s="9" t="s">
        <v>61</v>
      </c>
      <c r="N1249" s="11">
        <v>9</v>
      </c>
      <c r="O1249" s="11">
        <v>0</v>
      </c>
      <c r="P1249" s="12">
        <f t="shared" si="154"/>
        <v>9</v>
      </c>
      <c r="Q1249" s="12" t="s">
        <v>26</v>
      </c>
      <c r="R1249" s="9" t="s">
        <v>27</v>
      </c>
      <c r="S1249" s="24" t="s">
        <v>28</v>
      </c>
      <c r="T1249" s="9" t="s">
        <v>3275</v>
      </c>
    </row>
    <row r="1250" spans="1:20" ht="35.25" customHeight="1">
      <c r="A1250" s="6">
        <f t="shared" si="150"/>
        <v>1249</v>
      </c>
      <c r="B1250" s="17" t="s">
        <v>3276</v>
      </c>
      <c r="C1250" s="64" t="s">
        <v>3277</v>
      </c>
      <c r="D1250" s="9" t="s">
        <v>26</v>
      </c>
      <c r="E1250" s="10">
        <v>29597</v>
      </c>
      <c r="F1250" s="11">
        <f t="shared" ca="1" si="152"/>
        <v>42.942465753424656</v>
      </c>
      <c r="G1250" s="11">
        <f t="shared" si="146"/>
        <v>1</v>
      </c>
      <c r="H1250" s="11">
        <f t="shared" si="147"/>
        <v>11</v>
      </c>
      <c r="I1250" s="10">
        <v>40921</v>
      </c>
      <c r="J1250" s="9" t="s">
        <v>58</v>
      </c>
      <c r="K1250" s="9" t="s">
        <v>129</v>
      </c>
      <c r="L1250" s="9" t="s">
        <v>34</v>
      </c>
      <c r="M1250" s="9" t="s">
        <v>61</v>
      </c>
      <c r="N1250" s="11">
        <v>8</v>
      </c>
      <c r="O1250" s="11">
        <v>0</v>
      </c>
      <c r="P1250" s="12">
        <f t="shared" si="154"/>
        <v>8</v>
      </c>
      <c r="Q1250" s="12" t="s">
        <v>26</v>
      </c>
      <c r="R1250" s="9" t="s">
        <v>27</v>
      </c>
      <c r="S1250" s="24" t="s">
        <v>36</v>
      </c>
      <c r="T1250" s="9" t="s">
        <v>72</v>
      </c>
    </row>
    <row r="1251" spans="1:20" ht="35.25" customHeight="1">
      <c r="A1251" s="6">
        <f t="shared" si="150"/>
        <v>1250</v>
      </c>
      <c r="B1251" s="17" t="s">
        <v>3278</v>
      </c>
      <c r="C1251" s="64" t="s">
        <v>3279</v>
      </c>
      <c r="D1251" s="9" t="s">
        <v>26</v>
      </c>
      <c r="E1251" s="10">
        <v>31601</v>
      </c>
      <c r="F1251" s="11">
        <f t="shared" ca="1" si="152"/>
        <v>37.452054794520549</v>
      </c>
      <c r="G1251" s="11">
        <f t="shared" si="146"/>
        <v>7</v>
      </c>
      <c r="H1251" s="11">
        <f t="shared" si="147"/>
        <v>8</v>
      </c>
      <c r="I1251" s="10">
        <v>40924</v>
      </c>
      <c r="J1251" s="9" t="s">
        <v>87</v>
      </c>
      <c r="K1251" s="9" t="s">
        <v>2266</v>
      </c>
      <c r="L1251" s="9" t="s">
        <v>704</v>
      </c>
      <c r="M1251" s="9" t="s">
        <v>491</v>
      </c>
      <c r="N1251" s="11">
        <v>3.8</v>
      </c>
      <c r="O1251" s="11">
        <v>0</v>
      </c>
      <c r="P1251" s="12">
        <f t="shared" si="154"/>
        <v>3.8</v>
      </c>
      <c r="Q1251" s="12" t="s">
        <v>68</v>
      </c>
      <c r="R1251" s="9" t="s">
        <v>3182</v>
      </c>
      <c r="S1251" s="24" t="s">
        <v>36</v>
      </c>
      <c r="T1251" s="9" t="s">
        <v>492</v>
      </c>
    </row>
    <row r="1252" spans="1:20" ht="35.25" customHeight="1">
      <c r="A1252" s="6">
        <f t="shared" si="150"/>
        <v>1251</v>
      </c>
      <c r="B1252" s="17" t="s">
        <v>3280</v>
      </c>
      <c r="C1252" s="64" t="s">
        <v>3281</v>
      </c>
      <c r="D1252" s="9" t="s">
        <v>26</v>
      </c>
      <c r="E1252" s="10">
        <v>31938</v>
      </c>
      <c r="F1252" s="11">
        <f t="shared" ca="1" si="152"/>
        <v>36.528767123287672</v>
      </c>
      <c r="G1252" s="11">
        <f t="shared" ref="G1252:G1260" si="155">MONTH(E1252)</f>
        <v>6</v>
      </c>
      <c r="H1252" s="11">
        <f t="shared" ref="H1252:H1260" si="156">DAY(E1252)</f>
        <v>10</v>
      </c>
      <c r="I1252" s="10">
        <v>40924</v>
      </c>
      <c r="J1252" s="9" t="s">
        <v>87</v>
      </c>
      <c r="K1252" s="9" t="s">
        <v>166</v>
      </c>
      <c r="L1252" s="9" t="s">
        <v>704</v>
      </c>
      <c r="M1252" s="9" t="s">
        <v>491</v>
      </c>
      <c r="N1252" s="11">
        <v>2.6</v>
      </c>
      <c r="O1252" s="11">
        <v>0</v>
      </c>
      <c r="P1252" s="12">
        <f t="shared" si="154"/>
        <v>2.6</v>
      </c>
      <c r="Q1252" s="12" t="s">
        <v>68</v>
      </c>
      <c r="R1252" s="9" t="s">
        <v>3182</v>
      </c>
      <c r="S1252" s="24" t="s">
        <v>28</v>
      </c>
      <c r="T1252" s="9" t="s">
        <v>3282</v>
      </c>
    </row>
    <row r="1253" spans="1:20" ht="35.25" customHeight="1">
      <c r="A1253" s="6">
        <f t="shared" si="150"/>
        <v>1252</v>
      </c>
      <c r="B1253" s="17" t="s">
        <v>3283</v>
      </c>
      <c r="C1253" s="64" t="s">
        <v>3284</v>
      </c>
      <c r="D1253" s="9" t="s">
        <v>26</v>
      </c>
      <c r="E1253" s="10">
        <v>25441</v>
      </c>
      <c r="F1253" s="11">
        <f t="shared" ca="1" si="152"/>
        <v>54.328767123287669</v>
      </c>
      <c r="G1253" s="11">
        <f t="shared" si="155"/>
        <v>8</v>
      </c>
      <c r="H1253" s="11">
        <f t="shared" si="156"/>
        <v>26</v>
      </c>
      <c r="I1253" s="10">
        <v>40926</v>
      </c>
      <c r="J1253" s="9" t="s">
        <v>93</v>
      </c>
      <c r="K1253" s="9" t="s">
        <v>3285</v>
      </c>
      <c r="L1253" s="9" t="s">
        <v>161</v>
      </c>
      <c r="M1253" s="9" t="s">
        <v>61</v>
      </c>
      <c r="N1253" s="11">
        <v>20</v>
      </c>
      <c r="O1253" s="11">
        <v>0</v>
      </c>
      <c r="P1253" s="12">
        <f t="shared" si="154"/>
        <v>20</v>
      </c>
      <c r="Q1253" s="12" t="s">
        <v>26</v>
      </c>
      <c r="R1253" s="9" t="s">
        <v>27</v>
      </c>
      <c r="S1253" s="24" t="s">
        <v>28</v>
      </c>
      <c r="T1253" s="9" t="s">
        <v>29</v>
      </c>
    </row>
    <row r="1254" spans="1:20" ht="35.25" customHeight="1">
      <c r="A1254" s="6">
        <f t="shared" si="150"/>
        <v>1253</v>
      </c>
      <c r="B1254" s="17" t="s">
        <v>3286</v>
      </c>
      <c r="C1254" s="64" t="s">
        <v>3287</v>
      </c>
      <c r="D1254" s="9" t="s">
        <v>26</v>
      </c>
      <c r="E1254" s="10">
        <v>29586</v>
      </c>
      <c r="F1254" s="11">
        <f t="shared" ca="1" si="152"/>
        <v>42.972602739726028</v>
      </c>
      <c r="G1254" s="11">
        <f t="shared" si="155"/>
        <v>12</v>
      </c>
      <c r="H1254" s="11">
        <f t="shared" si="156"/>
        <v>31</v>
      </c>
      <c r="I1254" s="10">
        <v>40926</v>
      </c>
      <c r="J1254" s="9" t="s">
        <v>32</v>
      </c>
      <c r="K1254" s="9" t="s">
        <v>313</v>
      </c>
      <c r="L1254" s="9" t="s">
        <v>34</v>
      </c>
      <c r="M1254" s="9" t="s">
        <v>156</v>
      </c>
      <c r="N1254" s="11">
        <v>8</v>
      </c>
      <c r="O1254" s="11">
        <v>0</v>
      </c>
      <c r="P1254" s="12">
        <f t="shared" si="154"/>
        <v>8</v>
      </c>
      <c r="Q1254" s="12" t="s">
        <v>26</v>
      </c>
      <c r="R1254" s="9" t="s">
        <v>27</v>
      </c>
      <c r="S1254" s="24" t="s">
        <v>28</v>
      </c>
      <c r="T1254" s="9" t="s">
        <v>29</v>
      </c>
    </row>
    <row r="1255" spans="1:20" ht="35.25" customHeight="1">
      <c r="A1255" s="6">
        <f t="shared" si="150"/>
        <v>1254</v>
      </c>
      <c r="B1255" s="17" t="s">
        <v>3288</v>
      </c>
      <c r="C1255" s="64" t="s">
        <v>3289</v>
      </c>
      <c r="D1255" s="9" t="s">
        <v>26</v>
      </c>
      <c r="E1255" s="10">
        <v>22871</v>
      </c>
      <c r="F1255" s="11">
        <f t="shared" ca="1" si="152"/>
        <v>61.369863013698627</v>
      </c>
      <c r="G1255" s="11">
        <f t="shared" si="155"/>
        <v>8</v>
      </c>
      <c r="H1255" s="11">
        <f t="shared" si="156"/>
        <v>13</v>
      </c>
      <c r="I1255" s="10">
        <v>40927</v>
      </c>
      <c r="J1255" s="9" t="s">
        <v>110</v>
      </c>
      <c r="K1255" s="9" t="s">
        <v>63</v>
      </c>
      <c r="L1255" s="9" t="s">
        <v>724</v>
      </c>
      <c r="M1255" s="9" t="s">
        <v>134</v>
      </c>
      <c r="N1255" s="11">
        <v>19</v>
      </c>
      <c r="O1255" s="11">
        <v>0</v>
      </c>
      <c r="P1255" s="12">
        <f t="shared" si="154"/>
        <v>19</v>
      </c>
      <c r="Q1255" s="12" t="s">
        <v>26</v>
      </c>
      <c r="R1255" s="9" t="s">
        <v>27</v>
      </c>
      <c r="S1255" s="24" t="s">
        <v>36</v>
      </c>
      <c r="T1255" s="9" t="s">
        <v>137</v>
      </c>
    </row>
    <row r="1256" spans="1:20" ht="35.25" customHeight="1">
      <c r="A1256" s="6">
        <f t="shared" si="150"/>
        <v>1255</v>
      </c>
      <c r="B1256" s="17" t="s">
        <v>3290</v>
      </c>
      <c r="C1256" s="64" t="s">
        <v>3291</v>
      </c>
      <c r="D1256" s="9" t="s">
        <v>26</v>
      </c>
      <c r="E1256" s="10">
        <v>31323</v>
      </c>
      <c r="F1256" s="11">
        <f t="shared" ca="1" si="152"/>
        <v>38.213698630136989</v>
      </c>
      <c r="G1256" s="11">
        <f t="shared" si="155"/>
        <v>10</v>
      </c>
      <c r="H1256" s="11">
        <f t="shared" si="156"/>
        <v>3</v>
      </c>
      <c r="I1256" s="10">
        <v>40927</v>
      </c>
      <c r="J1256" s="9" t="s">
        <v>22</v>
      </c>
      <c r="K1256" s="9" t="s">
        <v>241</v>
      </c>
      <c r="L1256" s="9" t="s">
        <v>325</v>
      </c>
      <c r="M1256" s="9" t="s">
        <v>134</v>
      </c>
      <c r="N1256" s="11">
        <v>3</v>
      </c>
      <c r="O1256" s="11">
        <v>0</v>
      </c>
      <c r="P1256" s="12">
        <f t="shared" si="154"/>
        <v>3</v>
      </c>
      <c r="Q1256" s="12" t="s">
        <v>26</v>
      </c>
      <c r="R1256" s="9" t="s">
        <v>27</v>
      </c>
      <c r="S1256" s="24" t="s">
        <v>3015</v>
      </c>
      <c r="T1256" s="9" t="s">
        <v>29</v>
      </c>
    </row>
    <row r="1257" spans="1:20" ht="35.25" customHeight="1">
      <c r="A1257" s="6">
        <f t="shared" si="150"/>
        <v>1256</v>
      </c>
      <c r="B1257" s="17" t="s">
        <v>3292</v>
      </c>
      <c r="C1257" s="64" t="s">
        <v>3293</v>
      </c>
      <c r="D1257" s="9" t="s">
        <v>26</v>
      </c>
      <c r="E1257" s="10">
        <v>31931</v>
      </c>
      <c r="F1257" s="11">
        <f t="shared" ca="1" si="152"/>
        <v>36.547945205479451</v>
      </c>
      <c r="G1257" s="11">
        <f t="shared" si="155"/>
        <v>6</v>
      </c>
      <c r="H1257" s="11">
        <f t="shared" si="156"/>
        <v>3</v>
      </c>
      <c r="I1257" s="10">
        <v>40927</v>
      </c>
      <c r="J1257" s="9" t="s">
        <v>226</v>
      </c>
      <c r="K1257" s="9" t="s">
        <v>96</v>
      </c>
      <c r="L1257" s="9" t="s">
        <v>2698</v>
      </c>
      <c r="M1257" s="9" t="s">
        <v>35</v>
      </c>
      <c r="N1257" s="11">
        <v>2.8</v>
      </c>
      <c r="O1257" s="11">
        <v>0</v>
      </c>
      <c r="P1257" s="12">
        <f t="shared" si="154"/>
        <v>2.8</v>
      </c>
      <c r="Q1257" s="12" t="s">
        <v>68</v>
      </c>
      <c r="R1257" s="9" t="s">
        <v>27</v>
      </c>
      <c r="S1257" s="24" t="s">
        <v>3015</v>
      </c>
      <c r="T1257" s="9" t="s">
        <v>29</v>
      </c>
    </row>
    <row r="1258" spans="1:20" ht="35.25" customHeight="1">
      <c r="A1258" s="6">
        <f t="shared" si="150"/>
        <v>1257</v>
      </c>
      <c r="B1258" s="17" t="s">
        <v>3294</v>
      </c>
      <c r="C1258" s="64" t="s">
        <v>3295</v>
      </c>
      <c r="D1258" s="9" t="s">
        <v>26</v>
      </c>
      <c r="E1258" s="10">
        <v>28282</v>
      </c>
      <c r="F1258" s="11">
        <f t="shared" ca="1" si="152"/>
        <v>46.545205479452058</v>
      </c>
      <c r="G1258" s="11">
        <f t="shared" si="155"/>
        <v>6</v>
      </c>
      <c r="H1258" s="11">
        <f t="shared" si="156"/>
        <v>6</v>
      </c>
      <c r="I1258" s="10">
        <v>40928</v>
      </c>
      <c r="J1258" s="9" t="s">
        <v>87</v>
      </c>
      <c r="K1258" s="9" t="s">
        <v>216</v>
      </c>
      <c r="L1258" s="9" t="s">
        <v>147</v>
      </c>
      <c r="M1258" s="9" t="s">
        <v>134</v>
      </c>
      <c r="N1258" s="11">
        <v>4</v>
      </c>
      <c r="O1258" s="11">
        <v>0</v>
      </c>
      <c r="P1258" s="12">
        <f t="shared" si="154"/>
        <v>4</v>
      </c>
      <c r="Q1258" s="12" t="s">
        <v>68</v>
      </c>
      <c r="R1258" s="9" t="s">
        <v>27</v>
      </c>
      <c r="S1258" s="24" t="s">
        <v>28</v>
      </c>
      <c r="T1258" s="9" t="s">
        <v>29</v>
      </c>
    </row>
    <row r="1259" spans="1:20" ht="35.25" customHeight="1">
      <c r="A1259" s="6">
        <f t="shared" si="150"/>
        <v>1258</v>
      </c>
      <c r="B1259" s="17" t="s">
        <v>3296</v>
      </c>
      <c r="C1259" s="64" t="s">
        <v>3297</v>
      </c>
      <c r="D1259" s="9" t="s">
        <v>26</v>
      </c>
      <c r="E1259" s="10">
        <v>25050</v>
      </c>
      <c r="F1259" s="11">
        <f t="shared" ca="1" si="152"/>
        <v>55.4</v>
      </c>
      <c r="G1259" s="11">
        <f t="shared" si="155"/>
        <v>7</v>
      </c>
      <c r="H1259" s="11">
        <f t="shared" si="156"/>
        <v>31</v>
      </c>
      <c r="I1259" s="10">
        <v>40931</v>
      </c>
      <c r="J1259" s="9" t="s">
        <v>50</v>
      </c>
      <c r="K1259" s="9" t="s">
        <v>159</v>
      </c>
      <c r="L1259" s="9" t="s">
        <v>724</v>
      </c>
      <c r="M1259" s="9" t="s">
        <v>134</v>
      </c>
      <c r="N1259" s="11">
        <v>16</v>
      </c>
      <c r="O1259" s="11">
        <v>0</v>
      </c>
      <c r="P1259" s="12">
        <f t="shared" si="154"/>
        <v>16</v>
      </c>
      <c r="Q1259" s="12" t="s">
        <v>26</v>
      </c>
      <c r="R1259" s="9" t="s">
        <v>27</v>
      </c>
      <c r="S1259" s="24" t="s">
        <v>36</v>
      </c>
      <c r="T1259" s="9" t="s">
        <v>137</v>
      </c>
    </row>
    <row r="1260" spans="1:20" ht="35.25" customHeight="1">
      <c r="A1260" s="6">
        <f t="shared" si="150"/>
        <v>1259</v>
      </c>
      <c r="B1260" s="17" t="s">
        <v>3298</v>
      </c>
      <c r="C1260" s="64" t="s">
        <v>3299</v>
      </c>
      <c r="D1260" s="9" t="s">
        <v>26</v>
      </c>
      <c r="E1260" s="10">
        <v>30992</v>
      </c>
      <c r="F1260" s="11">
        <f t="shared" ca="1" si="152"/>
        <v>39.12054794520548</v>
      </c>
      <c r="G1260" s="11">
        <f t="shared" si="155"/>
        <v>11</v>
      </c>
      <c r="H1260" s="11">
        <f t="shared" si="156"/>
        <v>6</v>
      </c>
      <c r="I1260" s="10">
        <v>40931</v>
      </c>
      <c r="J1260" s="9" t="s">
        <v>110</v>
      </c>
      <c r="K1260" s="9" t="s">
        <v>2955</v>
      </c>
      <c r="L1260" s="9" t="s">
        <v>1713</v>
      </c>
      <c r="M1260" s="9" t="s">
        <v>35</v>
      </c>
      <c r="N1260" s="11">
        <v>5.5</v>
      </c>
      <c r="O1260" s="11">
        <v>0</v>
      </c>
      <c r="P1260" s="12">
        <f t="shared" si="154"/>
        <v>5.5</v>
      </c>
      <c r="Q1260" s="12" t="s">
        <v>26</v>
      </c>
      <c r="R1260" s="9" t="s">
        <v>27</v>
      </c>
      <c r="S1260" s="24" t="s">
        <v>36</v>
      </c>
      <c r="T1260" s="9" t="s">
        <v>72</v>
      </c>
    </row>
    <row r="1261" spans="1:20" ht="35.25" customHeight="1">
      <c r="A1261" s="6">
        <f t="shared" si="150"/>
        <v>1260</v>
      </c>
      <c r="B1261" s="17" t="s">
        <v>3300</v>
      </c>
      <c r="C1261" s="64" t="s">
        <v>3301</v>
      </c>
      <c r="D1261" s="9" t="s">
        <v>26</v>
      </c>
      <c r="E1261" s="10">
        <v>30651</v>
      </c>
      <c r="F1261" s="11">
        <f t="shared" ca="1" si="152"/>
        <v>40.054794520547944</v>
      </c>
      <c r="G1261" s="11">
        <f>MONTH(E1261)</f>
        <v>12</v>
      </c>
      <c r="H1261" s="11">
        <f>DAY(E1261)</f>
        <v>1</v>
      </c>
      <c r="I1261" s="10">
        <v>40931</v>
      </c>
      <c r="J1261" s="9" t="s">
        <v>87</v>
      </c>
      <c r="K1261" s="9" t="s">
        <v>3302</v>
      </c>
      <c r="L1261" s="9" t="s">
        <v>231</v>
      </c>
      <c r="M1261" s="9" t="s">
        <v>61</v>
      </c>
      <c r="N1261" s="11">
        <v>6.7</v>
      </c>
      <c r="O1261" s="11">
        <v>0</v>
      </c>
      <c r="P1261" s="12">
        <f t="shared" si="154"/>
        <v>6.7</v>
      </c>
      <c r="Q1261" s="12" t="s">
        <v>68</v>
      </c>
      <c r="R1261" s="9" t="s">
        <v>27</v>
      </c>
      <c r="S1261" s="24" t="s">
        <v>28</v>
      </c>
      <c r="T1261" s="9" t="s">
        <v>3303</v>
      </c>
    </row>
    <row r="1262" spans="1:20" ht="35.25" customHeight="1">
      <c r="A1262" s="6">
        <f t="shared" si="150"/>
        <v>1261</v>
      </c>
      <c r="B1262" s="17" t="s">
        <v>3304</v>
      </c>
      <c r="C1262" s="64" t="s">
        <v>3305</v>
      </c>
      <c r="D1262" s="9" t="s">
        <v>26</v>
      </c>
      <c r="E1262" s="10">
        <v>30697</v>
      </c>
      <c r="F1262" s="11">
        <f t="shared" ca="1" si="152"/>
        <v>39.92876712328767</v>
      </c>
      <c r="G1262" s="11">
        <f>MONTH(E1262)</f>
        <v>1</v>
      </c>
      <c r="H1262" s="11">
        <f>DAY(E1262)</f>
        <v>16</v>
      </c>
      <c r="I1262" s="10">
        <v>40931</v>
      </c>
      <c r="J1262" s="9" t="s">
        <v>87</v>
      </c>
      <c r="K1262" s="9" t="s">
        <v>670</v>
      </c>
      <c r="L1262" s="9" t="s">
        <v>34</v>
      </c>
      <c r="M1262" s="9" t="s">
        <v>491</v>
      </c>
      <c r="N1262" s="11">
        <v>4.4000000000000004</v>
      </c>
      <c r="O1262" s="11">
        <v>0</v>
      </c>
      <c r="P1262" s="12">
        <f t="shared" si="154"/>
        <v>4.4000000000000004</v>
      </c>
      <c r="Q1262" s="12" t="s">
        <v>68</v>
      </c>
      <c r="R1262" s="9" t="s">
        <v>577</v>
      </c>
      <c r="S1262" s="24" t="s">
        <v>28</v>
      </c>
      <c r="T1262" s="9" t="s">
        <v>3282</v>
      </c>
    </row>
    <row r="1263" spans="1:20" ht="35.25" customHeight="1">
      <c r="A1263" s="6">
        <f t="shared" si="150"/>
        <v>1262</v>
      </c>
      <c r="B1263" s="17" t="s">
        <v>3306</v>
      </c>
      <c r="C1263" s="64" t="s">
        <v>3307</v>
      </c>
      <c r="D1263" s="9" t="s">
        <v>26</v>
      </c>
      <c r="E1263" s="10">
        <v>32305</v>
      </c>
      <c r="F1263" s="11">
        <f t="shared" ca="1" si="152"/>
        <v>35.523287671232879</v>
      </c>
      <c r="G1263" s="11">
        <f>MONTH(E1263)</f>
        <v>6</v>
      </c>
      <c r="H1263" s="11">
        <f>DAY(E1263)</f>
        <v>11</v>
      </c>
      <c r="I1263" s="10">
        <v>40936</v>
      </c>
      <c r="J1263" s="9" t="s">
        <v>87</v>
      </c>
      <c r="K1263" s="9" t="s">
        <v>3308</v>
      </c>
      <c r="L1263" s="9" t="s">
        <v>3309</v>
      </c>
      <c r="M1263" s="9" t="s">
        <v>35</v>
      </c>
      <c r="N1263" s="11">
        <v>4.7</v>
      </c>
      <c r="O1263" s="11">
        <v>0</v>
      </c>
      <c r="P1263" s="12">
        <f t="shared" si="154"/>
        <v>4.7</v>
      </c>
      <c r="Q1263" s="12" t="s">
        <v>68</v>
      </c>
      <c r="R1263" s="9" t="s">
        <v>27</v>
      </c>
      <c r="S1263" s="24" t="s">
        <v>28</v>
      </c>
      <c r="T1263" s="9" t="s">
        <v>29</v>
      </c>
    </row>
    <row r="1264" spans="1:20" ht="35.25" customHeight="1">
      <c r="A1264" s="6">
        <f t="shared" si="150"/>
        <v>1263</v>
      </c>
      <c r="B1264" s="17" t="s">
        <v>3310</v>
      </c>
      <c r="C1264" s="64" t="s">
        <v>3311</v>
      </c>
      <c r="D1264" s="9" t="s">
        <v>26</v>
      </c>
      <c r="E1264" s="10">
        <v>29577</v>
      </c>
      <c r="F1264" s="11">
        <f t="shared" ca="1" si="152"/>
        <v>42.9972602739726</v>
      </c>
      <c r="G1264" s="11">
        <f t="shared" ref="G1264:G1271" si="157">MONTH(E1264)</f>
        <v>12</v>
      </c>
      <c r="H1264" s="11">
        <f t="shared" ref="H1264:H1271" si="158">DAY(E1264)</f>
        <v>22</v>
      </c>
      <c r="I1264" s="10">
        <v>40939</v>
      </c>
      <c r="J1264" s="9" t="s">
        <v>22</v>
      </c>
      <c r="K1264" s="9" t="s">
        <v>3312</v>
      </c>
      <c r="L1264" s="9" t="s">
        <v>213</v>
      </c>
      <c r="M1264" s="9" t="s">
        <v>35</v>
      </c>
      <c r="N1264" s="11">
        <v>12.7</v>
      </c>
      <c r="O1264" s="11">
        <v>0</v>
      </c>
      <c r="P1264" s="12">
        <f t="shared" si="154"/>
        <v>12.7</v>
      </c>
      <c r="Q1264" s="12" t="s">
        <v>26</v>
      </c>
      <c r="R1264" s="9" t="s">
        <v>27</v>
      </c>
      <c r="S1264" s="24" t="s">
        <v>36</v>
      </c>
      <c r="T1264" s="9" t="s">
        <v>72</v>
      </c>
    </row>
    <row r="1265" spans="1:20" ht="35.25" customHeight="1">
      <c r="A1265" s="6">
        <f t="shared" si="150"/>
        <v>1264</v>
      </c>
      <c r="B1265" s="17" t="s">
        <v>3313</v>
      </c>
      <c r="C1265" s="64" t="s">
        <v>3314</v>
      </c>
      <c r="D1265" s="9" t="s">
        <v>26</v>
      </c>
      <c r="E1265" s="10">
        <v>25445</v>
      </c>
      <c r="F1265" s="11">
        <f t="shared" ca="1" si="152"/>
        <v>54.317808219178083</v>
      </c>
      <c r="G1265" s="11">
        <f t="shared" si="157"/>
        <v>8</v>
      </c>
      <c r="H1265" s="11">
        <f t="shared" si="158"/>
        <v>30</v>
      </c>
      <c r="I1265" s="10">
        <v>40940</v>
      </c>
      <c r="J1265" s="9" t="s">
        <v>367</v>
      </c>
      <c r="K1265" s="9" t="s">
        <v>3315</v>
      </c>
      <c r="L1265" s="9" t="s">
        <v>34</v>
      </c>
      <c r="M1265" s="9" t="s">
        <v>35</v>
      </c>
      <c r="N1265" s="11">
        <v>22</v>
      </c>
      <c r="O1265" s="11">
        <v>0</v>
      </c>
      <c r="P1265" s="12">
        <f t="shared" si="154"/>
        <v>22</v>
      </c>
      <c r="Q1265" s="12"/>
      <c r="R1265" s="9"/>
      <c r="S1265" s="24"/>
      <c r="T1265" s="9"/>
    </row>
    <row r="1266" spans="1:20" ht="35.25" customHeight="1">
      <c r="A1266" s="6">
        <f t="shared" si="150"/>
        <v>1265</v>
      </c>
      <c r="B1266" s="17" t="s">
        <v>3316</v>
      </c>
      <c r="C1266" s="64" t="s">
        <v>3317</v>
      </c>
      <c r="D1266" s="9" t="s">
        <v>26</v>
      </c>
      <c r="E1266" s="10">
        <v>26949</v>
      </c>
      <c r="F1266" s="11">
        <f t="shared" ca="1" si="152"/>
        <v>50.197260273972603</v>
      </c>
      <c r="G1266" s="11">
        <f t="shared" si="157"/>
        <v>10</v>
      </c>
      <c r="H1266" s="11">
        <f t="shared" si="158"/>
        <v>12</v>
      </c>
      <c r="I1266" s="10">
        <v>40940</v>
      </c>
      <c r="J1266" s="9" t="s">
        <v>66</v>
      </c>
      <c r="K1266" s="9" t="s">
        <v>3318</v>
      </c>
      <c r="L1266" s="9" t="s">
        <v>3319</v>
      </c>
      <c r="M1266" s="9" t="s">
        <v>134</v>
      </c>
      <c r="N1266" s="11">
        <v>16</v>
      </c>
      <c r="O1266" s="11">
        <v>0</v>
      </c>
      <c r="P1266" s="12">
        <f t="shared" si="154"/>
        <v>16</v>
      </c>
      <c r="Q1266" s="12" t="s">
        <v>26</v>
      </c>
      <c r="R1266" s="9" t="s">
        <v>27</v>
      </c>
      <c r="S1266" s="24" t="s">
        <v>36</v>
      </c>
      <c r="T1266" s="9" t="s">
        <v>137</v>
      </c>
    </row>
    <row r="1267" spans="1:20" ht="35.25" customHeight="1">
      <c r="A1267" s="6">
        <f t="shared" si="150"/>
        <v>1266</v>
      </c>
      <c r="B1267" s="17" t="s">
        <v>3320</v>
      </c>
      <c r="C1267" s="64" t="s">
        <v>3321</v>
      </c>
      <c r="D1267" s="9" t="s">
        <v>26</v>
      </c>
      <c r="E1267" s="10">
        <v>25094</v>
      </c>
      <c r="F1267" s="11">
        <f t="shared" ca="1" si="152"/>
        <v>55.279452054794518</v>
      </c>
      <c r="G1267" s="11">
        <f t="shared" si="157"/>
        <v>9</v>
      </c>
      <c r="H1267" s="11">
        <f t="shared" si="158"/>
        <v>13</v>
      </c>
      <c r="I1267" s="10">
        <v>40940</v>
      </c>
      <c r="J1267" s="9" t="s">
        <v>32</v>
      </c>
      <c r="K1267" s="9" t="s">
        <v>313</v>
      </c>
      <c r="L1267" s="9" t="s">
        <v>231</v>
      </c>
      <c r="M1267" s="9" t="s">
        <v>61</v>
      </c>
      <c r="N1267" s="11">
        <v>21</v>
      </c>
      <c r="O1267" s="11">
        <v>0</v>
      </c>
      <c r="P1267" s="12" t="e">
        <f>SUM(N1267+#REF!)</f>
        <v>#REF!</v>
      </c>
      <c r="Q1267" s="12" t="s">
        <v>26</v>
      </c>
      <c r="R1267" s="9" t="s">
        <v>95</v>
      </c>
      <c r="S1267" s="24" t="s">
        <v>36</v>
      </c>
      <c r="T1267" s="9" t="s">
        <v>72</v>
      </c>
    </row>
    <row r="1268" spans="1:20" ht="35.25" customHeight="1">
      <c r="A1268" s="6">
        <f t="shared" si="150"/>
        <v>1267</v>
      </c>
      <c r="B1268" s="17" t="s">
        <v>3322</v>
      </c>
      <c r="C1268" s="64" t="s">
        <v>3323</v>
      </c>
      <c r="D1268" s="9" t="s">
        <v>26</v>
      </c>
      <c r="E1268" s="31">
        <v>32144</v>
      </c>
      <c r="F1268" s="11">
        <f t="shared" ca="1" si="152"/>
        <v>35.964383561643835</v>
      </c>
      <c r="G1268" s="11">
        <f t="shared" si="157"/>
        <v>1</v>
      </c>
      <c r="H1268" s="11">
        <f t="shared" si="158"/>
        <v>2</v>
      </c>
      <c r="I1268" s="10">
        <v>40940</v>
      </c>
      <c r="J1268" s="9" t="s">
        <v>226</v>
      </c>
      <c r="K1268" s="9" t="s">
        <v>3324</v>
      </c>
      <c r="L1268" s="9" t="s">
        <v>34</v>
      </c>
      <c r="M1268" s="9" t="s">
        <v>491</v>
      </c>
      <c r="N1268" s="11">
        <v>3</v>
      </c>
      <c r="O1268" s="11">
        <v>0</v>
      </c>
      <c r="P1268" s="12" t="e">
        <f>SUM(N1268+#REF!)</f>
        <v>#REF!</v>
      </c>
      <c r="Q1268" s="12" t="s">
        <v>26</v>
      </c>
      <c r="R1268" s="9" t="s">
        <v>3182</v>
      </c>
      <c r="S1268" s="24" t="s">
        <v>36</v>
      </c>
      <c r="T1268" s="9" t="s">
        <v>492</v>
      </c>
    </row>
    <row r="1269" spans="1:20" ht="35.25" customHeight="1">
      <c r="A1269" s="6">
        <f t="shared" si="150"/>
        <v>1268</v>
      </c>
      <c r="B1269" s="17" t="s">
        <v>3325</v>
      </c>
      <c r="C1269" s="64" t="s">
        <v>3326</v>
      </c>
      <c r="D1269" s="9" t="s">
        <v>26</v>
      </c>
      <c r="E1269" s="31">
        <v>23030</v>
      </c>
      <c r="F1269" s="11">
        <f t="shared" ca="1" si="152"/>
        <v>60.934246575342463</v>
      </c>
      <c r="G1269" s="11">
        <f t="shared" si="157"/>
        <v>1</v>
      </c>
      <c r="H1269" s="11">
        <f t="shared" si="158"/>
        <v>19</v>
      </c>
      <c r="I1269" s="10">
        <v>40941</v>
      </c>
      <c r="J1269" s="9" t="s">
        <v>45</v>
      </c>
      <c r="K1269" s="9" t="s">
        <v>1600</v>
      </c>
      <c r="L1269" s="9" t="s">
        <v>3327</v>
      </c>
      <c r="M1269" s="9" t="s">
        <v>134</v>
      </c>
      <c r="N1269" s="11"/>
      <c r="O1269" s="11"/>
      <c r="P1269" s="12"/>
      <c r="Q1269" s="12"/>
      <c r="R1269" s="9"/>
      <c r="S1269" s="24"/>
      <c r="T1269" s="9"/>
    </row>
    <row r="1270" spans="1:20" ht="35.25" customHeight="1">
      <c r="A1270" s="6">
        <f t="shared" si="150"/>
        <v>1269</v>
      </c>
      <c r="B1270" s="17" t="s">
        <v>3328</v>
      </c>
      <c r="C1270" s="64" t="s">
        <v>3329</v>
      </c>
      <c r="D1270" s="9" t="s">
        <v>26</v>
      </c>
      <c r="E1270" s="31">
        <v>23775</v>
      </c>
      <c r="F1270" s="11">
        <f t="shared" ca="1" si="152"/>
        <v>58.893150684931506</v>
      </c>
      <c r="G1270" s="11">
        <f t="shared" si="157"/>
        <v>2</v>
      </c>
      <c r="H1270" s="11">
        <f t="shared" si="158"/>
        <v>2</v>
      </c>
      <c r="I1270" s="10">
        <v>40945</v>
      </c>
      <c r="J1270" s="9" t="s">
        <v>58</v>
      </c>
      <c r="K1270" s="9" t="s">
        <v>129</v>
      </c>
      <c r="L1270" s="9" t="s">
        <v>231</v>
      </c>
      <c r="M1270" s="9" t="s">
        <v>61</v>
      </c>
      <c r="N1270" s="11">
        <v>10</v>
      </c>
      <c r="O1270" s="11">
        <v>0</v>
      </c>
      <c r="P1270" s="12" t="e">
        <f>SUM(N1270+#REF!)</f>
        <v>#REF!</v>
      </c>
      <c r="Q1270" s="12" t="s">
        <v>26</v>
      </c>
      <c r="R1270" s="9" t="s">
        <v>27</v>
      </c>
      <c r="S1270" s="24" t="s">
        <v>28</v>
      </c>
      <c r="T1270" s="9" t="s">
        <v>3275</v>
      </c>
    </row>
    <row r="1271" spans="1:20" ht="35.25" customHeight="1">
      <c r="A1271" s="6">
        <f t="shared" si="150"/>
        <v>1270</v>
      </c>
      <c r="B1271" s="17" t="s">
        <v>3330</v>
      </c>
      <c r="C1271" s="64" t="s">
        <v>3331</v>
      </c>
      <c r="D1271" s="9" t="s">
        <v>26</v>
      </c>
      <c r="E1271" s="31">
        <v>24901</v>
      </c>
      <c r="F1271" s="11">
        <f t="shared" ca="1" si="152"/>
        <v>55.80821917808219</v>
      </c>
      <c r="G1271" s="11">
        <f t="shared" si="157"/>
        <v>3</v>
      </c>
      <c r="H1271" s="11">
        <f t="shared" si="158"/>
        <v>4</v>
      </c>
      <c r="I1271" s="10">
        <v>40948</v>
      </c>
      <c r="J1271" s="9" t="s">
        <v>22</v>
      </c>
      <c r="K1271" s="9" t="s">
        <v>3332</v>
      </c>
      <c r="L1271" s="9" t="s">
        <v>3236</v>
      </c>
      <c r="M1271" s="9" t="s">
        <v>134</v>
      </c>
      <c r="N1271" s="11"/>
      <c r="O1271" s="11"/>
      <c r="P1271" s="12"/>
      <c r="Q1271" s="12"/>
      <c r="R1271" s="9"/>
      <c r="S1271" s="24"/>
      <c r="T1271" s="9"/>
    </row>
  </sheetData>
  <sheetProtection formatCells="0" formatColumns="0" formatRows="0" insertColumns="0" insertRows="0" insertHyperlinks="0" deleteColumns="0" deleteRows="0"/>
  <pageMargins left="0.5" right="0.77" top="0.59" bottom="0.17" header="0.17" footer="0.17"/>
  <pageSetup fitToHeight="10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51D4-7350-4FB0-BE59-76E8DF5AED25}">
  <dimension ref="B2:H57"/>
  <sheetViews>
    <sheetView tabSelected="1" workbookViewId="0">
      <selection activeCell="J7" sqref="J7"/>
    </sheetView>
  </sheetViews>
  <sheetFormatPr defaultRowHeight="13.8"/>
  <cols>
    <col min="1" max="2" width="8.88671875" style="71"/>
    <col min="3" max="3" width="13.44140625" style="71" customWidth="1"/>
    <col min="4" max="4" width="27.77734375" style="71" customWidth="1"/>
    <col min="5" max="5" width="19.77734375" style="71" customWidth="1"/>
    <col min="6" max="6" width="13.21875" style="71" customWidth="1"/>
    <col min="7" max="16384" width="8.88671875" style="71"/>
  </cols>
  <sheetData>
    <row r="2" spans="2:8" ht="13.8" customHeight="1">
      <c r="B2" s="74" t="s">
        <v>3336</v>
      </c>
      <c r="C2" s="74"/>
      <c r="D2" s="74"/>
      <c r="E2" s="74"/>
      <c r="F2" s="74"/>
      <c r="G2" s="74"/>
      <c r="H2" s="74"/>
    </row>
    <row r="3" spans="2:8" ht="39.6" customHeight="1">
      <c r="B3" s="74"/>
      <c r="C3" s="74"/>
      <c r="D3" s="74"/>
      <c r="E3" s="74"/>
      <c r="F3" s="74"/>
      <c r="G3" s="74"/>
      <c r="H3" s="74"/>
    </row>
    <row r="5" spans="2:8">
      <c r="B5" s="66" t="s">
        <v>3335</v>
      </c>
      <c r="C5" s="66" t="s">
        <v>1</v>
      </c>
      <c r="D5" s="66" t="s">
        <v>2</v>
      </c>
      <c r="E5" s="66" t="s">
        <v>3334</v>
      </c>
      <c r="F5" s="66" t="s">
        <v>18</v>
      </c>
      <c r="G5" s="66" t="s">
        <v>3</v>
      </c>
      <c r="H5" s="66" t="s">
        <v>9</v>
      </c>
    </row>
    <row r="6" spans="2:8">
      <c r="B6" s="72">
        <v>1</v>
      </c>
      <c r="C6" s="67" t="s">
        <v>144</v>
      </c>
      <c r="D6" s="68" t="s">
        <v>145</v>
      </c>
      <c r="E6" s="73"/>
      <c r="F6" s="73"/>
      <c r="G6" s="73"/>
      <c r="H6" s="73"/>
    </row>
    <row r="7" spans="2:8">
      <c r="B7" s="72">
        <v>2</v>
      </c>
      <c r="C7" s="67" t="s">
        <v>148</v>
      </c>
      <c r="D7" s="68" t="s">
        <v>149</v>
      </c>
      <c r="E7" s="73"/>
      <c r="F7" s="73"/>
      <c r="G7" s="73"/>
      <c r="H7" s="73"/>
    </row>
    <row r="8" spans="2:8">
      <c r="B8" s="72">
        <v>3</v>
      </c>
      <c r="C8" s="67" t="s">
        <v>314</v>
      </c>
      <c r="D8" s="68" t="s">
        <v>315</v>
      </c>
      <c r="E8" s="73"/>
      <c r="F8" s="73"/>
      <c r="G8" s="73"/>
      <c r="H8" s="73"/>
    </row>
    <row r="9" spans="2:8">
      <c r="B9" s="72">
        <v>4</v>
      </c>
      <c r="C9" s="67" t="s">
        <v>345</v>
      </c>
      <c r="D9" s="67" t="s">
        <v>346</v>
      </c>
      <c r="E9" s="73"/>
      <c r="F9" s="73"/>
      <c r="G9" s="73"/>
      <c r="H9" s="73"/>
    </row>
    <row r="10" spans="2:8">
      <c r="B10" s="72">
        <v>5</v>
      </c>
      <c r="C10" s="67" t="s">
        <v>416</v>
      </c>
      <c r="D10" s="68" t="s">
        <v>417</v>
      </c>
      <c r="E10" s="73"/>
      <c r="F10" s="73"/>
      <c r="G10" s="73"/>
      <c r="H10" s="73"/>
    </row>
    <row r="11" spans="2:8">
      <c r="B11" s="72">
        <v>6</v>
      </c>
      <c r="C11" s="67" t="s">
        <v>434</v>
      </c>
      <c r="D11" s="68" t="s">
        <v>435</v>
      </c>
      <c r="E11" s="73"/>
      <c r="F11" s="73"/>
      <c r="G11" s="73"/>
      <c r="H11" s="73"/>
    </row>
    <row r="12" spans="2:8">
      <c r="B12" s="72">
        <v>7</v>
      </c>
      <c r="C12" s="67" t="s">
        <v>443</v>
      </c>
      <c r="D12" s="68" t="s">
        <v>444</v>
      </c>
      <c r="E12" s="73"/>
      <c r="F12" s="73"/>
      <c r="G12" s="73"/>
      <c r="H12" s="73"/>
    </row>
    <row r="13" spans="2:8">
      <c r="B13" s="72">
        <v>8</v>
      </c>
      <c r="C13" s="67" t="s">
        <v>513</v>
      </c>
      <c r="D13" s="67" t="s">
        <v>514</v>
      </c>
      <c r="E13" s="73"/>
      <c r="F13" s="73"/>
      <c r="G13" s="73"/>
      <c r="H13" s="73"/>
    </row>
    <row r="14" spans="2:8">
      <c r="B14" s="72">
        <v>9</v>
      </c>
      <c r="C14" s="67" t="s">
        <v>776</v>
      </c>
      <c r="D14" s="68" t="s">
        <v>777</v>
      </c>
      <c r="E14" s="73"/>
      <c r="F14" s="73"/>
      <c r="G14" s="73"/>
      <c r="H14" s="73"/>
    </row>
    <row r="15" spans="2:8">
      <c r="B15" s="72">
        <v>10</v>
      </c>
      <c r="C15" s="69" t="s">
        <v>887</v>
      </c>
      <c r="D15" s="70" t="s">
        <v>888</v>
      </c>
      <c r="E15" s="73"/>
      <c r="F15" s="73"/>
      <c r="G15" s="73"/>
      <c r="H15" s="73"/>
    </row>
    <row r="16" spans="2:8">
      <c r="B16" s="72">
        <v>11</v>
      </c>
      <c r="C16" s="69" t="s">
        <v>952</v>
      </c>
      <c r="D16" s="70" t="s">
        <v>953</v>
      </c>
      <c r="E16" s="73"/>
      <c r="F16" s="73"/>
      <c r="G16" s="73"/>
      <c r="H16" s="73"/>
    </row>
    <row r="17" spans="2:8">
      <c r="B17" s="72">
        <v>12</v>
      </c>
      <c r="C17" s="69" t="s">
        <v>1005</v>
      </c>
      <c r="D17" s="70" t="s">
        <v>1006</v>
      </c>
      <c r="E17" s="73"/>
      <c r="F17" s="73"/>
      <c r="G17" s="73"/>
      <c r="H17" s="73"/>
    </row>
    <row r="18" spans="2:8">
      <c r="B18" s="72">
        <v>13</v>
      </c>
      <c r="C18" s="67" t="s">
        <v>1142</v>
      </c>
      <c r="D18" s="67" t="s">
        <v>1143</v>
      </c>
      <c r="E18" s="73"/>
      <c r="F18" s="73"/>
      <c r="G18" s="73"/>
      <c r="H18" s="73"/>
    </row>
    <row r="19" spans="2:8">
      <c r="B19" s="72">
        <v>14</v>
      </c>
      <c r="C19" s="67" t="s">
        <v>1268</v>
      </c>
      <c r="D19" s="68" t="s">
        <v>1269</v>
      </c>
      <c r="E19" s="73"/>
      <c r="F19" s="73"/>
      <c r="G19" s="73"/>
      <c r="H19" s="73"/>
    </row>
    <row r="20" spans="2:8">
      <c r="B20" s="72">
        <v>15</v>
      </c>
      <c r="C20" s="67" t="s">
        <v>1352</v>
      </c>
      <c r="D20" s="68" t="s">
        <v>1353</v>
      </c>
      <c r="E20" s="73"/>
      <c r="F20" s="73"/>
      <c r="G20" s="73"/>
      <c r="H20" s="73"/>
    </row>
    <row r="21" spans="2:8">
      <c r="B21" s="72">
        <v>16</v>
      </c>
      <c r="C21" s="67" t="s">
        <v>1385</v>
      </c>
      <c r="D21" s="68" t="s">
        <v>1386</v>
      </c>
      <c r="E21" s="73"/>
      <c r="F21" s="73"/>
      <c r="G21" s="73"/>
      <c r="H21" s="73"/>
    </row>
    <row r="22" spans="2:8">
      <c r="B22" s="72">
        <v>17</v>
      </c>
      <c r="C22" s="67" t="s">
        <v>1390</v>
      </c>
      <c r="D22" s="68" t="s">
        <v>1391</v>
      </c>
      <c r="E22" s="73"/>
      <c r="F22" s="73"/>
      <c r="G22" s="73"/>
      <c r="H22" s="73"/>
    </row>
    <row r="23" spans="2:8">
      <c r="B23" s="72">
        <v>18</v>
      </c>
      <c r="C23" s="67" t="s">
        <v>348</v>
      </c>
      <c r="D23" s="67" t="s">
        <v>349</v>
      </c>
      <c r="E23" s="73"/>
      <c r="F23" s="73"/>
      <c r="G23" s="73"/>
      <c r="H23" s="73"/>
    </row>
    <row r="24" spans="2:8">
      <c r="B24" s="72">
        <v>19</v>
      </c>
      <c r="C24" s="67" t="s">
        <v>362</v>
      </c>
      <c r="D24" s="68" t="s">
        <v>363</v>
      </c>
      <c r="E24" s="73"/>
      <c r="F24" s="73"/>
      <c r="G24" s="73"/>
      <c r="H24" s="73"/>
    </row>
    <row r="25" spans="2:8">
      <c r="B25" s="72">
        <v>20</v>
      </c>
      <c r="C25" s="67" t="s">
        <v>621</v>
      </c>
      <c r="D25" s="68" t="s">
        <v>622</v>
      </c>
      <c r="E25" s="73"/>
      <c r="F25" s="73"/>
      <c r="G25" s="73"/>
      <c r="H25" s="73"/>
    </row>
    <row r="26" spans="2:8">
      <c r="B26" s="72">
        <v>21</v>
      </c>
      <c r="C26" s="67" t="s">
        <v>773</v>
      </c>
      <c r="D26" s="68" t="s">
        <v>774</v>
      </c>
      <c r="E26" s="73"/>
      <c r="F26" s="73"/>
      <c r="G26" s="73"/>
      <c r="H26" s="73"/>
    </row>
    <row r="27" spans="2:8">
      <c r="B27" s="72">
        <v>22</v>
      </c>
      <c r="C27" s="67" t="s">
        <v>828</v>
      </c>
      <c r="D27" s="68" t="s">
        <v>829</v>
      </c>
      <c r="E27" s="73"/>
      <c r="F27" s="73"/>
      <c r="G27" s="73"/>
      <c r="H27" s="73"/>
    </row>
    <row r="28" spans="2:8">
      <c r="B28" s="72">
        <v>23</v>
      </c>
      <c r="C28" s="67" t="s">
        <v>889</v>
      </c>
      <c r="D28" s="68" t="s">
        <v>890</v>
      </c>
      <c r="E28" s="73"/>
      <c r="F28" s="73"/>
      <c r="G28" s="73"/>
      <c r="H28" s="73"/>
    </row>
    <row r="29" spans="2:8">
      <c r="B29" s="72">
        <v>24</v>
      </c>
      <c r="C29" s="69" t="s">
        <v>983</v>
      </c>
      <c r="D29" s="70" t="s">
        <v>984</v>
      </c>
      <c r="E29" s="73"/>
      <c r="F29" s="73"/>
      <c r="G29" s="73"/>
      <c r="H29" s="73"/>
    </row>
    <row r="30" spans="2:8">
      <c r="B30" s="72">
        <v>25</v>
      </c>
      <c r="C30" s="69" t="s">
        <v>1078</v>
      </c>
      <c r="D30" s="70" t="s">
        <v>1079</v>
      </c>
      <c r="E30" s="73"/>
      <c r="F30" s="73"/>
      <c r="G30" s="73"/>
      <c r="H30" s="73"/>
    </row>
    <row r="31" spans="2:8">
      <c r="B31" s="72">
        <v>26</v>
      </c>
      <c r="C31" s="67" t="s">
        <v>1342</v>
      </c>
      <c r="D31" s="68" t="s">
        <v>1343</v>
      </c>
      <c r="E31" s="73"/>
      <c r="F31" s="73"/>
      <c r="G31" s="73"/>
      <c r="H31" s="73"/>
    </row>
    <row r="32" spans="2:8">
      <c r="B32" s="72">
        <v>27</v>
      </c>
      <c r="C32" s="67" t="s">
        <v>1470</v>
      </c>
      <c r="D32" s="68" t="s">
        <v>1471</v>
      </c>
      <c r="E32" s="73"/>
      <c r="F32" s="73"/>
      <c r="G32" s="73"/>
      <c r="H32" s="73"/>
    </row>
    <row r="33" spans="2:8">
      <c r="B33" s="72">
        <v>28</v>
      </c>
      <c r="C33" s="67" t="s">
        <v>1476</v>
      </c>
      <c r="D33" s="68" t="s">
        <v>1477</v>
      </c>
      <c r="E33" s="73"/>
      <c r="F33" s="73"/>
      <c r="G33" s="73"/>
      <c r="H33" s="73"/>
    </row>
    <row r="34" spans="2:8">
      <c r="B34" s="72">
        <v>29</v>
      </c>
      <c r="C34" s="67" t="s">
        <v>3313</v>
      </c>
      <c r="D34" s="67" t="s">
        <v>3314</v>
      </c>
      <c r="E34" s="73"/>
      <c r="F34" s="73"/>
      <c r="G34" s="73"/>
      <c r="H34" s="73"/>
    </row>
    <row r="35" spans="2:8">
      <c r="B35" s="72">
        <v>30</v>
      </c>
      <c r="C35" s="67" t="s">
        <v>3316</v>
      </c>
      <c r="D35" s="67" t="s">
        <v>3317</v>
      </c>
      <c r="E35" s="73"/>
      <c r="F35" s="73"/>
      <c r="G35" s="73"/>
      <c r="H35" s="73"/>
    </row>
    <row r="36" spans="2:8">
      <c r="B36" s="72">
        <v>31</v>
      </c>
      <c r="C36" s="67" t="s">
        <v>3320</v>
      </c>
      <c r="D36" s="67" t="s">
        <v>3321</v>
      </c>
      <c r="E36" s="73"/>
      <c r="F36" s="73"/>
      <c r="G36" s="73"/>
      <c r="H36" s="73"/>
    </row>
    <row r="37" spans="2:8">
      <c r="B37" s="72">
        <v>32</v>
      </c>
      <c r="C37" s="67" t="s">
        <v>3322</v>
      </c>
      <c r="D37" s="67" t="s">
        <v>3323</v>
      </c>
      <c r="E37" s="73"/>
      <c r="F37" s="73"/>
      <c r="G37" s="73"/>
      <c r="H37" s="73"/>
    </row>
    <row r="38" spans="2:8">
      <c r="B38" s="72">
        <v>33</v>
      </c>
      <c r="C38" s="67" t="s">
        <v>3325</v>
      </c>
      <c r="D38" s="67" t="s">
        <v>3326</v>
      </c>
      <c r="E38" s="73"/>
      <c r="F38" s="73"/>
      <c r="G38" s="73"/>
      <c r="H38" s="73"/>
    </row>
    <row r="39" spans="2:8">
      <c r="B39" s="72">
        <v>34</v>
      </c>
      <c r="C39" s="67" t="s">
        <v>3328</v>
      </c>
      <c r="D39" s="67" t="s">
        <v>3329</v>
      </c>
      <c r="E39" s="73"/>
      <c r="F39" s="73"/>
      <c r="G39" s="73"/>
      <c r="H39" s="73"/>
    </row>
    <row r="40" spans="2:8">
      <c r="B40" s="72">
        <v>35</v>
      </c>
      <c r="C40" s="67" t="s">
        <v>3330</v>
      </c>
      <c r="D40" s="67" t="s">
        <v>3331</v>
      </c>
      <c r="E40" s="73"/>
      <c r="F40" s="73"/>
      <c r="G40" s="73"/>
      <c r="H40" s="73"/>
    </row>
    <row r="41" spans="2:8">
      <c r="B41" s="72">
        <v>36</v>
      </c>
      <c r="C41" s="67" t="s">
        <v>3247</v>
      </c>
      <c r="D41" s="67" t="s">
        <v>3248</v>
      </c>
      <c r="E41" s="73"/>
      <c r="F41" s="73"/>
      <c r="G41" s="73"/>
      <c r="H41" s="73"/>
    </row>
    <row r="42" spans="2:8">
      <c r="B42" s="72">
        <v>37</v>
      </c>
      <c r="C42" s="67" t="s">
        <v>3250</v>
      </c>
      <c r="D42" s="67" t="s">
        <v>3251</v>
      </c>
      <c r="E42" s="73"/>
      <c r="F42" s="73"/>
      <c r="G42" s="73"/>
      <c r="H42" s="73"/>
    </row>
    <row r="43" spans="2:8">
      <c r="B43" s="72">
        <v>38</v>
      </c>
      <c r="C43" s="67" t="s">
        <v>3252</v>
      </c>
      <c r="D43" s="67" t="s">
        <v>3253</v>
      </c>
      <c r="E43" s="73"/>
      <c r="F43" s="73"/>
      <c r="G43" s="73"/>
      <c r="H43" s="73"/>
    </row>
    <row r="44" spans="2:8">
      <c r="B44" s="72">
        <v>39</v>
      </c>
      <c r="C44" s="67" t="s">
        <v>3255</v>
      </c>
      <c r="D44" s="67" t="s">
        <v>3256</v>
      </c>
      <c r="E44" s="73"/>
      <c r="F44" s="73"/>
      <c r="G44" s="73"/>
      <c r="H44" s="73"/>
    </row>
    <row r="45" spans="2:8">
      <c r="B45" s="72">
        <v>40</v>
      </c>
      <c r="C45" s="67" t="s">
        <v>3258</v>
      </c>
      <c r="D45" s="67" t="s">
        <v>3259</v>
      </c>
      <c r="E45" s="73"/>
      <c r="F45" s="73"/>
      <c r="G45" s="73"/>
      <c r="H45" s="73"/>
    </row>
    <row r="46" spans="2:8">
      <c r="B46" s="72">
        <v>41</v>
      </c>
      <c r="C46" s="67" t="s">
        <v>3260</v>
      </c>
      <c r="D46" s="67" t="s">
        <v>3261</v>
      </c>
      <c r="E46" s="73"/>
      <c r="F46" s="73"/>
      <c r="G46" s="73"/>
      <c r="H46" s="73"/>
    </row>
    <row r="47" spans="2:8">
      <c r="B47" s="72">
        <v>42</v>
      </c>
      <c r="C47" s="67" t="s">
        <v>3262</v>
      </c>
      <c r="D47" s="67" t="s">
        <v>3263</v>
      </c>
      <c r="E47" s="73"/>
      <c r="F47" s="73"/>
      <c r="G47" s="73"/>
      <c r="H47" s="73"/>
    </row>
    <row r="48" spans="2:8">
      <c r="B48" s="72">
        <v>43</v>
      </c>
      <c r="C48" s="67" t="s">
        <v>3264</v>
      </c>
      <c r="D48" s="67" t="s">
        <v>3265</v>
      </c>
      <c r="E48" s="73"/>
      <c r="F48" s="73"/>
      <c r="G48" s="73"/>
      <c r="H48" s="73"/>
    </row>
    <row r="49" spans="2:8">
      <c r="B49" s="72">
        <v>44</v>
      </c>
      <c r="C49" s="67" t="s">
        <v>3266</v>
      </c>
      <c r="D49" s="67" t="s">
        <v>3267</v>
      </c>
      <c r="E49" s="73"/>
      <c r="F49" s="73"/>
      <c r="G49" s="73"/>
      <c r="H49" s="73"/>
    </row>
    <row r="50" spans="2:8">
      <c r="B50" s="72">
        <v>45</v>
      </c>
      <c r="C50" s="67" t="s">
        <v>3268</v>
      </c>
      <c r="D50" s="67" t="s">
        <v>3269</v>
      </c>
      <c r="E50" s="73"/>
      <c r="F50" s="73"/>
      <c r="G50" s="73"/>
      <c r="H50" s="73"/>
    </row>
    <row r="51" spans="2:8">
      <c r="B51" s="72">
        <v>46</v>
      </c>
      <c r="C51" s="67" t="s">
        <v>3270</v>
      </c>
      <c r="D51" s="67" t="s">
        <v>3271</v>
      </c>
      <c r="E51" s="73"/>
      <c r="F51" s="73"/>
      <c r="G51" s="73"/>
      <c r="H51" s="73"/>
    </row>
    <row r="52" spans="2:8">
      <c r="B52" s="72">
        <v>47</v>
      </c>
      <c r="C52" s="67" t="s">
        <v>3278</v>
      </c>
      <c r="D52" s="67" t="s">
        <v>3279</v>
      </c>
      <c r="E52" s="73"/>
      <c r="F52" s="73"/>
      <c r="G52" s="73"/>
      <c r="H52" s="73"/>
    </row>
    <row r="53" spans="2:8">
      <c r="B53" s="72">
        <v>48</v>
      </c>
      <c r="C53" s="67" t="s">
        <v>3280</v>
      </c>
      <c r="D53" s="67" t="s">
        <v>3281</v>
      </c>
      <c r="E53" s="73"/>
      <c r="F53" s="73"/>
      <c r="G53" s="73"/>
      <c r="H53" s="73"/>
    </row>
    <row r="54" spans="2:8">
      <c r="B54" s="72">
        <v>49</v>
      </c>
      <c r="C54" s="67" t="s">
        <v>3283</v>
      </c>
      <c r="D54" s="67" t="s">
        <v>3284</v>
      </c>
      <c r="E54" s="73"/>
      <c r="F54" s="73"/>
      <c r="G54" s="73"/>
      <c r="H54" s="73"/>
    </row>
    <row r="55" spans="2:8">
      <c r="B55" s="72">
        <v>50</v>
      </c>
      <c r="C55" s="67" t="s">
        <v>3286</v>
      </c>
      <c r="D55" s="67" t="s">
        <v>3287</v>
      </c>
      <c r="E55" s="73"/>
      <c r="F55" s="73"/>
      <c r="G55" s="73"/>
      <c r="H55" s="73"/>
    </row>
    <row r="56" spans="2:8">
      <c r="B56" s="72">
        <v>51</v>
      </c>
      <c r="C56" s="67" t="s">
        <v>3288</v>
      </c>
      <c r="D56" s="67" t="s">
        <v>3289</v>
      </c>
      <c r="E56" s="73"/>
      <c r="F56" s="73"/>
      <c r="G56" s="73"/>
      <c r="H56" s="73"/>
    </row>
    <row r="57" spans="2:8">
      <c r="B57" s="72">
        <v>52</v>
      </c>
      <c r="C57" s="67" t="s">
        <v>3290</v>
      </c>
      <c r="D57" s="67" t="s">
        <v>3291</v>
      </c>
      <c r="E57" s="73"/>
      <c r="F57" s="73"/>
      <c r="G57" s="73"/>
      <c r="H57" s="73"/>
    </row>
  </sheetData>
  <mergeCells count="1">
    <mergeCell ref="B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Dump</vt:lpstr>
      <vt:lpstr>Vlook-UP</vt:lpstr>
      <vt:lpstr>'Data Dump'!Print_Area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2023-12-03T09:54:19Z</dcterms:created>
  <dcterms:modified xsi:type="dcterms:W3CDTF">2023-12-10T19:09:16Z</dcterms:modified>
</cp:coreProperties>
</file>